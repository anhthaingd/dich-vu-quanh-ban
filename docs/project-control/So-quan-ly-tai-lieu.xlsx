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1b5a5cd0fd44ed8" /></Relationships>
</file>

<file path=xl/workbook.xml><?xml version="1.0" encoding="utf-8"?>
<x:workbook xmlns:x="http://schemas.openxmlformats.org/spreadsheetml/2006/main">
  <x:sheets>
    <x:sheet xmlns:r="http://schemas.openxmlformats.org/officeDocument/2006/relationships" name="Bat dau" sheetId="1" r:id="R6d0a543887f9401b"/>
    <x:sheet xmlns:r="http://schemas.openxmlformats.org/officeDocument/2006/relationships" name="Danh muc" sheetId="2" r:id="R0c113b384bf94882"/>
    <x:sheet xmlns:r="http://schemas.openxmlformats.org/officeDocument/2006/relationships" name="Anh huong" sheetId="3" r:id="R865d4df71b684bdf"/>
    <x:sheet xmlns:r="http://schemas.openxmlformats.org/officeDocument/2006/relationships" name="Quyet dinh" sheetId="4" r:id="Rd9de169fc8bd48a5"/>
    <x:sheet xmlns:r="http://schemas.openxmlformats.org/officeDocument/2006/relationships" name="Dong bo" sheetId="5" r:id="R6d41e035e6e04011"/>
    <x:sheet xmlns:r="http://schemas.openxmlformats.org/officeDocument/2006/relationships" name="Quy trinh" sheetId="6" r:id="R1a0e40ed220e419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dd/mm/yyyy"/>
    <x:numFmt numFmtId="165" formatCode="yyyy-mm-dd h:mm:ss"/>
  </x:numFmts>
  <x:fonts count="9">
    <x:font>
      <x:sz val="11"/>
      <x:name val="Carlito"/>
    </x:font>
    <x:font>
      <x:sz val="11"/>
      <x:color rgb="FF243B53"/>
      <x:name val="Arial"/>
    </x:font>
    <x:font>
      <x:b/>
      <x:sz val="16"/>
      <x:color rgb="FF243B53"/>
      <x:name val="Arial"/>
    </x:font>
    <x:font>
      <x:sz val="10"/>
      <x:color rgb="FF52667A"/>
      <x:name val="Arial"/>
    </x:font>
    <x:font>
      <x:b/>
      <x:sz val="11"/>
      <x:color rgb="FFFFFFFF"/>
      <x:name val="Arial"/>
    </x:font>
    <x:font>
      <x:sz val="11"/>
      <x:color rgb="FF1769AA"/>
      <x:name val="Arial"/>
    </x:font>
    <x:font>
      <x:b/>
      <x:sz val="17"/>
      <x:color rgb="FF243B53"/>
      <x:name val="Arial"/>
    </x:font>
    <x:font>
      <x:b/>
      <x:sz val="11"/>
      <x:color rgb="FF243B53"/>
      <x:name val="Arial"/>
    </x:font>
    <x:font>
      <x:sz val="11"/>
      <x:name val="Calibri"/>
    </x:font>
  </x:fonts>
  <x:fills count="3">
    <x:fill>
      <x:patternFill patternType="none"/>
    </x:fill>
    <x:fill>
      <x:patternFill patternType="gray125"/>
    </x:fill>
    <x:fill>
      <x:patternFill patternType="solid">
        <x:fgColor rgb="FF23445D"/>
      </x:patternFill>
    </x:fill>
  </x:fills>
  <x:borders count="1">
    <x:border/>
  </x:borders>
  <x:cellStyleXfs count="1">
    <x:xf numFmtId="0" fontId="0" fillId="0" borderId="0"/>
  </x:cellStyleXfs>
  <x:cellXfs count="36">
    <x:xf numFmtId="0" fontId="0" fillId="0" borderId="0" xfId="0"/>
    <x:xf numFmtId="0" fontId="1" fillId="0" borderId="0" xfId="0"/>
    <x:xf numFmtId="0" fontId="2" fillId="0" borderId="0" xfId="0"/>
    <x:xf numFmtId="0" fontId="3" fillId="0" borderId="0" xfId="0"/>
    <x:xf numFmtId="0" fontId="1" fillId="2" borderId="0" xfId="0"/>
    <x:xf numFmtId="0" fontId="4" fillId="2" borderId="0" xfId="0"/>
    <x:xf numFmtId="0" fontId="4" fillId="2" borderId="0" xfId="0" applyAlignment="1">
      <x:alignment wrapText="1"/>
    </x:xf>
    <x:xf numFmtId="0" fontId="1" fillId="0" borderId="0" xfId="0" applyAlignment="1">
      <x:alignment wrapText="1"/>
    </x:xf>
    <x:xf numFmtId="0" fontId="1" fillId="0" borderId="0" xfId="0" applyAlignment="1">
      <x:alignment vertical="top" wrapText="1"/>
    </x:xf>
    <x:xf numFmtId="0" fontId="5" fillId="0" borderId="0" xfId="0" applyAlignment="1">
      <x:alignment vertical="top" wrapText="1"/>
    </x:xf>
    <x:xf numFmtId="164" fontId="1" fillId="0" borderId="0" xfId="0" applyAlignment="1">
      <x:alignment vertical="top" wrapText="1"/>
    </x:xf>
    <x:xf numFmtId="164" fontId="0" fillId="0" borderId="0" xfId="0"/>
    <x:xf numFmtId="0" fontId="6" fillId="0" borderId="0" xfId="0"/>
    <x:xf numFmtId="1" fontId="1" fillId="0" borderId="0" xfId="0"/>
    <x:xf numFmtId="0" fontId="5" fillId="0" borderId="0" xfId="0"/>
    <x:xf numFmtId="0" fontId="7" fillId="0" borderId="0" xfId="0"/>
    <x:xf numFmtId="0" fontId="8" fillId="0" borderId="0" xfId="0"/>
    <x:xf numFmtId="164" fontId="8" fillId="0" borderId="0" xfId="0"/>
    <x:xf numFmtId="0" fontId="8" fillId="0" borderId="0" xfId="0" applyAlignment="1">
      <x:alignment wrapText="1"/>
    </x:xf>
    <x:xf numFmtId="164" fontId="8" fillId="0" borderId="0" xfId="0" applyAlignment="1">
      <x:alignment wrapText="1"/>
    </x:xf>
    <x:xf numFmtId="0" fontId="8" fillId="0" borderId="0" xfId="0" applyAlignment="1">
      <x:alignment vertical="top" wrapText="1"/>
    </x:xf>
    <x:xf numFmtId="164" fontId="8" fillId="0" borderId="0" xfId="0" applyAlignment="1">
      <x:alignment vertical="top" wrapText="1"/>
    </x:xf>
    <x:xf numFmtId="0" fontId="0" fillId="0" borderId="0" xfId="0" applyAlignment="1">
      <x:alignment wrapText="1"/>
    </x:xf>
    <x:xf numFmtId="164" fontId="0" fillId="0" borderId="0" xfId="0" applyAlignment="1">
      <x:alignment wrapText="1"/>
    </x:xf>
    <x:xf numFmtId="0" fontId="0" fillId="0" borderId="0" xfId="0" applyAlignment="1">
      <x:alignment vertical="top" wrapText="1"/>
    </x:xf>
    <x:xf numFmtId="164" fontId="0" fillId="0" borderId="0" xfId="0" applyAlignment="1">
      <x:alignment vertical="top" wrapText="1"/>
    </x:xf>
    <x:xf numFmtId="1" fontId="1" fillId="0" borderId="0" xfId="0"/>
    <x:xf numFmtId="164" fontId="1" fillId="0" borderId="0" xfId="0" applyAlignment="1">
      <x:alignment vertical="top" wrapText="1"/>
    </x:xf>
    <x:xf numFmtId="164" fontId="8" fillId="0" borderId="0" xfId="0" applyAlignment="1">
      <x:alignment vertical="top" wrapText="1"/>
    </x:xf>
    <x:xf numFmtId="164" fontId="0" fillId="0" borderId="0" xfId="0" applyAlignment="1">
      <x:alignment vertical="top" wrapText="1"/>
    </x:xf>
    <x:xf numFmtId="164" fontId="0" fillId="0" borderId="0" xfId="0"/>
    <x:xf numFmtId="165" fontId="0" fillId="0" borderId="0" xfId="0" applyAlignment="1">
      <x:alignment vertical="top" wrapText="1"/>
    </x:xf>
    <x:xf numFmtId="0" fontId="0" fillId="0" borderId="0" xfId="0" applyNumberFormat="1" applyFont="1" applyFill="1" applyBorder="1" applyAlignment="1">
      <x:alignment wrapText="1"/>
    </x:xf>
    <x:xf numFmtId="164"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164" fontId="0" fillId="0" borderId="0" xfId="0" applyNumberFormat="1" applyFont="1" applyFill="1" applyBorder="1" applyAlignment="1">
      <x:alignment vertical="top" wrapText="1"/>
    </x:xf>
  </x:cellXfs>
  <x:cellStyles count="1">
    <x:cellStyle name="Normal" xfId="0"/>
  </x:cellStyles>
  <x:dxfs count="4">
    <x:dxf>
      <x:fill>
        <x:patternFill>
          <x:bgColor rgb="FFFFF0CC"/>
        </x:patternFill>
      </x:fill>
    </x:dxf>
    <x:dxf>
      <x:fill>
        <x:patternFill>
          <x:bgColor rgb="FFFFF0CC"/>
        </x:patternFill>
      </x:fill>
    </x:dxf>
    <x:dxf>
      <x:fill>
        <x:patternFill>
          <x:bgColor rgb="FFFFF0CC"/>
        </x:patternFill>
      </x:fill>
    </x:dxf>
    <x:dxf>
      <x:fill>
        <x:patternFill>
          <x:bgColor rgb="FFFFF0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b89de0535ad4c0d" /><Relationship Type="http://schemas.openxmlformats.org/officeDocument/2006/relationships/theme" Target="/xl/theme/theme1.xml" Id="R0c0ef0875cff4f87" /><Relationship Type="http://schemas.openxmlformats.org/officeDocument/2006/relationships/sharedStrings" Target="/xl/sharedStrings.xml" Id="Rfa0bc334c0cf4246" /><Relationship Type="http://schemas.openxmlformats.org/officeDocument/2006/relationships/worksheet" Target="/xl/worksheets/sheet1.xml" Id="R6d0a543887f9401b" /><Relationship Type="http://schemas.openxmlformats.org/officeDocument/2006/relationships/worksheet" Target="/xl/worksheets/sheet2.xml" Id="R0c113b384bf94882" /><Relationship Type="http://schemas.openxmlformats.org/officeDocument/2006/relationships/worksheet" Target="/xl/worksheets/sheet3.xml" Id="R865d4df71b684bdf" /><Relationship Type="http://schemas.openxmlformats.org/officeDocument/2006/relationships/worksheet" Target="/xl/worksheets/sheet4.xml" Id="Rd9de169fc8bd48a5" /><Relationship Type="http://schemas.openxmlformats.org/officeDocument/2006/relationships/worksheet" Target="/xl/worksheets/sheet5.xml" Id="R6d41e035e6e04011" /><Relationship Type="http://schemas.openxmlformats.org/officeDocument/2006/relationships/worksheet" Target="/xl/worksheets/sheet6.xml" Id="R1a0e40ed220e4195" /></Relationships>
</file>

<file path=xl/tables/table1.xml><?xml version="1.0" encoding="utf-8"?>
<x:table xmlns:x="http://schemas.openxmlformats.org/spreadsheetml/2006/main" id="1" name="Tbl1" displayName="Tbl1" ref="A5:L104" headerRowCount="1" totalsRowCount="0" totalsRowShown="0">
  <x:tableColumns count="12">
    <x:tableColumn id="1" name="Mã tài liệu"/>
    <x:tableColumn id="2" name="Tài liệu"/>
    <x:tableColumn id="3" name="Nhóm"/>
    <x:tableColumn id="4" name="Phiên bản"/>
    <x:tableColumn id="5" name="Vai trò"/>
    <x:tableColumn id="6" name="Trạng thái"/>
    <x:tableColumn id="7" name="Quyết định"/>
    <x:tableColumn id="8" name="Mở Drive"/>
    <x:tableColumn id="9" name="Nguồn local"/>
    <x:tableColumn id="10" name="Bản local khác"/>
    <x:tableColumn id="11" name="Việc cần làm"/>
    <x:tableColumn id="12" name="Sửa trên Drive"/>
  </x:tableColumns>
  <x:tableStyleInfo name="TableStyleMedium2" showFirstColumn="0" showLastColumn="0" showRowStripes="1" showColumnStripes="0"/>
</x:table>
</file>

<file path=xl/tables/table2.xml><?xml version="1.0" encoding="utf-8"?>
<x:table xmlns:x="http://schemas.openxmlformats.org/spreadsheetml/2006/main" id="2" name="Tbl2" displayName="Tbl2" ref="A5:F869" headerRowCount="1" totalsRowCount="0" totalsRowShown="0">
  <x:tableColumns count="6">
    <x:tableColumn id="1" name="Mã chức năng"/>
    <x:tableColumn id="2" name="Chức năng"/>
    <x:tableColumn id="3" name="Mã tài liệu"/>
    <x:tableColumn id="4" name="Phạm vi nghiệp vụ"/>
    <x:tableColumn id="5" name="Khi nào xử lý"/>
    <x:tableColumn id="6" name="Cách đồng bộ"/>
  </x:tableColumns>
  <x:tableStyleInfo name="TableStyleMedium2" showFirstColumn="0" showLastColumn="0" showRowStripes="1" showColumnStripes="0"/>
</x:table>
</file>

<file path=xl/tables/table3.xml><?xml version="1.0" encoding="utf-8"?>
<x:table xmlns:x="http://schemas.openxmlformats.org/spreadsheetml/2006/main" id="6" name="Tbl3" displayName="Tbl3" ref="A5:G66" headerRowCount="1" totalsRowCount="0" totalsRowShown="0">
  <x:tableColumns count="7">
    <x:tableColumn id="1" name="Mã quyết định"/>
    <x:tableColumn id="2" name="Chủ đề"/>
    <x:tableColumn id="3" name="Trạng thái"/>
    <x:tableColumn id="4" name="Nội dung áp dụng"/>
    <x:tableColumn id="5" name="Chức năng"/>
    <x:tableColumn id="6" name="Nguồn / bằng chứng"/>
    <x:tableColumn id="7" name="Ngày"/>
  </x:tableColumns>
  <x:tableStyleInfo name="TableStyleMedium2" showFirstColumn="0" showLastColumn="0" showRowStripes="1" showColumnStripes="0"/>
</x:table>
</file>

<file path=xl/tables/table4.xml><?xml version="1.0" encoding="utf-8"?>
<x:table xmlns:x="http://schemas.openxmlformats.org/spreadsheetml/2006/main" id="7" name="Tbl4" displayName="Tbl4" ref="A5:L663" headerRowCount="1" totalsRowCount="0" totalsRowShown="0">
  <x:tableColumns count="12">
    <x:tableColumn id="1" name="Mã đợt"/>
    <x:tableColumn id="2" name="Quyết định"/>
    <x:tableColumn id="3" name="Chức năng"/>
    <x:tableColumn id="4" name="Tài liệu"/>
    <x:tableColumn id="5" name="Nội dung cần đồng bộ"/>
    <x:tableColumn id="6" name="Thực hiện"/>
    <x:tableColumn id="7" name="Đã kiểm chéo"/>
    <x:tableColumn id="8" name="Người kiểm"/>
    <x:tableColumn id="9" name="Ngày kiểm"/>
    <x:tableColumn id="10" name="Bằng chứng / vị trí"/>
    <x:tableColumn id="11" name="Lý do không áp dụng"/>
    <x:tableColumn id="12" name="Kết quả"/>
  </x:tableColumns>
  <x:tableStyleInfo name="TableStyleMedium2" showFirstColumn="0" showLastColumn="0" showRowStripes="1" showColumnStripes="0"/>
</x:table>
</file>

<file path=xl/tables/table5.xml><?xml version="1.0" encoding="utf-8"?>
<x:table xmlns:x="http://schemas.openxmlformats.org/spreadsheetml/2006/main" id="5" name="Tbl5" displayName="Tbl5" ref="A5:D18" headerRowCount="1" totalsRowCount="0" totalsRowShown="0">
  <x:autoFilter ref="A5:D18"/>
  <x:tableColumns count="4">
    <x:tableColumn id="1" name="Bước"/>
    <x:tableColumn id="2" name="Thời điểm"/>
    <x:tableColumn id="3" name="Việc cần thực hiện"/>
    <x:tableColumn id="4" name="Điều kiện / kết quả"/>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drive.google.com/drive/folders/1msYKneD2-9yZMUXU0qlWQjzrCVE9gcO7" TargetMode="External" Id="R83522798db1d4d0e" /></Relationships>
</file>

<file path=xl/worksheets/_rels/sheet2.xml.rels>&#65279;<?xml version="1.0" encoding="utf-8"?><Relationships xmlns="http://schemas.openxmlformats.org/package/2006/relationships"><Relationship Type="http://schemas.openxmlformats.org/officeDocument/2006/relationships/hyperlink" Target="https://docs.google.com/spreadsheets/d/18eWx9ObcWbpRNSIsxKs7YTwBpR-ZPjQq/edit?rtpof=true" TargetMode="External" Id="Rbad7a2d3d3fc4e05" /><Relationship Type="http://schemas.openxmlformats.org/officeDocument/2006/relationships/hyperlink" Target="file:///Users/j2866/Documents/Codex/2026-09-11/t/outputs/project-control/So-quan-ly-tai-lieu.xlsx" TargetMode="External" Id="R7f83a6c9fe534c9b" /><Relationship Type="http://schemas.openxmlformats.org/officeDocument/2006/relationships/hyperlink" Target="https://docs.google.com/document/d/1YicqZLrb1251a76F8DGT5elbzWPh2GXQ3oeuvf_wcPc/edit?usp=drivesdk" TargetMode="External" Id="R325215b6455b4c32" /><Relationship Type="http://schemas.openxmlformats.org/officeDocument/2006/relationships/hyperlink" Target="https://docs.google.com/document/d/1HQq_lvqGYhiNwdYNN258lWDQvStZ9jDbfChU3Re1K6c/edit?usp=drivesdk" TargetMode="External" Id="Rcbbfcf399dc94ea2" /><Relationship Type="http://schemas.openxmlformats.org/officeDocument/2006/relationships/hyperlink" Target="https://docs.google.com/document/d/13v1paUum_aIl0f1Ea2vDtaihQBwZNf4lxyAFE2WsfxI/edit?usp=drivesdk" TargetMode="External" Id="R00294078f6494832" /><Relationship Type="http://schemas.openxmlformats.org/officeDocument/2006/relationships/hyperlink" Target="https://docs.google.com/spreadsheets/d/10Xf7khG6wgyp0GaGnnNYqUY3lkpktdoHGRynyXmnVNM/edit?usp=drivesdk" TargetMode="External" Id="R4fc94a8058c74b0d" /><Relationship Type="http://schemas.openxmlformats.org/officeDocument/2006/relationships/hyperlink" Target="https://docs.google.com/document/d/1ROapXbzOCYXFDC7k5slkdr_wMZK7OjC4JbXgxKEgOY0/edit?usp=drivesdk" TargetMode="External" Id="Re741ed1defd0437c" /><Relationship Type="http://schemas.openxmlformats.org/officeDocument/2006/relationships/hyperlink" Target="https://docs.google.com/document/d/1XnVHJUShqHMsQ0bi-LSO2ulMSXePL7uIqtVEb0867iQ/edit?usp=drivesdk" TargetMode="External" Id="R7b7898df889c474f" /><Relationship Type="http://schemas.openxmlformats.org/officeDocument/2006/relationships/hyperlink" Target="https://drive.google.com/file/d/1HLlMZ4lzC1m0ytqfnKwEpEOUsYOdm5sQ/view?usp=drivesdk" TargetMode="External" Id="R46c53e6b3fdd42b1" /><Relationship Type="http://schemas.openxmlformats.org/officeDocument/2006/relationships/hyperlink" Target="file:///Users/j2866/Documents/Codex/2026-09-11/t/outputs/ux-scope-current.md" TargetMode="External" Id="R0a9be4413d7740e6" /><Relationship Type="http://schemas.openxmlformats.org/officeDocument/2006/relationships/hyperlink" Target="https://drive.google.com/file/d/1NR0cq-JUfbgm8wX97HXqodLO5SOKW0_W/view?usp=drivesdk" TargetMode="External" Id="R8845653b24094e03" /><Relationship Type="http://schemas.openxmlformats.org/officeDocument/2006/relationships/hyperlink" Target="file:///Users/j2866/Documents/Codex/2026-09-11/t/outputs/wireframe-v0.1/index.html" TargetMode="External" Id="R440a9872f0d64346" /><Relationship Type="http://schemas.openxmlformats.org/officeDocument/2006/relationships/hyperlink" Target="https://drive.google.com/file/d/1mY_umCMTpfVmdlyhekiO94PAx8PegdkY/view?usp=drivesdk" TargetMode="External" Id="Rd2ea68f899e14bbc" /><Relationship Type="http://schemas.openxmlformats.org/officeDocument/2006/relationships/hyperlink" Target="file:///Users/j2866/Documents/Codex/2026-09-11/t/outputs/ux-next-organization.md" TargetMode="External" Id="R0cc28c0ceb914cda" /><Relationship Type="http://schemas.openxmlformats.org/officeDocument/2006/relationships/hyperlink" Target="https://drive.google.com/file/d/1ln0uYI_9QAWyNOPivctK5IBV57xz-_np/view?usp=drivesdk" TargetMode="External" Id="R6a99a4d8a5b447c0" /><Relationship Type="http://schemas.openxmlformats.org/officeDocument/2006/relationships/hyperlink" Target="file:///Users/j2866/Documents/Codex/2026-09-11/t/outputs/ux-coverage-v0.12.html" TargetMode="External" Id="R899814475df849bf" /><Relationship Type="http://schemas.openxmlformats.org/officeDocument/2006/relationships/hyperlink" Target="https://drive.google.com/file/d/1NYWUymXc3kqYgkju9tYbitC8f9Z6UI46/view?usp=drivesdk" TargetMode="External" Id="R3ab0bf926c81468b" /><Relationship Type="http://schemas.openxmlformats.org/officeDocument/2006/relationships/hyperlink" Target="file:///Users/j2866/Documents/Codex/2026-09-11/t/outputs/project-docs/01-danh-muc-ho-so.md" TargetMode="External" Id="R9d322fec88db453a" /><Relationship Type="http://schemas.openxmlformats.org/officeDocument/2006/relationships/hyperlink" Target="https://drive.google.com/file/d/1mGAlN70R3R1f2T6unB1109Kn5pGqbk1E/view?usp=drivesdk" TargetMode="External" Id="Rfc5162a04e72404b" /><Relationship Type="http://schemas.openxmlformats.org/officeDocument/2006/relationships/hyperlink" Target="file:///Users/j2866/Documents/Codex/2026-09-11/t/outputs/project-docs/02-user-flow.md" TargetMode="External" Id="R9e6187c6289a49b7" /><Relationship Type="http://schemas.openxmlformats.org/officeDocument/2006/relationships/hyperlink" Target="https://drive.google.com/file/d/1JYdVgiAacBM4GPAuVw2cm5Ht8HanIY58/view?usp=drivesdk" TargetMode="External" Id="Re107d762f78c4823" /><Relationship Type="http://schemas.openxmlformats.org/officeDocument/2006/relationships/hyperlink" Target="file:///Users/j2866/Documents/Codex/2026-09-11/t/outputs/project-docs/03-screen-flow.md" TargetMode="External" Id="R599fb386ee494673" /><Relationship Type="http://schemas.openxmlformats.org/officeDocument/2006/relationships/hyperlink" Target="https://drive.google.com/file/d/1MY2aNvEm_Da1g8AdKSpxsulzE0v3-cKe/view?usp=drivesdk" TargetMode="External" Id="R1a89dab9d4a84645" /><Relationship Type="http://schemas.openxmlformats.org/officeDocument/2006/relationships/hyperlink" Target="file:///Users/j2866/Documents/Codex/2026-09-11/t/outputs/project-docs/04-sequence-diagrams.md" TargetMode="External" Id="R4008f0df7ef64752" /><Relationship Type="http://schemas.openxmlformats.org/officeDocument/2006/relationships/hyperlink" Target="https://drive.google.com/file/d/1BfdnRNFOl5uOO-IvQEYkOPgXqV0EqfCQ/view?usp=drivesdk" TargetMode="External" Id="R926c1804c7b44546" /><Relationship Type="http://schemas.openxmlformats.org/officeDocument/2006/relationships/hyperlink" Target="file:///Users/j2866/Documents/Codex/2026-09-11/t/outputs/project-docs/project-docs.html" TargetMode="External" Id="R2256ded0c796492f" /><Relationship Type="http://schemas.openxmlformats.org/officeDocument/2006/relationships/hyperlink" Target="https://drive.google.com/file/d/1_jKPh86xmVQxIhwrVNqtAHrRAnAebyfn/view?usp=drivesdk" TargetMode="External" Id="Ra89bf6dccf6548ac" /><Relationship Type="http://schemas.openxmlformats.org/officeDocument/2006/relationships/hyperlink" Target="file:///Users/j2866/Documents/Codex/2026-09-11/t/outputs/project-docs/architecture.html" TargetMode="External" Id="R7c6336be6f4b40a0" /><Relationship Type="http://schemas.openxmlformats.org/officeDocument/2006/relationships/hyperlink" Target="https://drive.google.com/file/d/10s83LbacAsq22KQA_hHUZHOQov1iyaZG/view?usp=drivesdk" TargetMode="External" Id="R64cb6a4d65c54bd2" /><Relationship Type="http://schemas.openxmlformats.org/officeDocument/2006/relationships/hyperlink" Target="file:///Users/j2866/Documents/Codex/2026-09-11/t/outputs/project-docs/architecture-v0.1.md" TargetMode="External" Id="R111949ac6c394d0d" /><Relationship Type="http://schemas.openxmlformats.org/officeDocument/2006/relationships/hyperlink" Target="https://drive.google.com/file/d/1QFvCWLng19VPnOoXcCZ2i0PUCsmlexMC/view?usp=drivesdk" TargetMode="External" Id="Re5e76b89bd154cf3" /><Relationship Type="http://schemas.openxmlformats.org/officeDocument/2006/relationships/hyperlink" Target="file:///Users/j2866/Documents/Codex/2026-09-11/t/outputs/project-docs/architecture-source-v0.1.zip" TargetMode="External" Id="R594c69360de2435a" /><Relationship Type="http://schemas.openxmlformats.org/officeDocument/2006/relationships/hyperlink" Target="file:///Users/j2866/Documents/Codex/2026-09-11/t/outputs/design-audit-v0.21/counts.json" TargetMode="External" Id="Rab0fbebc57d0499a" /><Relationship Type="http://schemas.openxmlformats.org/officeDocument/2006/relationships/hyperlink" Target="file:///Users/j2866/Documents/Codex/2026-09-11/t/outputs/design-audit-v0.21/fix-status-v0.22.md" TargetMode="External" Id="Rdfe484449dcf4457" /><Relationship Type="http://schemas.openxmlformats.org/officeDocument/2006/relationships/hyperlink" Target="file:///Users/j2866/Documents/Codex/2026-09-11/t/outputs/design-audit-v0.21/index.html" TargetMode="External" Id="R07c8dca85f984146" /><Relationship Type="http://schemas.openxmlformats.org/officeDocument/2006/relationships/hyperlink" Target="file:///Users/j2866/Documents/Codex/2026-09-11/t/outputs/design-audit-v0.21/report.md" TargetMode="External" Id="Rffd6f20d08c1402f" /><Relationship Type="http://schemas.openxmlformats.org/officeDocument/2006/relationships/hyperlink" Target="file:///Users/j2866/Documents/Codex/2026-09-11/t/outputs/design-audit-v0.21/traceability.csv" TargetMode="External" Id="R3fa1a3ec74734511" /><Relationship Type="http://schemas.openxmlformats.org/officeDocument/2006/relationships/hyperlink" Target="file:///Users/j2866/Documents/Codex/2026-09-11/t/outputs/design-audit-v0.21/traceability.json" TargetMode="External" Id="R12a6c5386a1b41ba" /><Relationship Type="http://schemas.openxmlformats.org/officeDocument/2006/relationships/hyperlink" Target="file:///Users/j2866/Documents/Codex/2026-09-11/t/outputs/project-docs/architecture/05-tong-quan-thiet-ke.md" TargetMode="External" Id="Rd75196184cda4489" /><Relationship Type="http://schemas.openxmlformats.org/officeDocument/2006/relationships/hyperlink" Target="file:///Users/j2866/Documents/Codex/2026-09-11/t/outputs/project-docs/architecture/06-trang-thai.md" TargetMode="External" Id="Rb45e9c6665d84346" /><Relationship Type="http://schemas.openxmlformats.org/officeDocument/2006/relationships/hyperlink" Target="file:///Users/j2866/Documents/Codex/2026-09-11/t/outputs/project-docs/architecture/07-phan-quyen.md" TargetMode="External" Id="Rd6893a8f2f11420e" /><Relationship Type="http://schemas.openxmlformats.org/officeDocument/2006/relationships/hyperlink" Target="file:///Users/j2866/Documents/Codex/2026-09-11/t/outputs/project-docs/architecture/08-kien-truc-ADR.md" TargetMode="External" Id="Rf21ef8c5ef344c68" /><Relationship Type="http://schemas.openxmlformats.org/officeDocument/2006/relationships/hyperlink" Target="file:///Users/j2866/Documents/Codex/2026-09-11/t/outputs/project-docs/architecture/09-ERD-so-tai-chinh.md" TargetMode="External" Id="R3872b4c04505484c" /><Relationship Type="http://schemas.openxmlformats.org/officeDocument/2006/relationships/hyperlink" Target="file:///Users/j2866/Documents/Codex/2026-09-11/t/outputs/project-docs/architecture/10-sequence-API.md" TargetMode="External" Id="R006fbf7455a74dad" /><Relationship Type="http://schemas.openxmlformats.org/officeDocument/2006/relationships/hyperlink" Target="file:///Users/j2866/Documents/Codex/2026-09-11/t/outputs/project-docs/architecture/11-quyet-dinh-va-kiem-chung.md" TargetMode="External" Id="R652865ac36974767" /><Relationship Type="http://schemas.openxmlformats.org/officeDocument/2006/relationships/hyperlink" Target="file:///Users/j2866/Documents/Codex/2026-09-11/t/outputs/project-docs/architecture/README.md" TargetMode="External" Id="R16b51ef494894a73" /><Relationship Type="http://schemas.openxmlformats.org/officeDocument/2006/relationships/hyperlink" Target="file:///Users/j2866/Documents/Codex/2026-09-11/t/outputs/project-docs/architecture/architecture.json" TargetMode="External" Id="Rceea11cfe35e4019" /><Relationship Type="http://schemas.openxmlformats.org/officeDocument/2006/relationships/hyperlink" Target="file:///Users/j2866/Documents/Codex/2026-09-11/t/outputs/project-docs/flows.json" TargetMode="External" Id="R88861315655642b0" /><Relationship Type="http://schemas.openxmlformats.org/officeDocument/2006/relationships/hyperlink" Target="file:///Users/j2866/Documents/Codex/2026-09-11/t/outputs/wireframe-v0.1/audit.html" TargetMode="External" Id="R644338c946234066" /><Relationship Type="http://schemas.openxmlformats.org/officeDocument/2006/relationships/hyperlink" Target="file:///Users/j2866/Documents/Codex/2026-09-11/t/outputs/wireframe-v0.1/fix-status.html" TargetMode="External" Id="R573ad5bce6a34e63" /><Relationship Type="http://schemas.openxmlformats.org/officeDocument/2006/relationships/hyperlink" Target="https://drive.google.com/file/d/10oNlaNo0zFVC8F_fnjFmJrrVahu5TyEI/view?usp=drivesdk" TargetMode="External" Id="R17dc48d8da924a37" /><Relationship Type="http://schemas.openxmlformats.org/officeDocument/2006/relationships/hyperlink" Target="https://drive.google.com/file/d/1XtwMHGx2jBE491-E7rCaJHulQ2XrneR5/view?usp=drivesdk" TargetMode="External" Id="Re87e58e6bc7f49cb" /><Relationship Type="http://schemas.openxmlformats.org/officeDocument/2006/relationships/hyperlink" Target="https://drive.google.com/file/d/1eE5IvNzIMPson4PO2uwqQ9GGEHky_Cp6/view?usp=drivesdk" TargetMode="External" Id="R5f40d825c0634374" /><Relationship Type="http://schemas.openxmlformats.org/officeDocument/2006/relationships/hyperlink" Target="https://drive.google.com/file/d/1pJieipNm0-CL8furUSqQFYjoaGNa4Kjo/view?usp=drivesdk" TargetMode="External" Id="R9942870422434496" /><Relationship Type="http://schemas.openxmlformats.org/officeDocument/2006/relationships/hyperlink" Target="file:///Users/j2866/Documents/Codex/2026-09-11/t/AGENTS.md" TargetMode="External" Id="Rc34f74f0df7941ad" /><Relationship Type="http://schemas.openxmlformats.org/officeDocument/2006/relationships/hyperlink" Target="https://drive.google.com/file/d/15EgWqgGgTsG11r9BBF7boNAL0jY2Wi_a/view?usp=drivesdk" TargetMode="External" Id="Rb102fbc239c04860" /><Relationship Type="http://schemas.openxmlformats.org/officeDocument/2006/relationships/hyperlink" Target="https://drive.google.com/file/d/1_U6V5_TJ4vXuRCgc42G-xUX2HAWEjEjc/view?usp=drivesdk" TargetMode="External" Id="R3634959fb0d546ff" /><Relationship Type="http://schemas.openxmlformats.org/officeDocument/2006/relationships/hyperlink" Target="https://drive.google.com/file/d/1aO9fJeNj78rOpQwhgWCeiWJSnRz5FXl6/view?usp=drivesdk" TargetMode="External" Id="R01a26ed0a81e486c" /><Relationship Type="http://schemas.openxmlformats.org/officeDocument/2006/relationships/hyperlink" Target="https://drive.google.com/file/d/18z-ReFxGP-RhX5_cOVTidcHJJGFfB48D/view?usp=drivesdk" TargetMode="External" Id="Rde5304aa0be940d2" /><Relationship Type="http://schemas.openxmlformats.org/officeDocument/2006/relationships/hyperlink" Target="https://drive.google.com/file/d/18z-ReFxGP-RhX5_cOVTidcHJJGFfB48D/view?usp=drivesdk" TargetMode="External" Id="Rac2d61c40d254898" /><Relationship Type="http://schemas.openxmlformats.org/officeDocument/2006/relationships/hyperlink" Target="https://drive.google.com/file/d/18z-ReFxGP-RhX5_cOVTidcHJJGFfB48D/view?usp=drivesdk" TargetMode="External" Id="Reae7b0f81d6e4505" /><Relationship Type="http://schemas.openxmlformats.org/officeDocument/2006/relationships/hyperlink" Target="https://drive.google.com/file/d/18z-ReFxGP-RhX5_cOVTidcHJJGFfB48D/view?usp=drivesdk" TargetMode="External" Id="R23e6c7dd569c4347" /><Relationship Type="http://schemas.openxmlformats.org/officeDocument/2006/relationships/hyperlink" Target="https://drive.google.com/file/d/18z-ReFxGP-RhX5_cOVTidcHJJGFfB48D/view?usp=drivesdk" TargetMode="External" Id="Rd31b916a519a43f3" /><Relationship Type="http://schemas.openxmlformats.org/officeDocument/2006/relationships/hyperlink" Target="https://drive.google.com/file/d/18z-ReFxGP-RhX5_cOVTidcHJJGFfB48D/view?usp=drivesdk" TargetMode="External" Id="Ra6382068b1a34749" /><Relationship Type="http://schemas.openxmlformats.org/officeDocument/2006/relationships/hyperlink" Target="https://drive.google.com/file/d/18z-ReFxGP-RhX5_cOVTidcHJJGFfB48D/view?usp=drivesdk" TargetMode="External" Id="R2b50b64f761f4afa" /><Relationship Type="http://schemas.openxmlformats.org/officeDocument/2006/relationships/hyperlink" Target="https://drive.google.com/file/d/18z-ReFxGP-RhX5_cOVTidcHJJGFfB48D/view?usp=drivesdk" TargetMode="External" Id="R28639fcfa9dd42b4" /><Relationship Type="http://schemas.openxmlformats.org/officeDocument/2006/relationships/hyperlink" Target="https://drive.google.com/file/d/18z-ReFxGP-RhX5_cOVTidcHJJGFfB48D/view?usp=drivesdk" TargetMode="External" Id="Ra714eff8be4f4e33" /><Relationship Type="http://schemas.openxmlformats.org/officeDocument/2006/relationships/hyperlink" Target="https://www.figma.com/design/cgFBrVCTbmYZHzVHA1fI1O" TargetMode="External" Id="R94353ca5a8cc4c0c" /><Relationship Type="http://schemas.openxmlformats.org/officeDocument/2006/relationships/hyperlink" Target="https://drive.google.com/file/d/1Unjr9ELcli6zcOb-4U2z62EDZo8Q5iE7/view?usp=drivesdk" TargetMode="External" Id="R5b6ea5c2c72d480b" /><Relationship Type="http://schemas.openxmlformats.org/officeDocument/2006/relationships/hyperlink" Target="https://design.penpot.app/#/workspace?team-id=b564c72c-f31f-81ec-8008-ae7a8797e0f6&amp;project-id=b564c72c-f31f-81ec-8008-ae7aaaf1fe07&amp;file-id=220f6449-533e-815b-8008-ae7c48b7a2d1&amp;page-id=220f6449-533e-815b-8008-ae7c48b7a2d2" TargetMode="External" Id="Rf941167b98ee4f40" /><Relationship Type="http://schemas.openxmlformats.org/officeDocument/2006/relationships/hyperlink" Target="https://drive.google.com/file/d/1Unjr9ELcli6zcOb-4U2z62EDZo8Q5iE7/view?usp=drivesdk" TargetMode="External" Id="R5dda82b0c49f49af" /><Relationship Type="http://schemas.openxmlformats.org/officeDocument/2006/relationships/table" Target="/xl/tables/table1.xml" Id="Rf4f8baf4d61b412d" /></Relationships>
</file>

<file path=xl/worksheets/_rels/sheet3.xml.rels>&#65279;<?xml version="1.0" encoding="utf-8"?><Relationships xmlns="http://schemas.openxmlformats.org/package/2006/relationships"><Relationship Type="http://schemas.openxmlformats.org/officeDocument/2006/relationships/table" Target="/xl/tables/table2.xml" Id="Rf58d65787d02452b" /></Relationships>
</file>

<file path=xl/worksheets/_rels/sheet4.xml.rels>&#65279;<?xml version="1.0" encoding="utf-8"?><Relationships xmlns="http://schemas.openxmlformats.org/package/2006/relationships"><Relationship Type="http://schemas.openxmlformats.org/officeDocument/2006/relationships/table" Target="/xl/tables/table3.xml" Id="R23f05b12a49e4d7e" /></Relationships>
</file>

<file path=xl/worksheets/_rels/sheet5.xml.rels>&#65279;<?xml version="1.0" encoding="utf-8"?><Relationships xmlns="http://schemas.openxmlformats.org/package/2006/relationships"><Relationship Type="http://schemas.openxmlformats.org/officeDocument/2006/relationships/table" Target="/xl/tables/table4.xml" Id="R300e88f94a0b489b" /></Relationships>
</file>

<file path=xl/worksheets/_rels/sheet6.xml.rels>&#65279;<?xml version="1.0" encoding="utf-8"?><Relationships xmlns="http://schemas.openxmlformats.org/package/2006/relationships"><Relationship Type="http://schemas.openxmlformats.org/officeDocument/2006/relationships/table" Target="/xl/tables/table5.xml" Id="R762830d1d4b84261" /></Relationships>
</file>

<file path=xl/worksheets/sheet1.xml><?xml version="1.0" encoding="utf-8"?>
<x:worksheet xmlns:x="http://schemas.openxmlformats.org/spreadsheetml/2006/main">
  <x:sheetPr>
    <x:tabColor rgb="FF23445D"/>
  </x:sheetPr>
  <x:sheetViews>
    <x:sheetView showGridLines="0" workbookViewId="0"/>
  </x:sheetViews>
  <x:sheetFormatPr baseColWidth="8" defaultRowHeight="15"/>
  <x:cols>
    <x:col min="1" max="1" width="8" customWidth="1"/>
    <x:col min="2" max="2" width="37" customWidth="1"/>
    <x:col min="3" max="3" width="52" customWidth="1"/>
    <x:col min="4" max="4" width="22" customWidth="1"/>
    <x:col min="5" max="5" width="25" customWidth="1"/>
    <x:col min="6" max="6" width="28" customWidth="1"/>
  </x:cols>
  <x:sheetData>
    <x:row r="1">
      <x:c r="A1" s="1" t="n"/>
      <x:c r="B1" s="1" t="n"/>
      <x:c r="C1" s="1" t="n"/>
      <x:c r="D1" s="1" t="n"/>
      <x:c r="E1" s="1" t="n"/>
      <x:c r="F1" s="1" t="n"/>
    </x:row>
    <x:row r="2">
      <x:c r="A2" s="1" t="n"/>
      <x:c r="B2" s="12" t="inlineStr">
        <x:is>
          <x:t xml:space="preserve">Sổ quản lý tài liệu dự án</x:t>
        </x:is>
      </x:c>
      <x:c r="C2" s="1" t="n"/>
      <x:c r="D2" s="1" t="n"/>
      <x:c r="E2" s="1" t="n"/>
      <x:c r="F2" s="1" t="n"/>
    </x:row>
    <x:row r="3">
      <x:c r="A3" s="1" t="n"/>
      <x:c r="B3" s="1" t="str">
        <x:v>Phiên bản 1.47 · 07/10/2026 · MAP-03 + P0-2: bỏ nhập tọa độ, yêu cầu/nhận việc và HTTP chat; API v0.1.9. DEMO local/test; OTP/WebSocket Pending.</x:v>
      </x:c>
      <x:c r="C3" s="1" t="n"/>
      <x:c r="D3" s="1" t="n"/>
      <x:c r="E3" s="1" t="n"/>
      <x:c r="F3" s="1" t="n"/>
    </x:row>
    <x:row r="4">
      <x:c r="A4" s="1" t="n"/>
      <x:c r="B4" s="1" t="n"/>
      <x:c r="C4" s="1" t="n"/>
      <x:c r="D4" s="1" t="n"/>
      <x:c r="E4" s="1" t="n"/>
      <x:c r="F4" s="1" t="n"/>
    </x:row>
    <x:row r="5" ht="25" customHeight="1">
      <x:c r="A5" s="1" t="n"/>
      <x:c r="B5" s="1" t="inlineStr">
        <x:is>
          <x:t xml:space="preserve">Tài liệu hiện có</x:t>
        </x:is>
      </x:c>
      <x:c r="C5" s="26" t="n">
        <x:f>COUNTA('Danh muc'!A6:A1000)-COUNTIFS('Danh muc'!F6:F1000,"Chưa có")</x:f>
        <x:v>97</x:v>
      </x:c>
      <x:c r="D5" s="1" t="n"/>
      <x:c r="E5" s="1" t="n"/>
      <x:c r="F5" s="1" t="n"/>
    </x:row>
    <x:row r="6" ht="25" customHeight="1">
      <x:c r="A6" s="1" t="n"/>
      <x:c r="B6" s="1" t="inlineStr">
        <x:is>
          <x:t xml:space="preserve">Tài liệu cần tạo</x:t>
        </x:is>
      </x:c>
      <x:c r="C6" s="26" t="n">
        <x:f>COUNTIFS('Danh muc'!F6:F1000,"Chưa có")</x:f>
        <x:v>2</x:v>
      </x:c>
      <x:c r="D6" s="1" t="n"/>
      <x:c r="E6" s="1" t="n"/>
      <x:c r="F6" s="1" t="n"/>
    </x:row>
    <x:row r="7" ht="25" customHeight="1">
      <x:c r="A7" s="1" t="n"/>
      <x:c r="B7" s="1" t="inlineStr">
        <x:is>
          <x:t xml:space="preserve">Dòng cần đồng bộ</x:t>
        </x:is>
      </x:c>
      <x:c r="C7" s="26" t="n">
        <x:f>COUNTA('Dong bo'!A6:A1000)-COUNTIFS('Dong bo'!L6:L1000,"Hoàn tất")-COUNTIFS('Dong bo'!L6:L1000,"Không áp dụng có lý do")</x:f>
        <x:v>37</x:v>
      </x:c>
      <x:c r="D7" s="1" t="n"/>
      <x:c r="E7" s="1" t="n"/>
      <x:c r="F7" s="1" t="n"/>
    </x:row>
    <x:row r="8" ht="25" customHeight="1">
      <x:c r="A8" s="1" t="n"/>
      <x:c r="B8" s="1" t="inlineStr">
        <x:is>
          <x:t xml:space="preserve">Dòng đã kiểm hoàn tất</x:t>
        </x:is>
      </x:c>
      <x:c r="C8" s="26" t="n">
        <x:f>COUNTIFS('Dong bo'!L6:L1000,"Hoàn tất")</x:f>
        <x:v>549</x:v>
      </x:c>
      <x:c r="D8" s="1" t="n"/>
      <x:c r="E8" s="1" t="n"/>
      <x:c r="F8" s="1" t="n"/>
    </x:row>
    <x:row r="9">
      <x:c r="A9" s="1" t="n"/>
      <x:c r="B9" s="1" t="n"/>
      <x:c r="C9" s="1" t="n"/>
      <x:c r="D9" s="1" t="n"/>
      <x:c r="E9" s="1" t="n"/>
      <x:c r="F9" s="1" t="n"/>
    </x:row>
    <x:row r="10">
      <x:c r="A10" s="1" t="n"/>
      <x:c r="B10" s="1" t="n"/>
      <x:c r="C10" s="1" t="n"/>
      <x:c r="D10" s="1" t="n"/>
      <x:c r="E10" s="1" t="n"/>
      <x:c r="F10" s="1" t="n"/>
    </x:row>
    <x:row r="11" ht="24" customHeight="1">
      <x:c r="A11" s="1" t="n"/>
      <x:c r="B11" s="5" t="inlineStr">
        <x:is>
          <x:t xml:space="preserve">Mở bảng</x:t>
        </x:is>
      </x:c>
      <x:c r="C11" s="5" t="inlineStr">
        <x:is>
          <x:t xml:space="preserve">Dùng để</x:t>
        </x:is>
      </x:c>
      <x:c r="D11" s="1" t="n"/>
      <x:c r="E11" s="1" t="n"/>
      <x:c r="F11" s="1" t="n"/>
    </x:row>
    <x:row r="12" ht="28" customHeight="1">
      <x:c r="A12" s="1" t="n"/>
      <x:c r="B12" s="14" t="inlineStr">
        <x:is>
          <x:t xml:space="preserve">#gid=1174524789</x:t>
        </x:is>
      </x:c>
      <x:c r="C12" s="1" t="inlineStr">
        <x:is>
          <x:t xml:space="preserve">Tìm tài liệu, phiên bản, bản chính và bản cũ</x:t>
        </x:is>
      </x:c>
      <x:c r="D12" s="1" t="n"/>
      <x:c r="E12" s="1" t="n"/>
      <x:c r="F12" s="1" t="n"/>
    </x:row>
    <x:row r="13" ht="28" customHeight="1">
      <x:c r="A13" s="1" t="n"/>
      <x:c r="B13" s="14" t="inlineStr">
        <x:is>
          <x:t xml:space="preserve">#gid=1659053007</x:t>
        </x:is>
      </x:c>
      <x:c r="C13" s="1" t="inlineStr">
        <x:is>
          <x:t xml:space="preserve">Tìm tất cả tài liệu liên quan đến chức năng</x:t>
        </x:is>
      </x:c>
      <x:c r="D13" s="1" t="n"/>
      <x:c r="E13" s="1" t="n"/>
      <x:c r="F13" s="1" t="n"/>
    </x:row>
    <x:row r="14" ht="28" customHeight="1">
      <x:c r="A14" s="1" t="n"/>
      <x:c r="B14" s="14" t="inlineStr">
        <x:is>
          <x:t xml:space="preserve">#gid=1142207888</x:t>
        </x:is>
      </x:c>
      <x:c r="C14" s="1" t="inlineStr">
        <x:is>
          <x:t xml:space="preserve">Đọc đúng nội dung user đã chốt</x:t>
        </x:is>
      </x:c>
      <x:c r="D14" s="1" t="n"/>
      <x:c r="E14" s="1" t="n"/>
      <x:c r="F14" s="1" t="n"/>
    </x:row>
    <x:row r="15" ht="28" customHeight="1">
      <x:c r="A15" s="1" t="n"/>
      <x:c r="B15" s="14" t="inlineStr">
        <x:is>
          <x:t xml:space="preserve">#gid=1783723350</x:t>
        </x:is>
      </x:c>
      <x:c r="C15" s="1" t="inlineStr">
        <x:is>
          <x:t xml:space="preserve">Theo dõi sửa từng tài liệu và bằng chứng</x:t>
        </x:is>
      </x:c>
      <x:c r="D15" s="1" t="n"/>
      <x:c r="E15" s="1" t="n"/>
      <x:c r="F15" s="1" t="n"/>
    </x:row>
    <x:row r="16" ht="28" customHeight="1">
      <x:c r="A16" s="1" t="n"/>
      <x:c r="B16" s="14" t="inlineStr">
        <x:is>
          <x:t xml:space="preserve">#gid=1416641078</x:t>
        </x:is>
      </x:c>
      <x:c r="C16" s="1" t="inlineStr">
        <x:is>
          <x:t xml:space="preserve">Thực hiện quy tắc cập nhật nhất quán</x:t>
        </x:is>
      </x:c>
      <x:c r="D16" s="1" t="n"/>
      <x:c r="E16" s="1" t="n"/>
      <x:c r="F16" s="1" t="n"/>
    </x:row>
    <x:row r="17">
      <x:c r="A17" s="1" t="n"/>
      <x:c r="B17" s="1" t="n"/>
      <x:c r="C17" s="1" t="n"/>
      <x:c r="D17" s="1" t="n"/>
      <x:c r="E17" s="1" t="n"/>
      <x:c r="F17" s="1" t="n"/>
    </x:row>
    <x:row r="18">
      <x:c r="A18" s="1" t="n"/>
      <x:c r="B18" s="1" t="n"/>
      <x:c r="C18" s="1" t="n"/>
      <x:c r="D18" s="1" t="n"/>
      <x:c r="E18" s="1" t="n"/>
      <x:c r="F18" s="1" t="n"/>
    </x:row>
    <x:row r="19">
      <x:c r="A19" s="1" t="n"/>
      <x:c r="B19" s="15" t="inlineStr">
        <x:is>
          <x:t xml:space="preserve">Cách xử lý một yêu cầu sửa chức năng</x:t>
        </x:is>
      </x:c>
      <x:c r="C19" s="1" t="n"/>
      <x:c r="D19" s="1" t="n"/>
      <x:c r="E19" s="1" t="n"/>
      <x:c r="F19" s="1" t="n"/>
    </x:row>
    <x:row r="20">
      <x:c r="A20" s="1" t="n"/>
      <x:c r="B20" s="1" t="inlineStr">
        <x:is>
          <x:t xml:space="preserve">Chốt quyết định → lọc chức năng → sửa nguồn và bản xuất → kiểm chéo → cập nhật sổ.</x:t>
        </x:is>
      </x:c>
      <x:c r="C20" s="1" t="n"/>
      <x:c r="D20" s="1" t="n"/>
      <x:c r="E20" s="1" t="n"/>
      <x:c r="F20" s="1" t="n"/>
    </x:row>
    <x:row r="21">
      <x:c r="A21" s="1" t="n"/>
      <x:c r="B21" s="1" t="n"/>
      <x:c r="C21" s="1" t="n"/>
      <x:c r="D21" s="1" t="n"/>
      <x:c r="E21" s="1" t="n"/>
      <x:c r="F21" s="1" t="n"/>
    </x:row>
    <x:row r="22">
      <x:c r="A22" s="1" t="n"/>
      <x:c r="B22" s="15" t="inlineStr">
        <x:is>
          <x:t xml:space="preserve">Lưu ý hiện tại</x:t>
        </x:is>
      </x:c>
      <x:c r="C22" s="1" t="n"/>
      <x:c r="D22" s="1" t="n"/>
      <x:c r="E22" s="1" t="n"/>
      <x:c r="F22" s="1" t="n"/>
    </x:row>
    <x:row r="23" ht="70" customHeight="1">
      <x:c r="A23" s="1" t="n"/>
      <x:c r="B23" s="1" t="inlineStr">
        <x:is>
          <x:t xml:space="preserve">Danh mục và email/mật khẩu local đã kiểm native/CI tại 50d184a. Toàn B01/B02 chưa xong; i18n chưa có. Xem DOC-082/083/087/088. UAT/production/tiền thật chưa mở; Drive của bộ DELIVERY-01 chưa đồng bộ.</x:t>
        </x:is>
      </x:c>
      <x:c r="C23" s="1" t="n"/>
      <x:c r="D23" s="1" t="n"/>
      <x:c r="E23" s="1" t="n"/>
      <x:c r="F23" s="1" t="n"/>
    </x:row>
    <x:row r="24">
      <x:c r="A24" s="1" t="n"/>
      <x:c r="B24" s="1" t="n"/>
      <x:c r="C24" s="1" t="n"/>
      <x:c r="D24" s="1" t="n"/>
      <x:c r="E24" s="1" t="n"/>
      <x:c r="F24" s="1" t="n"/>
    </x:row>
    <x:row r="25">
      <x:c r="A25" s="1" t="n"/>
      <x:c r="B25" s="1" t="inlineStr">
        <x:is>
          <x:t xml:space="preserve">Lọc Danh muc → Mới nhất để tìm bản hiện hành đã kiểm. Đề xuất chưa duyệt vẫn ghi tại Quyet dinh.</x:t>
        </x:is>
      </x:c>
      <x:c r="C25" s="1" t="n"/>
      <x:c r="D25" s="1" t="n"/>
      <x:c r="E25" s="1" t="n"/>
      <x:c r="F25" s="1" t="n"/>
    </x:row>
    <x:row r="26">
      <x:c r="A26" s="1" t="n"/>
      <x:c r="B26" s="1" t="n"/>
      <x:c r="C26" s="1" t="n"/>
      <x:c r="D26" s="1" t="n"/>
      <x:c r="E26" s="1" t="n"/>
      <x:c r="F26" s="1" t="n"/>
    </x:row>
    <x:row r="27">
      <x:c r="A27" s="1" t="n"/>
      <x:c r="B27" s="14" t="inlineStr">
        <x:is>
          <x:t xml:space="preserve">Mở thư mục dự án trên Drive</x:t>
        </x:is>
      </x:c>
      <x:c r="C27" s="1" t="n"/>
      <x:c r="D27" s="1" t="n"/>
      <x:c r="E27" s="1" t="n"/>
      <x:c r="F27" s="1" t="n"/>
    </x:row>
  </x:sheetData>
  <x:hyperlinks>
    <x:hyperlink ref="B12" location="'Danh muc'!A1"/>
    <x:hyperlink ref="B13" location="'Anh huong'!A1"/>
    <x:hyperlink ref="B14" location="'Quyet dinh'!A1"/>
    <x:hyperlink ref="B15" location="'Dong bo'!A1"/>
    <x:hyperlink ref="B16" location="'Quy trinh'!A1"/>
    <x:hyperlink xmlns:r="http://schemas.openxmlformats.org/officeDocument/2006/relationships" ref="B27" r:id="R83522798db1d4d0e"/>
  </x:hyperlinks>
  <x:pageMargins left="0.7" right="0.7" top="0.75" bottom="0.75" header="0.3" footer="0.3"/>
</x:worksheet>
</file>

<file path=xl/worksheets/sheet2.xml><?xml version="1.0" encoding="utf-8"?>
<x:worksheet xmlns:x="http://schemas.openxmlformats.org/spreadsheetml/2006/main">
  <x:sheetPr>
    <x:tabColor rgb="FF486D85"/>
  </x:sheetPr>
  <x:sheetViews>
    <x:sheetView showGridLines="0" workbookViewId="0">
      <x:pane ySplit="5" topLeftCell="A6" activePane="bottomLeft" state="frozen"/>
    </x:sheetView>
  </x:sheetViews>
  <x:sheetFormatPr baseColWidth="8" defaultRowHeight="15"/>
  <x:cols>
    <x:col min="1" max="1" width="14" customWidth="1"/>
    <x:col min="2" max="2" width="43" customWidth="1"/>
    <x:col min="3" max="3" width="24" customWidth="1"/>
    <x:col min="4" max="4" width="22" customWidth="1"/>
    <x:col min="5" max="5" width="20" customWidth="1"/>
    <x:col min="6" max="6" width="22" customWidth="1"/>
    <x:col min="7" max="7" width="27" customWidth="1"/>
    <x:col min="8" max="8" width="18" customWidth="1"/>
    <x:col min="9" max="9" width="56" customWidth="1"/>
    <x:col min="10" max="10" width="56" customWidth="1"/>
    <x:col min="11" max="11" width="54" customWidth="1"/>
    <x:col min="12" max="12" width="18" customWidth="1"/>
  </x:cols>
  <x:sheetData>
    <x:row r="1">
      <x:c r="A1" s="1" t="n"/>
      <x:c r="B1" s="1" t="n"/>
      <x:c r="C1" s="1" t="n"/>
      <x:c r="D1" s="1" t="n"/>
      <x:c r="E1" s="1" t="n"/>
      <x:c r="F1" s="1" t="n"/>
      <x:c r="G1" s="1" t="n"/>
      <x:c r="H1" s="1" t="n"/>
      <x:c r="I1" s="1" t="n"/>
      <x:c r="J1" s="1" t="n"/>
      <x:c r="K1" s="1" t="n"/>
      <x:c r="L1" s="1" t="n"/>
    </x:row>
    <x:row r="2">
      <x:c r="A2" s="2" t="inlineStr">
        <x:is>
          <x:t xml:space="preserve">Danh mục tài liệu</x:t>
        </x:is>
      </x:c>
      <x:c r="B2" s="1" t="n"/>
      <x:c r="C2" s="1" t="n"/>
      <x:c r="D2" s="1" t="n"/>
      <x:c r="E2" s="1" t="n"/>
      <x:c r="F2" s="1" t="n"/>
      <x:c r="G2" s="1" t="n"/>
      <x:c r="H2" s="1" t="n"/>
      <x:c r="I2" s="1" t="n"/>
      <x:c r="J2" s="1" t="n"/>
      <x:c r="K2" s="1" t="n"/>
      <x:c r="L2" s="1" t="n"/>
    </x:row>
    <x:row r="3">
      <x:c r="A3" s="3" t="inlineStr">
        <x:is>
          <x:t xml:space="preserve">Mới nhất = bản hiện hành khớp quyết định đã chốt; không đồng nghĩa mọi đề xuất đã được duyệt.</x:t>
        </x:is>
      </x:c>
      <x:c r="B3" s="1" t="n"/>
      <x:c r="C3" s="1" t="n"/>
      <x:c r="D3" s="1" t="n"/>
      <x:c r="E3" s="1" t="n"/>
      <x:c r="F3" s="1" t="n"/>
      <x:c r="G3" s="1" t="n"/>
      <x:c r="H3" s="1" t="n"/>
      <x:c r="I3" s="1" t="n"/>
      <x:c r="J3" s="1" t="n"/>
      <x:c r="K3" s="1" t="n"/>
      <x:c r="L3" s="1" t="n"/>
    </x:row>
    <x:row r="4">
      <x:c r="A4" s="1" t="n"/>
      <x:c r="B4" s="1" t="n"/>
      <x:c r="C4" s="1" t="n"/>
      <x:c r="D4" s="1" t="n"/>
      <x:c r="E4" s="1" t="n"/>
      <x:c r="F4" s="1" t="n"/>
      <x:c r="G4" s="1" t="n"/>
      <x:c r="H4" s="1" t="n"/>
      <x:c r="I4" s="1" t="n"/>
      <x:c r="J4" s="1" t="n"/>
      <x:c r="K4" s="1" t="n"/>
      <x:c r="L4" s="1" t="n"/>
    </x:row>
    <x:row r="5" ht="34" customHeight="1">
      <x:c r="A5" s="6" t="inlineStr">
        <x:is>
          <x:t xml:space="preserve">Mã tài liệu</x:t>
        </x:is>
      </x:c>
      <x:c r="B5" s="6" t="inlineStr">
        <x:is>
          <x:t xml:space="preserve">Tài liệu</x:t>
        </x:is>
      </x:c>
      <x:c r="C5" s="6" t="inlineStr">
        <x:is>
          <x:t xml:space="preserve">Nhóm</x:t>
        </x:is>
      </x:c>
      <x:c r="D5" s="6" t="inlineStr">
        <x:is>
          <x:t xml:space="preserve">Phiên bản</x:t>
        </x:is>
      </x:c>
      <x:c r="E5" s="6" t="inlineStr">
        <x:is>
          <x:t xml:space="preserve">Vai trò</x:t>
        </x:is>
      </x:c>
      <x:c r="F5" s="6" t="inlineStr">
        <x:is>
          <x:t xml:space="preserve">Trạng thái</x:t>
        </x:is>
      </x:c>
      <x:c r="G5" s="6" t="inlineStr">
        <x:is>
          <x:t xml:space="preserve">Quyết định</x:t>
        </x:is>
      </x:c>
      <x:c r="H5" s="6" t="inlineStr">
        <x:is>
          <x:t xml:space="preserve">Mở Drive</x:t>
        </x:is>
      </x:c>
      <x:c r="I5" s="6" t="inlineStr">
        <x:is>
          <x:t xml:space="preserve">Nguồn local</x:t>
        </x:is>
      </x:c>
      <x:c r="J5" s="6" t="inlineStr">
        <x:is>
          <x:t xml:space="preserve">Bản local khác</x:t>
        </x:is>
      </x:c>
      <x:c r="K5" s="6" t="inlineStr">
        <x:is>
          <x:t xml:space="preserve">Việc cần làm</x:t>
        </x:is>
      </x:c>
      <x:c r="L5" s="6" t="inlineStr">
        <x:is>
          <x:t xml:space="preserve">Sửa trên Drive</x:t>
        </x:is>
      </x:c>
    </x:row>
    <x:row r="6" ht="105" customHeight="1">
      <x:c r="A6" s="8" t="inlineStr">
        <x:is>
          <x:t xml:space="preserve">DOC-000</x:t>
        </x:is>
      </x:c>
      <x:c r="B6" s="8" t="inlineStr">
        <x:is>
          <x:t xml:space="preserve">So-quan-ly-tai-lieu.xlsx</x:t>
        </x:is>
      </x:c>
      <x:c r="C6" s="8" t="inlineStr">
        <x:is>
          <x:t xml:space="preserve">Quản lý hồ sơ</x:t>
        </x:is>
      </x:c>
      <x:c r="D6" s="8" t="str">
        <x:v>v1.47</x:v>
      </x:c>
      <x:c r="E6" s="8" t="inlineStr">
        <x:is>
          <x:t xml:space="preserve">Sổ quản lý chính</x:t>
        </x:is>
      </x:c>
      <x:c r="F6" s="8" t="str">
        <x:v>Mới nhất</x:v>
      </x:c>
      <x:c r="G6" s="8" t="str">
        <x:v>RULE-01; STRUCTURE-01; LOGTEST-01; MOBILE-GUIDE-01; PATH-01; NATIVE-B-01; MCP-01; EXPO-MCP-01; DELIVERY-01; I18N-04; B01-04; B01-04A; P0-1</x:v>
      </x:c>
      <x:c r="H6" s="9" t="inlineStr">
        <x:is>
          <x:t xml:space="preserve">Mở tài liệu</x:t>
        </x:is>
      </x:c>
      <x:c r="I6" s="9" t="inlineStr">
        <x:is>
          <x:t xml:space="preserve">/Users/j2866/Documents/anhthai/dich-vu-quanh-ban/docs/project-control/So-quan-ly-tai-lieu.xlsx</x:t>
        </x:is>
      </x:c>
      <x:c r="J6" s="8" t="str"/>
      <x:c r="K6" s="8"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L6" s="27" t="n">
        <x:v>46302</x:v>
      </x:c>
    </x:row>
    <x:row r="7" ht="68" customHeight="1">
      <x:c r="A7" s="8" t="inlineStr">
        <x:is>
          <x:t xml:space="preserve">DOC-001</x:t>
        </x:is>
      </x:c>
      <x:c r="B7" s="8" t="inlineStr">
        <x:is>
          <x:t xml:space="preserve">Lộ trình phát triển nền tảng kết nối dịch vụ — Cơ sở dự án v4</x:t>
        </x:is>
      </x:c>
      <x:c r="C7" s="8" t="inlineStr">
        <x:is>
          <x:t xml:space="preserve">Lộ trình</x:t>
        </x:is>
      </x:c>
      <x:c r="D7" s="8" t="inlineStr">
        <x:is>
          <x:t xml:space="preserve">v4</x:t>
        </x:is>
      </x:c>
      <x:c r="E7" s="8" t="inlineStr">
        <x:is>
          <x:t xml:space="preserve">Nguồn chính</x:t>
        </x:is>
      </x:c>
      <x:c r="F7" s="8" t="inlineStr">
        <x:is>
          <x:t xml:space="preserve">Mới nhất</x:t>
        </x:is>
      </x:c>
      <x:c r="G7" s="8" t="inlineStr">
        <x:is>
          <x:t xml:space="preserve">Quyết định theo chức năng</x:t>
        </x:is>
      </x:c>
      <x:c r="H7" s="9" t="inlineStr">
        <x:is>
          <x:t xml:space="preserve">Mở tài liệu</x:t>
        </x:is>
      </x:c>
      <x:c r="I7" s="9" t="inlineStr">
        <x:is>
          <x:t xml:space="preserve">Chưa có</x:t>
        </x:is>
      </x:c>
      <x:c r="J7" s="8" t="str"/>
      <x:c r="K7" s="8" t="inlineStr">
        <x:is>
          <x:t xml:space="preserve">Đồng bộ JOB-01/02 chốt 23/09: tự thuê và việc không tự hết hạn. Tài liệu thiết kế; chưa triển khai sản phẩm.</x:t>
        </x:is>
      </x:c>
      <x:c r="L7" s="27" t="n">
        <x:v>46288</x:v>
      </x:c>
    </x:row>
    <x:row r="8" ht="68" customHeight="1">
      <x:c r="A8" s="8" t="inlineStr">
        <x:is>
          <x:t xml:space="preserve">DOC-002</x:t>
        </x:is>
      </x:c>
      <x:c r="B8" s="8" t="inlineStr">
        <x:is>
          <x:t xml:space="preserve">PRD v0.3 — Baseline phạm vi và nghiệp vụ hiện hành</x:t>
        </x:is>
      </x:c>
      <x:c r="C8" s="8" t="inlineStr">
        <x:is>
          <x:t xml:space="preserve">PRD</x:t>
        </x:is>
      </x:c>
      <x:c r="D8" s="8" t="str">
        <x:v>MAP-03 / P0-2 / 07-10-2026</x:v>
      </x:c>
      <x:c r="E8" s="8" t="inlineStr">
        <x:is>
          <x:t xml:space="preserve">Nguồn chính</x:t>
        </x:is>
      </x:c>
      <x:c r="F8" s="8" t="str">
        <x:v>Mới nhất</x:v>
      </x:c>
      <x:c r="G8" s="8" t="str">
        <x:v>Quyết định theo chức năng; I18N-04; P0-1; MAP-01; MAP-02; MAP-03; P0-2</x:v>
      </x:c>
      <x:c r="H8" s="9" t="inlineStr">
        <x:is>
          <x:t xml:space="preserve">Mở tài liệu</x:t>
        </x:is>
      </x:c>
      <x:c r="I8" s="9" t="inlineStr">
        <x:is>
          <x:t xml:space="preserve">Chưa có</x:t>
        </x:is>
      </x:c>
      <x:c r="J8" s="8" t="str"/>
      <x:c r="K8" s="8"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8" s="27" t="n">
        <x:v>46302</x:v>
      </x:c>
    </x:row>
    <x:row r="9" ht="68" customHeight="1">
      <x:c r="A9" s="8" t="inlineStr">
        <x:is>
          <x:t xml:space="preserve">DOC-003</x:t>
        </x:is>
      </x:c>
      <x:c r="B9" s="8" t="inlineStr">
        <x:is>
          <x:t xml:space="preserve">BRD v0.2 — Mục tiêu và phạm vi hiện hành</x:t>
        </x:is>
      </x:c>
      <x:c r="C9" s="8" t="inlineStr">
        <x:is>
          <x:t xml:space="preserve">BRD</x:t>
        </x:is>
      </x:c>
      <x:c r="D9" s="8" t="inlineStr">
        <x:is>
          <x:t xml:space="preserve">v0.2</x:t>
        </x:is>
      </x:c>
      <x:c r="E9" s="8" t="inlineStr">
        <x:is>
          <x:t xml:space="preserve">Nguồn chính</x:t>
        </x:is>
      </x:c>
      <x:c r="F9" s="8" t="inlineStr">
        <x:is>
          <x:t xml:space="preserve">Mới nhất</x:t>
        </x:is>
      </x:c>
      <x:c r="G9" s="8" t="inlineStr">
        <x:is>
          <x:t xml:space="preserve">Quyết định theo chức năng</x:t>
        </x:is>
      </x:c>
      <x:c r="H9" s="9" t="inlineStr">
        <x:is>
          <x:t xml:space="preserve">Mở tài liệu</x:t>
        </x:is>
      </x:c>
      <x:c r="I9" s="9" t="inlineStr">
        <x:is>
          <x:t xml:space="preserve">Chưa có</x:t>
        </x:is>
      </x:c>
      <x:c r="J9" s="8" t="str"/>
      <x:c r="K9" s="8" t="inlineStr">
        <x:is>
          <x:t xml:space="preserve">Đồng bộ JOB-01/02 chốt 23/09: tự thuê và việc không tự hết hạn. Tài liệu thiết kế; chưa triển khai sản phẩm.</x:t>
        </x:is>
      </x:c>
      <x:c r="L9" s="27" t="n">
        <x:v>46288</x:v>
      </x:c>
    </x:row>
    <x:row r="10" ht="68" customHeight="1">
      <x:c r="A10" s="8" t="inlineStr">
        <x:is>
          <x:t xml:space="preserve">DOC-004</x:t>
        </x:is>
      </x:c>
      <x:c r="B10" s="8" t="inlineStr">
        <x:is>
          <x:t xml:space="preserve">Danh mục FR-NFR v0.16 — Baseline đồng bộ Q01/Q02 và phạm vi</x:t>
        </x:is>
      </x:c>
      <x:c r="C10" s="8" t="inlineStr">
        <x:is>
          <x:t xml:space="preserve">FR/NFR</x:t>
        </x:is>
      </x:c>
      <x:c r="D10" s="8" t="str">
        <x:v>MAP-03 / P0-2 / 07-10-2026</x:v>
      </x:c>
      <x:c r="E10" s="8" t="inlineStr">
        <x:is>
          <x:t xml:space="preserve">Nguồn chính</x:t>
        </x:is>
      </x:c>
      <x:c r="F10" s="8" t="str">
        <x:v>Mới nhất</x:v>
      </x:c>
      <x:c r="G10" s="8" t="str">
        <x:v>Q01; Q02; I18N-04; B01-04A; P0-1; MAP-01; MAP-02; MAP-03; P0-2</x:v>
      </x:c>
      <x:c r="H10" s="9" t="inlineStr">
        <x:is>
          <x:t xml:space="preserve">Mở tài liệu</x:t>
        </x:is>
      </x:c>
      <x:c r="I10" s="9" t="inlineStr">
        <x:is>
          <x:t xml:space="preserve">Chưa có</x:t>
        </x:is>
      </x:c>
      <x:c r="J10" s="8" t="str"/>
      <x:c r="K10" s="8"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10" s="27" t="n">
        <x:v>46302</x:v>
      </x:c>
    </x:row>
    <x:row r="11" ht="68" customHeight="1">
      <x:c r="A11" s="8" t="inlineStr">
        <x:is>
          <x:t xml:space="preserve">DOC-005</x:t>
        </x:is>
      </x:c>
      <x:c r="B11" s="8" t="inlineStr">
        <x:is>
          <x:t xml:space="preserve">SRS v0.14 — Baseline đồng bộ Q01/Q02 và phạm vi</x:t>
        </x:is>
      </x:c>
      <x:c r="C11" s="8" t="inlineStr">
        <x:is>
          <x:t xml:space="preserve">SRS</x:t>
        </x:is>
      </x:c>
      <x:c r="D11" s="8" t="str">
        <x:v>MAP-03 / P0-2 / 07-10-2026</x:v>
      </x:c>
      <x:c r="E11" s="8" t="inlineStr">
        <x:is>
          <x:t xml:space="preserve">Nguồn chính</x:t>
        </x:is>
      </x:c>
      <x:c r="F11" s="8" t="str">
        <x:v>Mới nhất</x:v>
      </x:c>
      <x:c r="G11" s="8" t="str">
        <x:v>Q01; Q02; I18N-04; B01-04A; P0-1; MAP-01; MAP-02; MAP-03; P0-2</x:v>
      </x:c>
      <x:c r="H11" s="9" t="inlineStr">
        <x:is>
          <x:t xml:space="preserve">Mở tài liệu</x:t>
        </x:is>
      </x:c>
      <x:c r="I11" s="9" t="inlineStr">
        <x:is>
          <x:t xml:space="preserve">Chưa có</x:t>
        </x:is>
      </x:c>
      <x:c r="J11" s="8" t="str"/>
      <x:c r="K11" s="8"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11" s="27" t="n">
        <x:v>46302</x:v>
      </x:c>
    </x:row>
    <x:row r="12" ht="68" customHeight="1">
      <x:c r="A12" s="8" t="inlineStr">
        <x:is>
          <x:t xml:space="preserve">DOC-006</x:t>
        </x:is>
      </x:c>
      <x:c r="B12" s="8" t="inlineStr">
        <x:is>
          <x:t xml:space="preserve">UX v0.24 — Baseline luồng và màn hình hiện hành</x:t>
        </x:is>
      </x:c>
      <x:c r="C12" s="8" t="inlineStr">
        <x:is>
          <x:t xml:space="preserve">UX native</x:t>
        </x:is>
      </x:c>
      <x:c r="D12" s="8" t="str">
        <x:v>MAP-03 / P0-2 / 07-10-2026</x:v>
      </x:c>
      <x:c r="E12" s="8" t="inlineStr">
        <x:is>
          <x:t xml:space="preserve">Nguồn chính</x:t>
        </x:is>
      </x:c>
      <x:c r="F12" s="8" t="str">
        <x:v>Mới nhất</x:v>
      </x:c>
      <x:c r="G12" s="8" t="str">
        <x:v>Quyết định theo chức năng; I18N-04; B01-04A; P0-1; MAP-01; MAP-02; MAP-03; P0-2</x:v>
      </x:c>
      <x:c r="H12" s="9" t="inlineStr">
        <x:is>
          <x:t xml:space="preserve">Mở tài liệu</x:t>
        </x:is>
      </x:c>
      <x:c r="I12" s="9" t="inlineStr">
        <x:is>
          <x:t xml:space="preserve">Chưa có</x:t>
        </x:is>
      </x:c>
      <x:c r="J12" s="8" t="str"/>
      <x:c r="K12" s="8"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12" s="27" t="n">
        <x:v>46302</x:v>
      </x:c>
    </x:row>
    <x:row r="13" ht="68" customHeight="1">
      <x:c r="A13" s="8" t="inlineStr">
        <x:is>
          <x:t xml:space="preserve">DOC-007</x:t>
        </x:is>
      </x:c>
      <x:c r="B13" s="8" t="inlineStr">
        <x:is>
          <x:t xml:space="preserve">UX-pham-vi-v0.24-baseline.md</x:t>
        </x:is>
      </x:c>
      <x:c r="C13" s="8" t="inlineStr">
        <x:is>
          <x:t xml:space="preserve">Phạm vi UX</x:t>
        </x:is>
      </x:c>
      <x:c r="D13" s="8" t="str">
        <x:v>MAP-03 / P0-2 / 07-10-2026</x:v>
      </x:c>
      <x:c r="E13" s="8" t="inlineStr">
        <x:is>
          <x:t xml:space="preserve">Nguồn chính</x:t>
        </x:is>
      </x:c>
      <x:c r="F13" s="8" t="str">
        <x:v>Mới nhất</x:v>
      </x:c>
      <x:c r="G13" s="8" t="str">
        <x:v>Q01; Q02; I18N-04; B01-04A; P0-1; MAP-01; MAP-02; MAP-03; P0-2</x:v>
      </x:c>
      <x:c r="H13" s="9" t="inlineStr">
        <x:is>
          <x:t xml:space="preserve">Mở tài liệu</x:t>
        </x:is>
      </x:c>
      <x:c r="I13" s="9" t="inlineStr">
        <x:is>
          <x:t xml:space="preserve">/Users/j2866/Documents/anhthai/dich-vu-quanh-ban/ui-ux/specs/ux-scope-current.md</x:t>
        </x:is>
      </x:c>
      <x:c r="J13" s="8" t="str"/>
      <x:c r="K13" s="8"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13" s="27" t="n">
        <x:v>46302</x:v>
      </x:c>
    </x:row>
    <x:row r="14" ht="68" customHeight="1">
      <x:c r="A14" s="8" t="inlineStr">
        <x:is>
          <x:t xml:space="preserve">DOC-008</x:t>
        </x:is>
      </x:c>
      <x:c r="B14" s="8" t="inlineStr">
        <x:is>
          <x:t xml:space="preserve">Wireframe-v0.24-baseline.html</x:t>
        </x:is>
      </x:c>
      <x:c r="C14" s="8" t="inlineStr">
        <x:is>
          <x:t xml:space="preserve">Wireframe</x:t>
        </x:is>
      </x:c>
      <x:c r="D14" s="8" t="inlineStr">
        <x:is>
          <x:t xml:space="preserve">v0.24</x:t>
        </x:is>
      </x:c>
      <x:c r="E14" s="8" t="inlineStr">
        <x:is>
          <x:t xml:space="preserve">Bản mẫu</x:t>
        </x:is>
      </x:c>
      <x:c r="F14" s="8" t="inlineStr">
        <x:is>
          <x:t xml:space="preserve">Mới nhất</x:t>
        </x:is>
      </x:c>
      <x:c r="G14" s="8" t="inlineStr">
        <x:is>
          <x:t xml:space="preserve">Q01; Q02</x:t>
        </x:is>
      </x:c>
      <x:c r="H14" s="9" t="inlineStr">
        <x:is>
          <x:t xml:space="preserve">Mở tài liệu</x:t>
        </x:is>
      </x:c>
      <x:c r="I14" s="9" t="inlineStr">
        <x:is>
          <x:t xml:space="preserve">/Users/j2866/Documents/anhthai/dich-vu-quanh-ban/ui-ux/wireframes/index.html</x:t>
        </x:is>
      </x:c>
      <x:c r="J14" s="8" t="str"/>
      <x:c r="K14" s="8" t="inlineStr">
        <x:is>
          <x:t xml:space="preserve">Đã đồng bộ và kiểm chéo baseline 22/09: Q01/Q02, phạm vi pending. Chi tiết/bằng chứng tại Dong bo.</x:t>
        </x:is>
      </x:c>
      <x:c r="L14" s="27" t="n">
        <x:v>46287</x:v>
      </x:c>
    </x:row>
    <x:row r="15" ht="68" customHeight="1">
      <x:c r="A15" s="8" t="inlineStr">
        <x:is>
          <x:t xml:space="preserve">DOC-009</x:t>
        </x:is>
      </x:c>
      <x:c r="B15" s="8" t="inlineStr">
        <x:is>
          <x:t xml:space="preserve">UX-thanh-vien-doanh-nghiep-v0.13.md</x:t>
        </x:is>
      </x:c>
      <x:c r="C15" s="8" t="inlineStr">
        <x:is>
          <x:t xml:space="preserve">UX doanh nghiệp</x:t>
        </x:is>
      </x:c>
      <x:c r="D15" s="8" t="inlineStr">
        <x:is>
          <x:t xml:space="preserve">v0.13</x:t>
        </x:is>
      </x:c>
      <x:c r="E15" s="8" t="inlineStr">
        <x:is>
          <x:t xml:space="preserve">Lịch sử</x:t>
        </x:is>
      </x:c>
      <x:c r="F15" s="8" t="inlineStr">
        <x:is>
          <x:t xml:space="preserve">Lưu trữ</x:t>
        </x:is>
      </x:c>
      <x:c r="G15" s="8" t="inlineStr">
        <x:is>
          <x:t xml:space="preserve">Quyết định theo chức năng</x:t>
        </x:is>
      </x:c>
      <x:c r="H15" s="9" t="inlineStr">
        <x:is>
          <x:t xml:space="preserve">Mở tài liệu</x:t>
        </x:is>
      </x:c>
      <x:c r="I15" s="9" t="inlineStr">
        <x:is>
          <x:t xml:space="preserve">/Users/j2866/Documents/anhthai/dich-vu-quanh-ban/ui-ux/archive/ux-next-organization.md</x:t>
        </x:is>
      </x:c>
      <x:c r="J15" s="8" t="str"/>
      <x:c r="K15" s="8" t="inlineStr">
        <x:is>
          <x:t xml:space="preserve">Đối chiếu theo SRS/UX mới; giữ để tra lịch sử</x:t>
        </x:is>
      </x:c>
      <x:c r="L15" s="27" t="n">
        <x:v>46281</x:v>
      </x:c>
    </x:row>
    <x:row r="16" ht="68" customHeight="1">
      <x:c r="A16" s="8" t="inlineStr">
        <x:is>
          <x:t xml:space="preserve">DOC-010</x:t>
        </x:is>
      </x:c>
      <x:c r="B16" s="8" t="inlineStr">
        <x:is>
          <x:t xml:space="preserve">UX-doi-chieu-FR-wireframe-v0.12.html</x:t>
        </x:is>
      </x:c>
      <x:c r="C16" s="8" t="inlineStr">
        <x:is>
          <x:t xml:space="preserve">Đối chiếu UX–FR</x:t>
        </x:is>
      </x:c>
      <x:c r="D16" s="8" t="inlineStr">
        <x:is>
          <x:t xml:space="preserve">v0.12</x:t>
        </x:is>
      </x:c>
      <x:c r="E16" s="8" t="inlineStr">
        <x:is>
          <x:t xml:space="preserve">Lịch sử</x:t>
        </x:is>
      </x:c>
      <x:c r="F16" s="8" t="inlineStr">
        <x:is>
          <x:t xml:space="preserve">Lưu trữ</x:t>
        </x:is>
      </x:c>
      <x:c r="G16" s="8" t="inlineStr">
        <x:is>
          <x:t xml:space="preserve">Quyết định theo chức năng</x:t>
        </x:is>
      </x:c>
      <x:c r="H16" s="9" t="inlineStr">
        <x:is>
          <x:t xml:space="preserve">Mở tài liệu</x:t>
        </x:is>
      </x:c>
      <x:c r="I16" s="9" t="inlineStr">
        <x:is>
          <x:t xml:space="preserve">/Users/j2866/Documents/anhthai/dich-vu-quanh-ban/ui-ux/archive/ux-coverage-v0.12.html</x:t>
        </x:is>
      </x:c>
      <x:c r="J16" s="8" t="str"/>
      <x:c r="K16" s="8" t="inlineStr">
        <x:is>
          <x:t xml:space="preserve">Không dùng số liệu này làm nghiệm thu hiện tại</x:t>
        </x:is>
      </x:c>
      <x:c r="L16" s="27" t="n">
        <x:v>46281</x:v>
      </x:c>
    </x:row>
    <x:row r="17" ht="105" customHeight="1">
      <x:c r="A17" s="8" t="inlineStr">
        <x:is>
          <x:t xml:space="preserve">DOC-011</x:t>
        </x:is>
      </x:c>
      <x:c r="B17" s="8" t="inlineStr">
        <x:is>
          <x:t xml:space="preserve">01-danh-muc-ho-so.md</x:t>
        </x:is>
      </x:c>
      <x:c r="C17" s="8" t="inlineStr">
        <x:is>
          <x:t xml:space="preserve">Mục lục hồ sơ</x:t>
        </x:is>
      </x:c>
      <x:c r="D17" s="8" t="inlineStr">
        <x:is>
          <x:t xml:space="preserve">v0.1.1 / PATH-01</x:t>
        </x:is>
      </x:c>
      <x:c r="E17" s="8" t="inlineStr">
        <x:is>
          <x:t xml:space="preserve">Nguồn bổ trợ</x:t>
        </x:is>
      </x:c>
      <x:c r="F17" s="8" t="inlineStr">
        <x:is>
          <x:t xml:space="preserve">Mới nhất</x:t>
        </x:is>
      </x:c>
      <x:c r="G17" s="8" t="inlineStr">
        <x:is>
          <x:t xml:space="preserve">Quyết định theo chức năng; IMPLEMENT-01; TECH-01; PATH-01</x:t>
        </x:is>
      </x:c>
      <x:c r="H17" s="9" t="inlineStr">
        <x:is>
          <x:t xml:space="preserve">Mở tài liệu</x:t>
        </x:is>
      </x:c>
      <x:c r="I17" s="9" t="inlineStr">
        <x:is>
          <x:t xml:space="preserve">/Users/j2866/Documents/anhthai/dich-vu-quanh-ban/docs/project-docs/01-danh-muc-ho-so.md</x:t>
        </x:is>
      </x:c>
      <x:c r="J17" s="8" t="str"/>
      <x:c r="K17" s="8" t="inlineStr">
        <x:is>
          <x:t xml:space="preserve">Đợt 1 local danh mục đã kiểm; DOC-065/066. Giữ phần ngoài danh mục là thiết kế; native và CI từ xa chưa chạy. Nguồn/bản xuất/Drive đã đọc lại cùng ID. PATH-01: đã bỏ outputs; nội dung local/ZIP đã kiểm, Drive cập nhật cùng ID và đọc lại metadata/kích thước ngày 29/09/2026. Không đổi nghiệp vụ hoặc nghiệm thu native/CI.</x:t>
        </x:is>
      </x:c>
      <x:c r="L17" s="27" t="n">
        <x:v>46294</x:v>
      </x:c>
    </x:row>
    <x:row r="18" ht="68" customHeight="1">
      <x:c r="A18" s="8" t="inlineStr">
        <x:is>
          <x:t xml:space="preserve">DOC-012</x:t>
        </x:is>
      </x:c>
      <x:c r="B18" s="8" t="inlineStr">
        <x:is>
          <x:t xml:space="preserve">02-user-flow.md</x:t>
        </x:is>
      </x:c>
      <x:c r="C18" s="8" t="inlineStr">
        <x:is>
          <x:t xml:space="preserve">User Flow</x:t>
        </x:is>
      </x:c>
      <x:c r="D18" s="8" t="str">
        <x:v>MAP-03 / P0-2 / 07-10-2026</x:v>
      </x:c>
      <x:c r="E18" s="8" t="inlineStr">
        <x:is>
          <x:t xml:space="preserve">Nguồn chính</x:t>
        </x:is>
      </x:c>
      <x:c r="F18" s="8" t="str">
        <x:v>Mới nhất</x:v>
      </x:c>
      <x:c r="G18" s="8" t="str">
        <x:v>Q01; Q02; P0-1; MAP-01; MAP-02; MAP-03; P0-2</x:v>
      </x:c>
      <x:c r="H18" s="9" t="inlineStr">
        <x:is>
          <x:t xml:space="preserve">Mở tài liệu</x:t>
        </x:is>
      </x:c>
      <x:c r="I18" s="9" t="inlineStr">
        <x:is>
          <x:t xml:space="preserve">/Users/j2866/Documents/anhthai/dich-vu-quanh-ban/docs/project-docs/02-user-flow.md</x:t>
        </x:is>
      </x:c>
      <x:c r="J18" s="8" t="str"/>
      <x:c r="K18" s="8"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18" s="27" t="n">
        <x:v>46302</x:v>
      </x:c>
    </x:row>
    <x:row r="19" ht="68" customHeight="1">
      <x:c r="A19" s="8" t="inlineStr">
        <x:is>
          <x:t xml:space="preserve">DOC-013</x:t>
        </x:is>
      </x:c>
      <x:c r="B19" s="8" t="inlineStr">
        <x:is>
          <x:t xml:space="preserve">03-screen-flow.md</x:t>
        </x:is>
      </x:c>
      <x:c r="C19" s="8" t="inlineStr">
        <x:is>
          <x:t xml:space="preserve">Screen Flow</x:t>
        </x:is>
      </x:c>
      <x:c r="D19" s="8" t="str">
        <x:v>MAP-03 / P0-2 / 07-10-2026</x:v>
      </x:c>
      <x:c r="E19" s="8" t="inlineStr">
        <x:is>
          <x:t xml:space="preserve">Nguồn chính</x:t>
        </x:is>
      </x:c>
      <x:c r="F19" s="8" t="str">
        <x:v>Mới nhất</x:v>
      </x:c>
      <x:c r="G19" s="8" t="str">
        <x:v>Q01; Q02; P0-1; MAP-01; MAP-02; MAP-03; P0-2</x:v>
      </x:c>
      <x:c r="H19" s="9" t="inlineStr">
        <x:is>
          <x:t xml:space="preserve">Mở tài liệu</x:t>
        </x:is>
      </x:c>
      <x:c r="I19" s="9" t="inlineStr">
        <x:is>
          <x:t xml:space="preserve">/Users/j2866/Documents/anhthai/dich-vu-quanh-ban/docs/project-docs/03-screen-flow.md</x:t>
        </x:is>
      </x:c>
      <x:c r="J19" s="8" t="str"/>
      <x:c r="K19" s="8"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19" s="27" t="n">
        <x:v>46302</x:v>
      </x:c>
    </x:row>
    <x:row r="20" ht="68" customHeight="1">
      <x:c r="A20" s="8" t="inlineStr">
        <x:is>
          <x:t xml:space="preserve">DOC-014</x:t>
        </x:is>
      </x:c>
      <x:c r="B20" s="8" t="inlineStr">
        <x:is>
          <x:t xml:space="preserve">04-sequence-diagrams.md</x:t>
        </x:is>
      </x:c>
      <x:c r="C20" s="8" t="inlineStr">
        <x:is>
          <x:t xml:space="preserve">Sequence nghiệp vụ</x:t>
        </x:is>
      </x:c>
      <x:c r="D20" s="8" t="str">
        <x:v>MAP-03 / P0-2 / 07-10-2026</x:v>
      </x:c>
      <x:c r="E20" s="8" t="inlineStr">
        <x:is>
          <x:t xml:space="preserve">Nguồn chính</x:t>
        </x:is>
      </x:c>
      <x:c r="F20" s="8" t="str">
        <x:v>Mới nhất</x:v>
      </x:c>
      <x:c r="G20" s="8" t="str">
        <x:v>Quyết định theo chức năng; P0-1; MAP-01; MAP-02; MAP-03; P0-2</x:v>
      </x:c>
      <x:c r="H20" s="9" t="inlineStr">
        <x:is>
          <x:t xml:space="preserve">Mở tài liệu</x:t>
        </x:is>
      </x:c>
      <x:c r="I20" s="9" t="inlineStr">
        <x:is>
          <x:t xml:space="preserve">/Users/j2866/Documents/anhthai/dich-vu-quanh-ban/docs/project-docs/04-sequence-diagrams.md</x:t>
        </x:is>
      </x:c>
      <x:c r="J20" s="8" t="str"/>
      <x:c r="K20" s="8"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20" s="27" t="n">
        <x:v>46302</x:v>
      </x:c>
    </x:row>
    <x:row r="21" ht="68" customHeight="1">
      <x:c r="A21" s="8" t="inlineStr">
        <x:is>
          <x:t xml:space="preserve">DOC-015</x:t>
        </x:is>
      </x:c>
      <x:c r="B21" s="8" t="inlineStr">
        <x:is>
          <x:t xml:space="preserve">project-docs.html</x:t>
        </x:is>
      </x:c>
      <x:c r="C21" s="8" t="inlineStr">
        <x:is>
          <x:t xml:space="preserve">Hồ sơ trực quan</x:t>
        </x:is>
      </x:c>
      <x:c r="D21" s="8" t="str">
        <x:v>MAP-03 / P0-2 / 07-10-2026</x:v>
      </x:c>
      <x:c r="E21" s="8" t="inlineStr">
        <x:is>
          <x:t xml:space="preserve">Bản xuất</x:t>
        </x:is>
      </x:c>
      <x:c r="F21" s="8" t="str">
        <x:v>Mới nhất</x:v>
      </x:c>
      <x:c r="G21" s="8" t="str">
        <x:v>Q01; Q02; P0-1; MAP-01; MAP-02; MAP-03; P0-2</x:v>
      </x:c>
      <x:c r="H21" s="9" t="inlineStr">
        <x:is>
          <x:t xml:space="preserve">Mở tài liệu</x:t>
        </x:is>
      </x:c>
      <x:c r="I21" s="9" t="inlineStr">
        <x:is>
          <x:t xml:space="preserve">/Users/j2866/Documents/anhthai/dich-vu-quanh-ban/docs/project-docs/project-docs.html</x:t>
        </x:is>
      </x:c>
      <x:c r="J21" s="8" t="inlineStr">
        <x:is>
          <x:t xml:space="preserve">/Users/j2866/Documents/anhthai/dich-vu-quanh-ban/ui-ux/wireframes/project-docs.html</x:t>
        </x:is>
      </x:c>
      <x:c r="K21" s="8"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21" s="27" t="n">
        <x:v>46302</x:v>
      </x:c>
    </x:row>
    <x:row r="22" ht="105" customHeight="1">
      <x:c r="A22" s="8" t="inlineStr">
        <x:is>
          <x:t xml:space="preserve">DOC-016</x:t>
        </x:is>
      </x:c>
      <x:c r="B22" s="8" t="inlineStr">
        <x:is>
          <x:t xml:space="preserve">architecture.html</x:t>
        </x:is>
      </x:c>
      <x:c r="C22" s="8" t="inlineStr">
        <x:is>
          <x:t xml:space="preserve">Kiến trúc trực quan</x:t>
        </x:is>
      </x:c>
      <x:c r="D22" s="8" t="str">
        <x:v>MAP-03 / P0-2 / 07-10-2026</x:v>
      </x:c>
      <x:c r="E22" s="8" t="inlineStr">
        <x:is>
          <x:t xml:space="preserve">Bản xuất</x:t>
        </x:is>
      </x:c>
      <x:c r="F22" s="8" t="str">
        <x:v>Mới nhất</x:v>
      </x:c>
      <x:c r="G22" s="8" t="str">
        <x:v>Quyết định theo chức năng; IMPLEMENT-01; TECH-01; LOGTEST-01; P0-1; MAP-01; MAP-02; MAP-03; P0-2</x:v>
      </x:c>
      <x:c r="H22" s="9" t="inlineStr">
        <x:is>
          <x:t xml:space="preserve">Mở tài liệu</x:t>
        </x:is>
      </x:c>
      <x:c r="I22" s="9" t="inlineStr">
        <x:is>
          <x:t xml:space="preserve">/Users/j2866/Documents/anhthai/dich-vu-quanh-ban/docs/project-docs/architecture.html</x:t>
        </x:is>
      </x:c>
      <x:c r="J22" s="8" t="inlineStr">
        <x:is>
          <x:t xml:space="preserve">/Users/j2866/Documents/anhthai/dich-vu-quanh-ban/ui-ux/wireframes/architecture.html</x:t>
        </x:is>
      </x:c>
      <x:c r="K22" s="8"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22" s="27" t="n">
        <x:v>46302</x:v>
      </x:c>
    </x:row>
    <x:row r="23" ht="105" customHeight="1">
      <x:c r="A23" s="8" t="inlineStr">
        <x:is>
          <x:t xml:space="preserve">DOC-017</x:t>
        </x:is>
      </x:c>
      <x:c r="B23" s="8" t="inlineStr">
        <x:is>
          <x:t xml:space="preserve">architecture-v0.1.md</x:t>
        </x:is>
      </x:c>
      <x:c r="C23" s="8" t="inlineStr">
        <x:is>
          <x:t xml:space="preserve">Kiến trúc tổng hợp</x:t>
        </x:is>
      </x:c>
      <x:c r="D23" s="8" t="str">
        <x:v>MAP-01 / 07-10-2026</x:v>
      </x:c>
      <x:c r="E23" s="8" t="inlineStr">
        <x:is>
          <x:t xml:space="preserve">Bản xuất</x:t>
        </x:is>
      </x:c>
      <x:c r="F23" s="8" t="str">
        <x:v>Mới nhất</x:v>
      </x:c>
      <x:c r="G23" s="8" t="str">
        <x:v>Quyết định theo chức năng; IMPLEMENT-01; TECH-01; LOGTEST-01; P0-1; MAP-01</x:v>
      </x:c>
      <x:c r="H23" s="9" t="inlineStr">
        <x:is>
          <x:t xml:space="preserve">Mở tài liệu</x:t>
        </x:is>
      </x:c>
      <x:c r="I23" s="9" t="inlineStr">
        <x:is>
          <x:t xml:space="preserve">/Users/j2866/Documents/anhthai/dich-vu-quanh-ban/docs/project-docs/architecture-v0.1.md</x:t>
        </x:is>
      </x:c>
      <x:c r="J23" s="8" t="str"/>
      <x:c r="K23" s="8"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MAP-01: phần hiện hành đã đối chiếu; báo cáo B03-01 chỉ repo. Code/local và live map đã kiểm, không suy ra UAT/production.</x:v>
      </x:c>
      <x:c r="L23" s="27" t="n">
        <x:v>46302</x:v>
      </x:c>
    </x:row>
    <x:row r="24" ht="105" customHeight="1">
      <x:c r="A24" s="8" t="inlineStr">
        <x:is>
          <x:t xml:space="preserve">DOC-018</x:t>
        </x:is>
      </x:c>
      <x:c r="B24" s="8" t="inlineStr">
        <x:is>
          <x:t xml:space="preserve">architecture-source-v0.1.1.zip</x:t>
        </x:is>
      </x:c>
      <x:c r="C24" s="8" t="inlineStr">
        <x:is>
          <x:t xml:space="preserve">Gói nguồn hồ sơ</x:t>
        </x:is>
      </x:c>
      <x:c r="D24" s="8" t="str">
        <x:v>MAP-03 / P0-2 / 07-10-2026</x:v>
      </x:c>
      <x:c r="E24" s="8" t="inlineStr">
        <x:is>
          <x:t xml:space="preserve">Gói xuất</x:t>
        </x:is>
      </x:c>
      <x:c r="F24" s="8" t="str">
        <x:v>Mới nhất</x:v>
      </x:c>
      <x:c r="G24" s="8" t="str">
        <x:v>Quyết định theo chức năng; IMPLEMENT-01; TECH-01; STRUCTURE-01; LOGTEST-01; PATH-01; NATIVE-B-01; MCP-01; EXPO-MCP-01; P0-1; MAP-01; MAP-02; MAP-03; P0-2</x:v>
      </x:c>
      <x:c r="H24" s="9" t="inlineStr">
        <x:is>
          <x:t xml:space="preserve">Mở tài liệu</x:t>
        </x:is>
      </x:c>
      <x:c r="I24" s="9" t="inlineStr">
        <x:is>
          <x:t xml:space="preserve">/Users/j2866/Documents/anhthai/dich-vu-quanh-ban/docs/project-docs/architecture-source-v0.1.1.zip</x:t>
        </x:is>
      </x:c>
      <x:c r="J24" s="8" t="str"/>
      <x:c r="K24" s="8"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24" s="27" t="n">
        <x:v>46302</x:v>
      </x:c>
    </x:row>
    <x:row r="25" ht="38" customHeight="1">
      <x:c r="A25" s="8" t="inlineStr">
        <x:is>
          <x:t xml:space="preserve">DOC-019</x:t>
        </x:is>
      </x:c>
      <x:c r="B25" s="8" t="inlineStr">
        <x:is>
          <x:t xml:space="preserve">counts.json</x:t>
        </x:is>
      </x:c>
      <x:c r="C25" s="8" t="inlineStr">
        <x:is>
          <x:t xml:space="preserve">Audit / QA lịch sử</x:t>
        </x:is>
      </x:c>
      <x:c r="D25" s="8" t="inlineStr">
        <x:is>
          <x:t xml:space="preserve">v0.21 / v0.22</x:t>
        </x:is>
      </x:c>
      <x:c r="E25" s="8" t="inlineStr">
        <x:is>
          <x:t xml:space="preserve">Lịch sử</x:t>
        </x:is>
      </x:c>
      <x:c r="F25" s="8" t="inlineStr">
        <x:is>
          <x:t xml:space="preserve">Lưu trữ</x:t>
        </x:is>
      </x:c>
      <x:c r="G25" s="8" t="inlineStr">
        <x:is>
          <x:t xml:space="preserve">Theo chức năng</x:t>
        </x:is>
      </x:c>
      <x:c r="H25" s="9" t="inlineStr">
        <x:is>
          <x:t xml:space="preserve">Chưa có</x:t>
        </x:is>
      </x:c>
      <x:c r="I25" s="9" t="inlineStr">
        <x:is>
          <x:t xml:space="preserve">/Users/j2866/Documents/anhthai/dich-vu-quanh-ban/ui-ux/archive/design-audit-v0.21/counts.json</x:t>
        </x:is>
      </x:c>
      <x:c r="J25" s="8" t="str"/>
      <x:c r="K25" s="8" t="inlineStr">
        <x:is>
          <x:t xml:space="preserve">Giữ bằng chứng cũ; tạo đợt kiểm chứng mới, không sửa kết quả lịch sử</x:t>
        </x:is>
      </x:c>
      <x:c r="L25" s="27" t="n"/>
    </x:row>
    <x:row r="26" ht="38" customHeight="1">
      <x:c r="A26" s="8" t="inlineStr">
        <x:is>
          <x:t xml:space="preserve">DOC-020</x:t>
        </x:is>
      </x:c>
      <x:c r="B26" s="8" t="inlineStr">
        <x:is>
          <x:t xml:space="preserve">fix-status-v0.22.md</x:t>
        </x:is>
      </x:c>
      <x:c r="C26" s="8" t="inlineStr">
        <x:is>
          <x:t xml:space="preserve">Audit / QA lịch sử</x:t>
        </x:is>
      </x:c>
      <x:c r="D26" s="8" t="inlineStr">
        <x:is>
          <x:t xml:space="preserve">v0.21 / v0.22</x:t>
        </x:is>
      </x:c>
      <x:c r="E26" s="8" t="inlineStr">
        <x:is>
          <x:t xml:space="preserve">Lịch sử</x:t>
        </x:is>
      </x:c>
      <x:c r="F26" s="8" t="inlineStr">
        <x:is>
          <x:t xml:space="preserve">Lưu trữ</x:t>
        </x:is>
      </x:c>
      <x:c r="G26" s="8" t="inlineStr">
        <x:is>
          <x:t xml:space="preserve">Theo chức năng</x:t>
        </x:is>
      </x:c>
      <x:c r="H26" s="9" t="inlineStr">
        <x:is>
          <x:t xml:space="preserve">Chưa có</x:t>
        </x:is>
      </x:c>
      <x:c r="I26" s="9" t="inlineStr">
        <x:is>
          <x:t xml:space="preserve">/Users/j2866/Documents/anhthai/dich-vu-quanh-ban/ui-ux/archive/design-audit-v0.21/fix-status-v0.22.md</x:t>
        </x:is>
      </x:c>
      <x:c r="J26" s="8" t="str"/>
      <x:c r="K26" s="8" t="inlineStr">
        <x:is>
          <x:t xml:space="preserve">Giữ bằng chứng cũ; tạo đợt kiểm chứng mới, không sửa kết quả lịch sử</x:t>
        </x:is>
      </x:c>
      <x:c r="L26" s="27" t="n"/>
    </x:row>
    <x:row r="27" ht="38" customHeight="1">
      <x:c r="A27" s="8" t="inlineStr">
        <x:is>
          <x:t xml:space="preserve">DOC-021</x:t>
        </x:is>
      </x:c>
      <x:c r="B27" s="8" t="inlineStr">
        <x:is>
          <x:t xml:space="preserve">index.html</x:t>
        </x:is>
      </x:c>
      <x:c r="C27" s="8" t="inlineStr">
        <x:is>
          <x:t xml:space="preserve">Audit / QA lịch sử</x:t>
        </x:is>
      </x:c>
      <x:c r="D27" s="8" t="inlineStr">
        <x:is>
          <x:t xml:space="preserve">v0.21 / v0.22</x:t>
        </x:is>
      </x:c>
      <x:c r="E27" s="8" t="inlineStr">
        <x:is>
          <x:t xml:space="preserve">Lịch sử</x:t>
        </x:is>
      </x:c>
      <x:c r="F27" s="8" t="inlineStr">
        <x:is>
          <x:t xml:space="preserve">Lưu trữ</x:t>
        </x:is>
      </x:c>
      <x:c r="G27" s="8" t="inlineStr">
        <x:is>
          <x:t xml:space="preserve">Theo chức năng</x:t>
        </x:is>
      </x:c>
      <x:c r="H27" s="9" t="inlineStr">
        <x:is>
          <x:t xml:space="preserve">Chưa có</x:t>
        </x:is>
      </x:c>
      <x:c r="I27" s="9" t="inlineStr">
        <x:is>
          <x:t xml:space="preserve">/Users/j2866/Documents/anhthai/dich-vu-quanh-ban/ui-ux/archive/design-audit-v0.21/index.html</x:t>
        </x:is>
      </x:c>
      <x:c r="J27" s="8" t="str"/>
      <x:c r="K27" s="8" t="inlineStr">
        <x:is>
          <x:t xml:space="preserve">Giữ bằng chứng cũ; tạo đợt kiểm chứng mới, không sửa kết quả lịch sử</x:t>
        </x:is>
      </x:c>
      <x:c r="L27" s="27" t="n"/>
    </x:row>
    <x:row r="28" ht="38" customHeight="1">
      <x:c r="A28" s="8" t="inlineStr">
        <x:is>
          <x:t xml:space="preserve">DOC-022</x:t>
        </x:is>
      </x:c>
      <x:c r="B28" s="8" t="inlineStr">
        <x:is>
          <x:t xml:space="preserve">report.md</x:t>
        </x:is>
      </x:c>
      <x:c r="C28" s="8" t="inlineStr">
        <x:is>
          <x:t xml:space="preserve">Audit / QA lịch sử</x:t>
        </x:is>
      </x:c>
      <x:c r="D28" s="8" t="inlineStr">
        <x:is>
          <x:t xml:space="preserve">v0.21 / v0.22</x:t>
        </x:is>
      </x:c>
      <x:c r="E28" s="8" t="inlineStr">
        <x:is>
          <x:t xml:space="preserve">Lịch sử</x:t>
        </x:is>
      </x:c>
      <x:c r="F28" s="8" t="inlineStr">
        <x:is>
          <x:t xml:space="preserve">Lưu trữ</x:t>
        </x:is>
      </x:c>
      <x:c r="G28" s="8" t="inlineStr">
        <x:is>
          <x:t xml:space="preserve">Theo chức năng</x:t>
        </x:is>
      </x:c>
      <x:c r="H28" s="9" t="inlineStr">
        <x:is>
          <x:t xml:space="preserve">Chưa có</x:t>
        </x:is>
      </x:c>
      <x:c r="I28" s="9" t="inlineStr">
        <x:is>
          <x:t xml:space="preserve">/Users/j2866/Documents/anhthai/dich-vu-quanh-ban/ui-ux/archive/design-audit-v0.21/report.md</x:t>
        </x:is>
      </x:c>
      <x:c r="J28" s="8" t="str"/>
      <x:c r="K28" s="8" t="inlineStr">
        <x:is>
          <x:t xml:space="preserve">Giữ bằng chứng cũ; tạo đợt kiểm chứng mới, không sửa kết quả lịch sử</x:t>
        </x:is>
      </x:c>
      <x:c r="L28" s="27" t="n"/>
    </x:row>
    <x:row r="29" ht="38" customHeight="1">
      <x:c r="A29" s="8" t="inlineStr">
        <x:is>
          <x:t xml:space="preserve">DOC-023</x:t>
        </x:is>
      </x:c>
      <x:c r="B29" s="8" t="inlineStr">
        <x:is>
          <x:t xml:space="preserve">traceability.csv</x:t>
        </x:is>
      </x:c>
      <x:c r="C29" s="8" t="inlineStr">
        <x:is>
          <x:t xml:space="preserve">Audit / QA lịch sử</x:t>
        </x:is>
      </x:c>
      <x:c r="D29" s="8" t="inlineStr">
        <x:is>
          <x:t xml:space="preserve">v0.21 / v0.22</x:t>
        </x:is>
      </x:c>
      <x:c r="E29" s="8" t="inlineStr">
        <x:is>
          <x:t xml:space="preserve">Lịch sử</x:t>
        </x:is>
      </x:c>
      <x:c r="F29" s="8" t="inlineStr">
        <x:is>
          <x:t xml:space="preserve">Lưu trữ</x:t>
        </x:is>
      </x:c>
      <x:c r="G29" s="8" t="inlineStr">
        <x:is>
          <x:t xml:space="preserve">Theo chức năng</x:t>
        </x:is>
      </x:c>
      <x:c r="H29" s="9" t="inlineStr">
        <x:is>
          <x:t xml:space="preserve">Chưa có</x:t>
        </x:is>
      </x:c>
      <x:c r="I29" s="9" t="inlineStr">
        <x:is>
          <x:t xml:space="preserve">/Users/j2866/Documents/anhthai/dich-vu-quanh-ban/ui-ux/archive/design-audit-v0.21/traceability.csv</x:t>
        </x:is>
      </x:c>
      <x:c r="J29" s="8" t="str"/>
      <x:c r="K29" s="8" t="inlineStr">
        <x:is>
          <x:t xml:space="preserve">Giữ bằng chứng cũ; tạo đợt kiểm chứng mới, không sửa kết quả lịch sử</x:t>
        </x:is>
      </x:c>
      <x:c r="L29" s="27" t="n"/>
    </x:row>
    <x:row r="30" ht="38" customHeight="1">
      <x:c r="A30" s="8" t="inlineStr">
        <x:is>
          <x:t xml:space="preserve">DOC-024</x:t>
        </x:is>
      </x:c>
      <x:c r="B30" s="8" t="inlineStr">
        <x:is>
          <x:t xml:space="preserve">traceability.json</x:t>
        </x:is>
      </x:c>
      <x:c r="C30" s="8" t="inlineStr">
        <x:is>
          <x:t xml:space="preserve">Audit / QA lịch sử</x:t>
        </x:is>
      </x:c>
      <x:c r="D30" s="8" t="inlineStr">
        <x:is>
          <x:t xml:space="preserve">v0.21 / v0.22</x:t>
        </x:is>
      </x:c>
      <x:c r="E30" s="8" t="inlineStr">
        <x:is>
          <x:t xml:space="preserve">Lịch sử</x:t>
        </x:is>
      </x:c>
      <x:c r="F30" s="8" t="inlineStr">
        <x:is>
          <x:t xml:space="preserve">Lưu trữ</x:t>
        </x:is>
      </x:c>
      <x:c r="G30" s="8" t="inlineStr">
        <x:is>
          <x:t xml:space="preserve">Theo chức năng</x:t>
        </x:is>
      </x:c>
      <x:c r="H30" s="9" t="inlineStr">
        <x:is>
          <x:t xml:space="preserve">Chưa có</x:t>
        </x:is>
      </x:c>
      <x:c r="I30" s="9" t="inlineStr">
        <x:is>
          <x:t xml:space="preserve">/Users/j2866/Documents/anhthai/dich-vu-quanh-ban/ui-ux/archive/design-audit-v0.21/traceability.json</x:t>
        </x:is>
      </x:c>
      <x:c r="J30" s="8" t="str"/>
      <x:c r="K30" s="8" t="inlineStr">
        <x:is>
          <x:t xml:space="preserve">Giữ bằng chứng cũ; tạo đợt kiểm chứng mới, không sửa kết quả lịch sử</x:t>
        </x:is>
      </x:c>
      <x:c r="L30" s="27" t="n"/>
    </x:row>
    <x:row r="31" ht="105" customHeight="1">
      <x:c r="A31" s="8" t="inlineStr">
        <x:is>
          <x:t xml:space="preserve">DOC-025</x:t>
        </x:is>
      </x:c>
      <x:c r="B31" s="8" t="inlineStr">
        <x:is>
          <x:t xml:space="preserve">05-tong-quan-thiet-ke.md</x:t>
        </x:is>
      </x:c>
      <x:c r="C31" s="8" t="inlineStr">
        <x:is>
          <x:t xml:space="preserve">Nguồn kiến trúc</x:t>
        </x:is>
      </x:c>
      <x:c r="D31" s="8" t="inlineStr">
        <x:is>
          <x:t xml:space="preserve">v0.1.1 / Đợt 1</x:t>
        </x:is>
      </x:c>
      <x:c r="E31" s="8" t="inlineStr">
        <x:is>
          <x:t xml:space="preserve">Nguồn bổ trợ</x:t>
        </x:is>
      </x:c>
      <x:c r="F31" s="8" t="inlineStr">
        <x:is>
          <x:t xml:space="preserve">Mới nhất</x:t>
        </x:is>
      </x:c>
      <x:c r="G31" s="8" t="inlineStr">
        <x:is>
          <x:t xml:space="preserve">Q01; Q02; Q03; Q04; IMPLEMENT-01; TECH-01</x:t>
        </x:is>
      </x:c>
      <x:c r="H31" s="9" t="inlineStr">
        <x:is>
          <x:t xml:space="preserve">https://drive.google.com/file/d/1QFvCWLng19VPnOoXcCZ2i0PUCsmlexMC/view</x:t>
        </x:is>
      </x:c>
      <x:c r="I31" s="9" t="inlineStr">
        <x:is>
          <x:t xml:space="preserve">/Users/j2866/Documents/anhthai/dich-vu-quanh-ban/docs/project-docs/architecture/05-tong-quan-thiet-ke.md</x:t>
        </x:is>
      </x:c>
      <x:c r="J31" s="8" t="str"/>
      <x:c r="K31" s="8" t="inlineStr">
        <x:is>
          <x:t xml:space="preserve">Đợt 1 local danh mục đã kiểm; DOC-065/066. Giữ phần ngoài danh mục là thiết kế; native và CI từ xa chưa chạy. Nguồn/bản xuất/Drive đã đọc lại cùng ID.</x:t>
        </x:is>
      </x:c>
      <x:c r="L31" s="27" t="n">
        <x:v>46293</x:v>
      </x:c>
    </x:row>
    <x:row r="32" ht="38" customHeight="1">
      <x:c r="A32" s="8" t="inlineStr">
        <x:is>
          <x:t xml:space="preserve">DOC-026</x:t>
        </x:is>
      </x:c>
      <x:c r="B32" s="8" t="inlineStr">
        <x:is>
          <x:t xml:space="preserve">06-trang-thai.md</x:t>
        </x:is>
      </x:c>
      <x:c r="C32" s="8" t="inlineStr">
        <x:is>
          <x:t xml:space="preserve">Nguồn kiến trúc</x:t>
        </x:is>
      </x:c>
      <x:c r="D32" s="8" t="str">
        <x:v>v0.1 + 22/09 / P0-1</x:v>
      </x:c>
      <x:c r="E32" s="8" t="inlineStr">
        <x:is>
          <x:t xml:space="preserve">Nguồn bổ trợ</x:t>
        </x:is>
      </x:c>
      <x:c r="F32" s="8" t="str">
        <x:v>Mới nhất</x:v>
      </x:c>
      <x:c r="G32" s="8" t="str">
        <x:v>Q01; Q02; Q03; Q04; P0-1</x:v>
      </x:c>
      <x:c r="H32" s="9" t="inlineStr">
        <x:is>
          <x:t xml:space="preserve">Chưa có</x:t>
        </x:is>
      </x:c>
      <x:c r="I32" s="9" t="inlineStr">
        <x:is>
          <x:t xml:space="preserve">/Users/j2866/Documents/anhthai/dich-vu-quanh-ban/docs/project-docs/architecture/06-trang-thai.md</x:t>
        </x:is>
      </x:c>
      <x:c r="J32" s="8" t="str"/>
      <x:c r="K32" s="8"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L32" s="27" t="n">
        <x:v>46301</x:v>
      </x:c>
    </x:row>
    <x:row r="33" ht="38" customHeight="1">
      <x:c r="A33" s="8" t="inlineStr">
        <x:is>
          <x:t xml:space="preserve">DOC-027</x:t>
        </x:is>
      </x:c>
      <x:c r="B33" s="8" t="inlineStr">
        <x:is>
          <x:t xml:space="preserve">07-phan-quyen.md</x:t>
        </x:is>
      </x:c>
      <x:c r="C33" s="8" t="inlineStr">
        <x:is>
          <x:t xml:space="preserve">Nguồn kiến trúc</x:t>
        </x:is>
      </x:c>
      <x:c r="D33" s="8" t="str">
        <x:v>v0.1 + 22/09 / P0-1</x:v>
      </x:c>
      <x:c r="E33" s="8" t="inlineStr">
        <x:is>
          <x:t xml:space="preserve">Nguồn bổ trợ</x:t>
        </x:is>
      </x:c>
      <x:c r="F33" s="8" t="str">
        <x:v>Mới nhất</x:v>
      </x:c>
      <x:c r="G33" s="8" t="str">
        <x:v>Q01; Q02; Q03; Q04; P0-1</x:v>
      </x:c>
      <x:c r="H33" s="9" t="inlineStr">
        <x:is>
          <x:t xml:space="preserve">Chưa có</x:t>
        </x:is>
      </x:c>
      <x:c r="I33" s="9" t="inlineStr">
        <x:is>
          <x:t xml:space="preserve">/Users/j2866/Documents/anhthai/dich-vu-quanh-ban/docs/project-docs/architecture/07-phan-quyen.md</x:t>
        </x:is>
      </x:c>
      <x:c r="J33" s="8" t="str"/>
      <x:c r="K33" s="8"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L33" s="27" t="n">
        <x:v>46301</x:v>
      </x:c>
    </x:row>
    <x:row r="34" ht="38" customHeight="1">
      <x:c r="A34" s="8" t="inlineStr">
        <x:is>
          <x:t xml:space="preserve">DOC-028</x:t>
        </x:is>
      </x:c>
      <x:c r="B34" s="8" t="inlineStr">
        <x:is>
          <x:t xml:space="preserve">08-kien-truc-ADR.md</x:t>
        </x:is>
      </x:c>
      <x:c r="C34" s="8" t="inlineStr">
        <x:is>
          <x:t xml:space="preserve">Nguồn kiến trúc</x:t>
        </x:is>
      </x:c>
      <x:c r="D34" s="8" t="inlineStr">
        <x:is>
          <x:t xml:space="preserve">v0.1 + 22/09</x:t>
        </x:is>
      </x:c>
      <x:c r="E34" s="8" t="inlineStr">
        <x:is>
          <x:t xml:space="preserve">Nguồn bổ trợ</x:t>
        </x:is>
      </x:c>
      <x:c r="F34" s="8" t="inlineStr">
        <x:is>
          <x:t xml:space="preserve">Mới nhất</x:t>
        </x:is>
      </x:c>
      <x:c r="G34" s="8" t="inlineStr">
        <x:is>
          <x:t xml:space="preserve">Q01; Q02; Q03; Q04</x:t>
        </x:is>
      </x:c>
      <x:c r="H34" s="9" t="inlineStr">
        <x:is>
          <x:t xml:space="preserve">Chưa có</x:t>
        </x:is>
      </x:c>
      <x:c r="I34" s="9" t="inlineStr">
        <x:is>
          <x:t xml:space="preserve">/Users/j2866/Documents/anhthai/dich-vu-quanh-ban/docs/project-docs/architecture/08-kien-truc-ADR.md</x:t>
        </x:is>
      </x:c>
      <x:c r="J34" s="8" t="str"/>
      <x:c r="K34" s="8" t="inlineStr">
        <x:is>
          <x:t xml:space="preserve">Đồng bộ JOB-01/02 chốt 23/09: tự thuê và việc không tự hết hạn. Tài liệu thiết kế; chưa triển khai sản phẩm.</x:t>
        </x:is>
      </x:c>
      <x:c r="L34" s="27" t="n">
        <x:v>46288</x:v>
      </x:c>
    </x:row>
    <x:row r="35" ht="38" customHeight="1">
      <x:c r="A35" s="8" t="inlineStr">
        <x:is>
          <x:t xml:space="preserve">DOC-029</x:t>
        </x:is>
      </x:c>
      <x:c r="B35" s="8" t="inlineStr">
        <x:is>
          <x:t xml:space="preserve">09-ERD-so-tai-chinh.md</x:t>
        </x:is>
      </x:c>
      <x:c r="C35" s="8" t="inlineStr">
        <x:is>
          <x:t xml:space="preserve">Nguồn kiến trúc</x:t>
        </x:is>
      </x:c>
      <x:c r="D35" s="8" t="str">
        <x:v>MAP-03 / P0-2 / 07-10-2026</x:v>
      </x:c>
      <x:c r="E35" s="8" t="inlineStr">
        <x:is>
          <x:t xml:space="preserve">Nguồn bổ trợ</x:t>
        </x:is>
      </x:c>
      <x:c r="F35" s="8" t="str">
        <x:v>Mới nhất</x:v>
      </x:c>
      <x:c r="G35" s="8" t="str">
        <x:v>Q01; Q02; Q03; Q04; P0-1; MAP-03; P0-2</x:v>
      </x:c>
      <x:c r="H35" s="9" t="inlineStr">
        <x:is>
          <x:t xml:space="preserve">Chưa có</x:t>
        </x:is>
      </x:c>
      <x:c r="I35" s="9" t="inlineStr">
        <x:is>
          <x:t xml:space="preserve">/Users/j2866/Documents/anhthai/dich-vu-quanh-ban/docs/project-docs/architecture/09-ERD-so-tai-chinh.md</x:t>
        </x:is>
      </x:c>
      <x:c r="J35" s="8" t="str"/>
      <x:c r="K35" s="8"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MAP-03/P0-2: đối chiếu bổ sung đã duyệt; B03-03/B03-04 chỉ repo. Code/local và native ghi riêng, chưa UAT/CI của thay đổi này.</x:v>
      </x:c>
      <x:c r="L35" s="27" t="n">
        <x:v>46302</x:v>
      </x:c>
    </x:row>
    <x:row r="36" ht="105" customHeight="1">
      <x:c r="A36" s="8" t="inlineStr">
        <x:is>
          <x:t xml:space="preserve">DOC-030</x:t>
        </x:is>
      </x:c>
      <x:c r="B36" s="8" t="inlineStr">
        <x:is>
          <x:t xml:space="preserve">10-sequence-API.md</x:t>
        </x:is>
      </x:c>
      <x:c r="C36" s="8" t="inlineStr">
        <x:is>
          <x:t xml:space="preserve">Nguồn kiến trúc</x:t>
        </x:is>
      </x:c>
      <x:c r="D36" s="8" t="str">
        <x:v>MAP-03 / P0-2 / 07-10-2026</x:v>
      </x:c>
      <x:c r="E36" s="8" t="inlineStr">
        <x:is>
          <x:t xml:space="preserve">Nguồn bổ trợ</x:t>
        </x:is>
      </x:c>
      <x:c r="F36" s="8" t="str">
        <x:v>Mới nhất</x:v>
      </x:c>
      <x:c r="G36" s="8" t="str">
        <x:v>Q01; Q02; Q03; Q04; LOGTEST-01; MAP-01; MAP-02; MAP-03; P0-2</x:v>
      </x:c>
      <x:c r="H36" s="9" t="inlineStr">
        <x:is>
          <x:t xml:space="preserve">https://drive.google.com/file/d/1QFvCWLng19VPnOoXcCZ2i0PUCsmlexMC/view</x:t>
        </x:is>
      </x:c>
      <x:c r="I36" s="9" t="inlineStr">
        <x:is>
          <x:t xml:space="preserve">/Users/j2866/Documents/anhthai/dich-vu-quanh-ban/docs/project-docs/architecture/10-sequence-API.md</x:t>
        </x:is>
      </x:c>
      <x:c r="J36" s="8" t="inlineStr">
        <x:is>
          <x:t xml:space="preserve">Thành phần trong DOC-018 architecture-source ZIP; không có file Drive riêng</x:t>
        </x:is>
      </x:c>
      <x:c r="K36" s="8" t="str">
        <x:v>LOGTEST-01/DOC-071:31 mobile+26 API+2 tooling+2 web E2E PASS; coverage core API100/91.53, mobile100/95.70; load200/concurrency20 PASS. Negative coverage/failure artifacts đã kiểm. Native BLOCKED; remoteCI chưa chạy.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36" s="27" t="n">
        <x:v>46302</x:v>
      </x:c>
    </x:row>
    <x:row r="37" ht="105" customHeight="1">
      <x:c r="A37" s="8" t="inlineStr">
        <x:is>
          <x:t xml:space="preserve">DOC-031</x:t>
        </x:is>
      </x:c>
      <x:c r="B37" s="8" t="inlineStr">
        <x:is>
          <x:t xml:space="preserve">11-quyet-dinh-va-kiem-chung.md</x:t>
        </x:is>
      </x:c>
      <x:c r="C37" s="8" t="inlineStr">
        <x:is>
          <x:t xml:space="preserve">Nguồn kiến trúc</x:t>
        </x:is>
      </x:c>
      <x:c r="D37" s="8" t="str">
        <x:v>MAP-03 / P0-2 / 07-10-2026</x:v>
      </x:c>
      <x:c r="E37" s="8" t="inlineStr">
        <x:is>
          <x:t xml:space="preserve">Nguồn bổ trợ</x:t>
        </x:is>
      </x:c>
      <x:c r="F37" s="8" t="str">
        <x:v>Mới nhất</x:v>
      </x:c>
      <x:c r="G37" s="8" t="str">
        <x:v>Q01; Q02; Q03; Q04; IMPLEMENT-01; TECH-01; MAP-01; MAP-02; MAP-03; P0-2</x:v>
      </x:c>
      <x:c r="H37" s="9" t="inlineStr">
        <x:is>
          <x:t xml:space="preserve">https://drive.google.com/file/d/1QFvCWLng19VPnOoXcCZ2i0PUCsmlexMC/view</x:t>
        </x:is>
      </x:c>
      <x:c r="I37" s="9" t="inlineStr">
        <x:is>
          <x:t xml:space="preserve">/Users/j2866/Documents/anhthai/dich-vu-quanh-ban/docs/project-docs/architecture/11-quyet-dinh-va-kiem-chung.md</x:t>
        </x:is>
      </x:c>
      <x:c r="J37" s="8" t="str"/>
      <x:c r="K37" s="8" t="str">
        <x:v>Đợt 1 local danh mục đã kiểm; DOC-065/066. Giữ phần ngoài danh mục là thiết kế; native và CI từ xa chưa chạy. Nguồn/bản xuất/Drive đã đọc lại cùng ID.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37" s="27" t="n">
        <x:v>46302</x:v>
      </x:c>
    </x:row>
    <x:row r="38" ht="38" customHeight="1">
      <x:c r="A38" s="8" t="inlineStr">
        <x:is>
          <x:t xml:space="preserve">DOC-032</x:t>
        </x:is>
      </x:c>
      <x:c r="B38" s="8" t="inlineStr">
        <x:is>
          <x:t xml:space="preserve">README.md</x:t>
        </x:is>
      </x:c>
      <x:c r="C38" s="8" t="inlineStr">
        <x:is>
          <x:t xml:space="preserve">Nguồn kiến trúc</x:t>
        </x:is>
      </x:c>
      <x:c r="D38" s="8" t="inlineStr">
        <x:is>
          <x:t xml:space="preserve">v0.1 + 22/09</x:t>
        </x:is>
      </x:c>
      <x:c r="E38" s="8" t="inlineStr">
        <x:is>
          <x:t xml:space="preserve">Nguồn bổ trợ</x:t>
        </x:is>
      </x:c>
      <x:c r="F38" s="8" t="inlineStr">
        <x:is>
          <x:t xml:space="preserve">Mới nhất</x:t>
        </x:is>
      </x:c>
      <x:c r="G38" s="8" t="inlineStr">
        <x:is>
          <x:t xml:space="preserve">Q01; Q02; Q03; Q04</x:t>
        </x:is>
      </x:c>
      <x:c r="H38" s="9" t="inlineStr">
        <x:is>
          <x:t xml:space="preserve">Chưa có</x:t>
        </x:is>
      </x:c>
      <x:c r="I38" s="9" t="inlineStr">
        <x:is>
          <x:t xml:space="preserve">/Users/j2866/Documents/anhthai/dich-vu-quanh-ban/docs/project-docs/architecture/README.md</x:t>
        </x:is>
      </x:c>
      <x:c r="J38" s="8" t="str"/>
      <x:c r="K38" s="8" t="inlineStr">
        <x:is>
          <x:t xml:space="preserve">Đồng bộ JOB-01/02 chốt 23/09: tự thuê và việc không tự hết hạn. Tài liệu thiết kế; chưa triển khai sản phẩm.</x:t>
        </x:is>
      </x:c>
      <x:c r="L38" s="27" t="n">
        <x:v>46288</x:v>
      </x:c>
    </x:row>
    <x:row r="39" ht="105" customHeight="1">
      <x:c r="A39" s="8" t="inlineStr">
        <x:is>
          <x:t xml:space="preserve">DOC-033</x:t>
        </x:is>
      </x:c>
      <x:c r="B39" s="8" t="inlineStr">
        <x:is>
          <x:t xml:space="preserve">architecture.json</x:t>
        </x:is>
      </x:c>
      <x:c r="C39" s="8" t="inlineStr">
        <x:is>
          <x:t xml:space="preserve">Nguồn kiến trúc</x:t>
        </x:is>
      </x:c>
      <x:c r="D39" s="8" t="str">
        <x:v>MAP-03 / P0-2 / 07-10-2026</x:v>
      </x:c>
      <x:c r="E39" s="8" t="inlineStr">
        <x:is>
          <x:t xml:space="preserve">Nguồn bổ trợ</x:t>
        </x:is>
      </x:c>
      <x:c r="F39" s="8" t="str">
        <x:v>Mới nhất</x:v>
      </x:c>
      <x:c r="G39" s="8" t="str">
        <x:v>Q01; Q02; Q03; Q04; IMPLEMENT-01; TECH-01; LOGTEST-01; P0-1; MAP-03; P0-2</x:v>
      </x:c>
      <x:c r="H39" s="9" t="inlineStr">
        <x:is>
          <x:t xml:space="preserve">https://drive.google.com/file/d/1QFvCWLng19VPnOoXcCZ2i0PUCsmlexMC/view</x:t>
        </x:is>
      </x:c>
      <x:c r="I39" s="9" t="inlineStr">
        <x:is>
          <x:t xml:space="preserve">/Users/j2866/Documents/anhthai/dich-vu-quanh-ban/docs/project-docs/architecture/architecture.json</x:t>
        </x:is>
      </x:c>
      <x:c r="J39" s="8" t="str"/>
      <x:c r="K39" s="8"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MAP-03/P0-2: đối chiếu bổ sung đã duyệt; B03-03/B03-04 chỉ repo. Code/local và native ghi riêng, chưa UAT/CI của thay đổi này.</x:v>
      </x:c>
      <x:c r="L39" s="27" t="n">
        <x:v>46302</x:v>
      </x:c>
    </x:row>
    <x:row r="40" ht="38" customHeight="1">
      <x:c r="A40" s="8" t="inlineStr">
        <x:is>
          <x:t xml:space="preserve">DOC-034</x:t>
        </x:is>
      </x:c>
      <x:c r="B40" s="8" t="inlineStr">
        <x:is>
          <x:t xml:space="preserve">flows.json</x:t>
        </x:is>
      </x:c>
      <x:c r="C40" s="8" t="inlineStr">
        <x:is>
          <x:t xml:space="preserve">Nguồn dữ liệu luồng</x:t>
        </x:is>
      </x:c>
      <x:c r="D40" s="8" t="str">
        <x:v>MAP-03 / P0-2 / 07-10-2026</x:v>
      </x:c>
      <x:c r="E40" s="8" t="inlineStr">
        <x:is>
          <x:t xml:space="preserve">Nguồn bổ trợ</x:t>
        </x:is>
      </x:c>
      <x:c r="F40" s="8" t="str">
        <x:v>Mới nhất</x:v>
      </x:c>
      <x:c r="G40" s="8" t="str">
        <x:v>Theo chức năng; P0-1; MAP-03; P0-2</x:v>
      </x:c>
      <x:c r="H40" s="9" t="inlineStr">
        <x:is>
          <x:t xml:space="preserve">Chưa có</x:t>
        </x:is>
      </x:c>
      <x:c r="I40" s="9" t="inlineStr">
        <x:is>
          <x:t xml:space="preserve">/Users/j2866/Documents/anhthai/dich-vu-quanh-ban/docs/project-docs/flows.json</x:t>
        </x:is>
      </x:c>
      <x:c r="J40" s="8" t="str"/>
      <x:c r="K40" s="8"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MAP-03/P0-2: đối chiếu bổ sung đã duyệt; B03-03/B03-04 chỉ repo. Code/local và native ghi riêng, chưa UAT/CI của thay đổi này.</x:v>
      </x:c>
      <x:c r="L40" s="27" t="n">
        <x:v>46302</x:v>
      </x:c>
    </x:row>
    <x:row r="41" ht="38" customHeight="1">
      <x:c r="A41" s="8" t="inlineStr">
        <x:is>
          <x:t xml:space="preserve">DOC-035</x:t>
        </x:is>
      </x:c>
      <x:c r="B41" s="8" t="inlineStr">
        <x:is>
          <x:t xml:space="preserve">audit.html</x:t>
        </x:is>
      </x:c>
      <x:c r="C41" s="8" t="inlineStr">
        <x:is>
          <x:t xml:space="preserve">Audit / QA lịch sử</x:t>
        </x:is>
      </x:c>
      <x:c r="D41" s="8" t="inlineStr">
        <x:is>
          <x:t xml:space="preserve">v0.21 / v0.22</x:t>
        </x:is>
      </x:c>
      <x:c r="E41" s="8" t="inlineStr">
        <x:is>
          <x:t xml:space="preserve">Lịch sử</x:t>
        </x:is>
      </x:c>
      <x:c r="F41" s="8" t="inlineStr">
        <x:is>
          <x:t xml:space="preserve">Lưu trữ</x:t>
        </x:is>
      </x:c>
      <x:c r="G41" s="8" t="inlineStr">
        <x:is>
          <x:t xml:space="preserve">Theo chức năng</x:t>
        </x:is>
      </x:c>
      <x:c r="H41" s="9" t="inlineStr">
        <x:is>
          <x:t xml:space="preserve">Chưa có</x:t>
        </x:is>
      </x:c>
      <x:c r="I41" s="9" t="inlineStr">
        <x:is>
          <x:t xml:space="preserve">/Users/j2866/Documents/anhthai/dich-vu-quanh-ban/ui-ux/wireframes/audit.html</x:t>
        </x:is>
      </x:c>
      <x:c r="J41" s="8" t="str"/>
      <x:c r="K41" s="8" t="inlineStr">
        <x:is>
          <x:t xml:space="preserve">Giữ bằng chứng cũ; tạo đợt kiểm chứng mới, không sửa kết quả lịch sử</x:t>
        </x:is>
      </x:c>
      <x:c r="L41" s="27" t="n"/>
    </x:row>
    <x:row r="42" ht="38" customHeight="1">
      <x:c r="A42" s="8" t="inlineStr">
        <x:is>
          <x:t xml:space="preserve">DOC-036</x:t>
        </x:is>
      </x:c>
      <x:c r="B42" s="8" t="inlineStr">
        <x:is>
          <x:t xml:space="preserve">fix-status.html</x:t>
        </x:is>
      </x:c>
      <x:c r="C42" s="8" t="inlineStr">
        <x:is>
          <x:t xml:space="preserve">Audit / QA lịch sử</x:t>
        </x:is>
      </x:c>
      <x:c r="D42" s="8" t="inlineStr">
        <x:is>
          <x:t xml:space="preserve">v0.21 / v0.22</x:t>
        </x:is>
      </x:c>
      <x:c r="E42" s="8" t="inlineStr">
        <x:is>
          <x:t xml:space="preserve">Lịch sử</x:t>
        </x:is>
      </x:c>
      <x:c r="F42" s="8" t="inlineStr">
        <x:is>
          <x:t xml:space="preserve">Lưu trữ</x:t>
        </x:is>
      </x:c>
      <x:c r="G42" s="8" t="inlineStr">
        <x:is>
          <x:t xml:space="preserve">Theo chức năng</x:t>
        </x:is>
      </x:c>
      <x:c r="H42" s="9" t="inlineStr">
        <x:is>
          <x:t xml:space="preserve">Chưa có</x:t>
        </x:is>
      </x:c>
      <x:c r="I42" s="9" t="inlineStr">
        <x:is>
          <x:t xml:space="preserve">/Users/j2866/Documents/anhthai/dich-vu-quanh-ban/ui-ux/wireframes/fix-status.html</x:t>
        </x:is>
      </x:c>
      <x:c r="J42" s="8" t="str"/>
      <x:c r="K42" s="8" t="inlineStr">
        <x:is>
          <x:t xml:space="preserve">Giữ bằng chứng cũ; tạo đợt kiểm chứng mới, không sửa kết quả lịch sử</x:t>
        </x:is>
      </x:c>
      <x:c r="L42" s="27" t="n"/>
    </x:row>
    <x:row r="43" ht="105" customHeight="1">
      <x:c r="A43" s="8" t="inlineStr">
        <x:is>
          <x:t xml:space="preserve">PLAN-001</x:t>
        </x:is>
      </x:c>
      <x:c r="B43" s="8" t="inlineStr">
        <x:is>
          <x:t xml:space="preserve">ERD vật lý / migration</x:t>
        </x:is>
      </x:c>
      <x:c r="C43" s="8" t="inlineStr">
        <x:is>
          <x:t xml:space="preserve">Thiết kế kỹ thuật</x:t>
        </x:is>
      </x:c>
      <x:c r="D43" s="8" t="str">
        <x:v>MAP-03 / P0-2 / 07-10-2026 / API v0.1.9</x:v>
      </x:c>
      <x:c r="E43" s="8" t="inlineStr">
        <x:is>
          <x:t xml:space="preserve">Nguồn thiết kế; chi tiết chờ review</x:t>
        </x:is>
      </x:c>
      <x:c r="F43" s="8" t="str">
        <x:v>Mới nhất</x:v>
      </x:c>
      <x:c r="G43" s="8" t="str">
        <x:v>Q03; nghiệp vụ đã chốt; IMPLEMENT-01; TECH-01; I18N-04; B01-04A; P0-1; MAP-01; MAP-02; MAP-03; P0-2</x:v>
      </x:c>
      <x:c r="H43" s="9" t="inlineStr">
        <x:is>
          <x:t xml:space="preserve">https://drive.google.com/file/d/10oNlaNo0zFVC8F_fnjFmJrrVahu5TyEI/view?usp=drivesdk</x:t>
        </x:is>
      </x:c>
      <x:c r="I43" s="9" t="inlineStr">
        <x:is>
          <x:t xml:space="preserve">/Users/j2866/Documents/anhthai/dich-vu-quanh-ban/docs/technical-design/01-data-design.md</x:t>
        </x:is>
      </x:c>
      <x:c r="J43" s="8" t="inlineStr">
        <x:is>
          <x:t xml:space="preserve">Viewer, JSON và ZIP cùng phiên bản</x:t>
        </x:is>
      </x:c>
      <x:c r="K43" s="8"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43" s="27" t="n">
        <x:v>46302</x:v>
      </x:c>
    </x:row>
    <x:row r="44" ht="105" customHeight="1">
      <x:c r="A44" s="8" t="inlineStr">
        <x:is>
          <x:t xml:space="preserve">PLAN-002</x:t>
        </x:is>
      </x:c>
      <x:c r="B44" s="8" t="inlineStr">
        <x:is>
          <x:t xml:space="preserve">OpenAPI / realtime contract</x:t>
        </x:is>
      </x:c>
      <x:c r="C44" s="8" t="inlineStr">
        <x:is>
          <x:t xml:space="preserve">Thiết kế kỹ thuật</x:t>
        </x:is>
      </x:c>
      <x:c r="D44" s="8" t="str">
        <x:v>MAP-03 / P0-2 / 07-10-2026 / API v0.1.9</x:v>
      </x:c>
      <x:c r="E44" s="8" t="inlineStr">
        <x:is>
          <x:t xml:space="preserve">Nguồn thiết kế; chi tiết chờ review</x:t>
        </x:is>
      </x:c>
      <x:c r="F44" s="8" t="str">
        <x:v>Mới nhất</x:v>
      </x:c>
      <x:c r="G44" s="8" t="str">
        <x:v>Q03; nghiệp vụ đã chốt; IMPLEMENT-01; TECH-01; LOGTEST-01; I18N-04; B01-04; B01-04A; P0-1; MAP-01; MAP-02; MAP-03; P0-2</x:v>
      </x:c>
      <x:c r="H44" s="9" t="inlineStr">
        <x:is>
          <x:t xml:space="preserve">https://drive.google.com/file/d/1XtwMHGx2jBE491-E7rCaJHulQ2XrneR5/view?usp=drivesdk</x:t>
        </x:is>
      </x:c>
      <x:c r="I44" s="9" t="inlineStr">
        <x:is>
          <x:t xml:space="preserve">/Users/j2866/Documents/anhthai/dich-vu-quanh-ban/docs/technical-design/02-api-realtime.md</x:t>
        </x:is>
      </x:c>
      <x:c r="J44" s="8" t="inlineStr">
        <x:is>
          <x:t xml:space="preserve">Viewer, JSON và ZIP cùng phiên bản</x:t>
        </x:is>
      </x:c>
      <x:c r="K44" s="8"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44" s="27" t="n">
        <x:v>46302</x:v>
      </x:c>
    </x:row>
    <x:row r="45" ht="105" customHeight="1">
      <x:c r="A45" s="8" t="inlineStr">
        <x:is>
          <x:t xml:space="preserve">PLAN-003</x:t>
        </x:is>
      </x:c>
      <x:c r="B45" s="8" t="inlineStr">
        <x:is>
          <x:t xml:space="preserve">Kế hoạch QA / RTM / UAT sản phẩm</x:t>
        </x:is>
      </x:c>
      <x:c r="C45" s="8" t="inlineStr">
        <x:is>
          <x:t xml:space="preserve">Thiết kế kỹ thuật</x:t>
        </x:is>
      </x:c>
      <x:c r="D45" s="8" t="str">
        <x:v>MAP-03 / P0-2 / 07-10-2026 / API v0.1.9</x:v>
      </x:c>
      <x:c r="E45" s="8" t="inlineStr">
        <x:is>
          <x:t xml:space="preserve">Nguồn thiết kế; chi tiết chờ review</x:t>
        </x:is>
      </x:c>
      <x:c r="F45" s="8" t="str">
        <x:v>Mới nhất</x:v>
      </x:c>
      <x:c r="G45" s="8" t="str">
        <x:v>Q03; nghiệp vụ đã chốt; IMPLEMENT-01; TECH-01; LOGTEST-01; I18N-04; B01-04; B01-04A; P0-1; MAP-01; MAP-02; MAP-03; P0-2</x:v>
      </x:c>
      <x:c r="H45" s="9" t="inlineStr">
        <x:is>
          <x:t xml:space="preserve">https://drive.google.com/file/d/1eE5IvNzIMPson4PO2uwqQ9GGEHky_Cp6/view?usp=drivesdk</x:t>
        </x:is>
      </x:c>
      <x:c r="I45" s="9" t="inlineStr">
        <x:is>
          <x:t xml:space="preserve">/Users/j2866/Documents/anhthai/dich-vu-quanh-ban/docs/technical-design/03-qa-plan.md</x:t>
        </x:is>
      </x:c>
      <x:c r="J45" s="8" t="inlineStr">
        <x:is>
          <x:t xml:space="preserve">Viewer, JSON và ZIP cùng phiên bản</x:t>
        </x:is>
      </x:c>
      <x:c r="K45" s="8"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45" s="27" t="n">
        <x:v>46302</x:v>
      </x:c>
    </x:row>
    <x:row r="46" ht="105" customHeight="1">
      <x:c r="A46" s="8" t="inlineStr">
        <x:is>
          <x:t xml:space="preserve">PLAN-004</x:t>
        </x:is>
      </x:c>
      <x:c r="B46" s="8" t="inlineStr">
        <x:is>
          <x:t xml:space="preserve">CI/CD / deploy / backup runbook</x:t>
        </x:is>
      </x:c>
      <x:c r="C46" s="8" t="inlineStr">
        <x:is>
          <x:t xml:space="preserve">Hồ sơ còn thiếu</x:t>
        </x:is>
      </x:c>
      <x:c r="D46" s="8" t="inlineStr">
        <x:is>
          <x:t xml:space="preserve">v1.0 local / DOC-071</x:t>
        </x:is>
      </x:c>
      <x:c r="E46" s="8" t="inlineStr">
        <x:is>
          <x:t xml:space="preserve">Runbook local/log/test/CI đã có; deploy/backup production chưa hoàn thành</x:t>
        </x:is>
      </x:c>
      <x:c r="F46" s="8" t="inlineStr">
        <x:is>
          <x:t xml:space="preserve">Cần đồng bộ</x:t>
        </x:is>
      </x:c>
      <x:c r="G46" s="8" t="inlineStr">
        <x:is>
          <x:t xml:space="preserve">IMPLEMENT-01; TECH-01; LOGTEST-01</x:t>
        </x:is>
      </x:c>
      <x:c r="H46" s="9" t="inlineStr">
        <x:is>
          <x:t xml:space="preserve">https://drive.google.com/file/d/1m7nrDRbwKj7HPH3TQoWUIsT4zSKn_ldK/view</x:t>
        </x:is>
      </x:c>
      <x:c r="I46" s="9" t="inlineStr">
        <x:is>
          <x:t xml:space="preserve">/Users/j2866/Documents/anhthai/dich-vu-quanh-ban/docs/implementation/logging-testing.md</x:t>
        </x:is>
      </x:c>
      <x:c r="J46" s="8" t="inlineStr">
        <x:is>
          <x:t xml:space="preserve">DOC-065; DOC-071; .github/workflows/quality.yml</x:t>
        </x:is>
      </x:c>
      <x:c r="K46" s="8" t="inlineStr">
        <x:is>
          <x:t xml:space="preserve">LOGTEST-01/DOC-071:31 mobile+26 API+2 tooling+2 web E2E PASS; coverage core API100/91.53, mobile100/95.70; load200/concurrency20 PASS. Negative coverage/failure artifacts đã kiểm. Native BLOCKED; remoteCI chưa chạy. PLAN-004 còn native/remote CI, deploy/backup production ngoài phạm vi.</x:t>
        </x:is>
      </x:c>
      <x:c r="L46" s="27" t="n">
        <x:v>46293</x:v>
      </x:c>
    </x:row>
    <x:row r="47" ht="32" customHeight="1">
      <x:c r="A47" s="8" t="inlineStr">
        <x:is>
          <x:t xml:space="preserve">PLAN-005</x:t>
        </x:is>
      </x:c>
      <x:c r="B47" s="8" t="inlineStr">
        <x:is>
          <x:t xml:space="preserve">Runbook ngoại lệ tài chính</x:t>
        </x:is>
      </x:c>
      <x:c r="C47" s="8" t="inlineStr">
        <x:is>
          <x:t xml:space="preserve">Hồ sơ còn thiếu</x:t>
        </x:is>
      </x:c>
      <x:c r="D47" s="8" t="inlineStr">
        <x:is>
          <x:t xml:space="preserve">Chưa có</x:t>
        </x:is>
      </x:c>
      <x:c r="E47" s="8" t="inlineStr">
        <x:is>
          <x:t xml:space="preserve">Cần tạo</x:t>
        </x:is>
      </x:c>
      <x:c r="F47" s="8" t="inlineStr">
        <x:is>
          <x:t xml:space="preserve">Chưa có</x:t>
        </x:is>
      </x:c>
      <x:c r="G47" s="8" t="inlineStr">
        <x:is>
          <x:t xml:space="preserve">Q02</x:t>
        </x:is>
      </x:c>
      <x:c r="H47" s="9" t="inlineStr">
        <x:is>
          <x:t xml:space="preserve">Chưa có</x:t>
        </x:is>
      </x:c>
      <x:c r="I47" s="9" t="inlineStr">
        <x:is>
          <x:t xml:space="preserve">Chưa có</x:t>
        </x:is>
      </x:c>
      <x:c r="J47" s="8" t="str"/>
      <x:c r="K47" s="8" t="inlineStr">
        <x:is>
          <x:t xml:space="preserve">Q02: bắt buộc trước tiền thật</x:t>
        </x:is>
      </x:c>
      <x:c r="L47" s="27" t="n"/>
    </x:row>
    <x:row r="48" ht="32" customHeight="1">
      <x:c r="A48" s="8" t="inlineStr">
        <x:is>
          <x:t xml:space="preserve">PLAN-006</x:t>
        </x:is>
      </x:c>
      <x:c r="B48" s="8" t="inlineStr">
        <x:is>
          <x:t xml:space="preserve">Design System / đặc tả field</x:t>
        </x:is>
      </x:c>
      <x:c r="C48" s="8" t="inlineStr">
        <x:is>
          <x:t xml:space="preserve">Thiết kế UI</x:t>
        </x:is>
      </x:c>
      <x:c r="D48" s="8" t="inlineStr">
        <x:is>
          <x:t xml:space="preserve">v0.12</x:t>
        </x:is>
      </x:c>
      <x:c r="E48" s="8" t="inlineStr">
        <x:is>
          <x:t xml:space="preserve">Nền tảng khách và partner; chưa toàn hệ thống</x:t>
        </x:is>
      </x:c>
      <x:c r="F48" s="8" t="inlineStr">
        <x:is>
          <x:t xml:space="preserve">Mới nhất</x:t>
        </x:is>
      </x:c>
      <x:c r="G48" s="8" t="inlineStr">
        <x:is>
          <x:t xml:space="preserve">UI-05/06/07/08/09/10/11/12/13/14/15/16/UI-17/UI-18/UI-19/UI-20</x:t>
        </x:is>
      </x:c>
      <x:c r="H48" s="9" t="inlineStr">
        <x:is>
          <x:t xml:space="preserve">https://drive.google.com/file/d/1Unjr9ELcli6zcOb-4U2z62EDZo8Q5iE7/view?usp=drivesdk</x:t>
        </x:is>
      </x:c>
      <x:c r="I48" s="9" t="inlineStr">
        <x:is>
          <x:t xml:space="preserve">/Users/j2866/Documents/anhthai/dich-vu-quanh-ban/ui-ux/specs/design-system.md</x:t>
        </x:is>
      </x:c>
      <x:c r="J48" s="8" t="inlineStr">
        <x:is>
          <x:t xml:space="preserve">React/Storybook; UI-UX-v0.18.zip</x:t>
        </x:is>
      </x:c>
      <x:c r="K48" s="8" t="inlineStr">
        <x:is>
          <x:t xml:space="preserve">UI-20: tài khoản, partner, danh mục, báo cáo; 52 stories, 46 tests; giới hạn DOC-062.</x:t>
        </x:is>
      </x:c>
      <x:c r="L48" s="27" t="n">
        <x:v>46288</x:v>
      </x:c>
    </x:row>
    <x:row r="49" ht="32" customHeight="1">
      <x:c r="A49" s="8" t="inlineStr">
        <x:is>
          <x:t xml:space="preserve">PLAN-007</x:t>
        </x:is>
      </x:c>
      <x:c r="B49" s="8" t="inlineStr">
        <x:is>
          <x:t xml:space="preserve">Tích hợp và dự toán</x:t>
        </x:is>
      </x:c>
      <x:c r="C49" s="8" t="inlineStr">
        <x:is>
          <x:t xml:space="preserve">Hồ sơ còn thiếu</x:t>
        </x:is>
      </x:c>
      <x:c r="D49" s="8" t="inlineStr">
        <x:is>
          <x:t xml:space="preserve">Chưa có</x:t>
        </x:is>
      </x:c>
      <x:c r="E49" s="8" t="inlineStr">
        <x:is>
          <x:t xml:space="preserve">Cần tạo</x:t>
        </x:is>
      </x:c>
      <x:c r="F49" s="8" t="inlineStr">
        <x:is>
          <x:t xml:space="preserve">Chưa có</x:t>
        </x:is>
      </x:c>
      <x:c r="G49" s="8" t="inlineStr">
        <x:is>
          <x:t xml:space="preserve">Theo giai đoạn</x:t>
        </x:is>
      </x:c>
      <x:c r="H49" s="9" t="inlineStr">
        <x:is>
          <x:t xml:space="preserve">Chưa có</x:t>
        </x:is>
      </x:c>
      <x:c r="I49" s="9" t="inlineStr">
        <x:is>
          <x:t xml:space="preserve">Chưa có</x:t>
        </x:is>
      </x:c>
      <x:c r="J49" s="8" t="str"/>
      <x:c r="K49" s="8" t="inlineStr">
        <x:is>
          <x:t xml:space="preserve">Q03 đã chốt; Q04 chưa có ngân sách; nhà cung cấp/dự toán chưa chọn</x:t>
        </x:is>
      </x:c>
      <x:c r="L49" s="27" t="n"/>
    </x:row>
    <x:row r="50" ht="105" customHeight="1">
      <x:c r="A50" s="8" t="inlineStr">
        <x:is>
          <x:t xml:space="preserve">PLAN-008</x:t>
        </x:is>
      </x:c>
      <x:c r="B50" s="8" t="inlineStr">
        <x:is>
          <x:t xml:space="preserve">Backlog kỹ thuật / DoD</x:t>
        </x:is>
      </x:c>
      <x:c r="C50" s="8" t="inlineStr">
        <x:is>
          <x:t xml:space="preserve">Thiết kế kỹ thuật</x:t>
        </x:is>
      </x:c>
      <x:c r="D50" s="8" t="inlineStr">
        <x:is>
          <x:t xml:space="preserve">v0.1.2 + I18N-04</x:t>
        </x:is>
      </x:c>
      <x:c r="E50" s="8" t="inlineStr">
        <x:is>
          <x:t xml:space="preserve">Nguồn thiết kế; chi tiết chờ review</x:t>
        </x:is>
      </x:c>
      <x:c r="F50" s="8" t="inlineStr">
        <x:is>
          <x:t xml:space="preserve">Mới nhất</x:t>
        </x:is>
      </x:c>
      <x:c r="G50" s="8" t="inlineStr">
        <x:is>
          <x:t xml:space="preserve">Q03; nghiệp vụ đã chốt; IMPLEMENT-01; TECH-01; LOGTEST-01; I18N-04</x:t>
        </x:is>
      </x:c>
      <x:c r="H50" s="9" t="inlineStr">
        <x:is>
          <x:t xml:space="preserve">https://drive.google.com/file/d/1pJieipNm0-CL8furUSqQFYjoaGNa4Kjo/view?usp=drivesdk</x:t>
        </x:is>
      </x:c>
      <x:c r="I50" s="9" t="inlineStr">
        <x:is>
          <x:t xml:space="preserve">/Users/j2866/Documents/anhthai/dich-vu-quanh-ban/docs/technical-design/04-backlog.md</x:t>
        </x:is>
      </x:c>
      <x:c r="J50" s="8" t="inlineStr">
        <x:is>
          <x:t xml:space="preserve">Viewer, JSON và ZIP cùng phiên bản</x:t>
        </x:is>
      </x:c>
      <x:c r="K50" s="8" t="inlineStr">
        <x:is>
          <x:t xml:space="preserve">I18N-04: 10 ngành/50 nhóm/140 kỹ năng; 34 API,86 mobile,5 web; native i18n/layout Android+iOS đạt local. Chưa push/CI/UAT. 9 file Drive cùng ID đã tải lại đối chiếu bytes; PRD/SRS/UX và FR/NFR đã đọc lại đúng phạm vi. Báo cáo học code chỉ lưu repo.</x:t>
        </x:is>
      </x:c>
      <x:c r="L50" s="27" t="n">
        <x:v>46300</x:v>
      </x:c>
    </x:row>
    <x:row r="51" ht="68" customHeight="1">
      <x:c r="A51" s="8" t="inlineStr">
        <x:is>
          <x:t xml:space="preserve">RULE-001</x:t>
        </x:is>
      </x:c>
      <x:c r="B51" s="8" t="inlineStr">
        <x:is>
          <x:t xml:space="preserve">AGENTS.md</x:t>
        </x:is>
      </x:c>
      <x:c r="C51" s="8" t="inlineStr">
        <x:is>
          <x:t xml:space="preserve">Quy tắc làm việc</x:t>
        </x:is>
      </x:c>
      <x:c r="D51" s="8" t="inlineStr">
        <x:is>
          <x:t xml:space="preserve">01/10/2026 / DELIVERY-01</x:t>
        </x:is>
      </x:c>
      <x:c r="E51" s="8" t="inlineStr">
        <x:is>
          <x:t xml:space="preserve">Quy tắc dự án</x:t>
        </x:is>
      </x:c>
      <x:c r="F51" s="8" t="inlineStr">
        <x:is>
          <x:t xml:space="preserve">Cần đồng bộ</x:t>
        </x:is>
      </x:c>
      <x:c r="G51" s="8" t="inlineStr">
        <x:is>
          <x:t xml:space="preserve">RULE-01; DELIVERY-01</x:t>
        </x:is>
      </x:c>
      <x:c r="H51" s="9" t="inlineStr">
        <x:is>
          <x:t xml:space="preserve">Chưa có</x:t>
        </x:is>
      </x:c>
      <x:c r="I51" s="9" t="inlineStr">
        <x:is>
          <x:t xml:space="preserve">/Users/j2866/Documents/anhthai/dich-vu-quanh-ban/AGENTS.md</x:t>
        </x:is>
      </x:c>
      <x:c r="J51" s="8" t="inlineStr">
        <x:is>
          <x:t xml:space="preserve">DOC-089 chứa snapshot nguồn mới; liên kết Drive cũ (nếu có) giữ nguyên là bản cũ.</x:t>
        </x:is>
      </x:c>
      <x:c r="K51" s="8" t="inlineStr">
        <x:is>
          <x:t xml:space="preserve">Local đã kiểm theo DELIVERY-01; tiến độ code xem DOC-082/083, báo cáo DOC-087/088. Drive chưa cập nhật vì automatic approval review từ chối upload; không ghi đè bản remote.</x:t>
        </x:is>
      </x:c>
      <x:c r="L51" s="27" t="n">
        <x:v>46287</x:v>
      </x:c>
    </x:row>
    <x:row r="52" ht="105" customHeight="1">
      <x:c r="A52" s="20" t="inlineStr">
        <x:is>
          <x:t xml:space="preserve">DOC-037</x:t>
        </x:is>
      </x:c>
      <x:c r="B52" s="20" t="inlineStr">
        <x:is>
          <x:t xml:space="preserve">technical-design.html</x:t>
        </x:is>
      </x:c>
      <x:c r="C52" s="20" t="inlineStr">
        <x:is>
          <x:t xml:space="preserve">Thiết kế kỹ thuật</x:t>
        </x:is>
      </x:c>
      <x:c r="D52" s="20" t="str">
        <x:v>MAP-03 / P0-2 / 07-10-2026 / API v0.1.9</x:v>
      </x:c>
      <x:c r="E52" s="20" t="inlineStr">
        <x:is>
          <x:t xml:space="preserve">Nguồn / bản tra cứu</x:t>
        </x:is>
      </x:c>
      <x:c r="F52" s="20" t="str">
        <x:v>Mới nhất</x:v>
      </x:c>
      <x:c r="G52" s="20" t="str">
        <x:v>Q03; PLAN-001/002/003/008; IMPLEMENT-01; TECH-01; LOGTEST-01; I18N-04; B01-04; B01-04A; P0-1; MAP-01; MAP-02; MAP-03; P0-2</x:v>
      </x:c>
      <x:c r="H52" s="20" t="inlineStr">
        <x:is>
          <x:t xml:space="preserve">https://drive.google.com/file/d/15EgWqgGgTsG11r9BBF7boNAL0jY2Wi_a/view?usp=drivesdk</x:t>
        </x:is>
      </x:c>
      <x:c r="I52" s="20" t="inlineStr">
        <x:is>
          <x:t xml:space="preserve">/Users/j2866/Documents/anhthai/dich-vu-quanh-ban/docs/technical-design/technical-design.html</x:t>
        </x:is>
      </x:c>
      <x:c r="J52" s="20" t="inlineStr">
        <x:is>
          <x:t xml:space="preserve">Bản trên Drive</x:t>
        </x:is>
      </x:c>
      <x:c r="K52" s="20"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52" s="28" t="n">
        <x:v>46302</x:v>
      </x:c>
    </x:row>
    <x:row r="53" ht="105" customHeight="1">
      <x:c r="A53" s="20" t="inlineStr">
        <x:is>
          <x:t xml:space="preserve">DOC-038</x:t>
        </x:is>
      </x:c>
      <x:c r="B53" s="20" t="inlineStr">
        <x:is>
          <x:t xml:space="preserve">schema.sql</x:t>
        </x:is>
      </x:c>
      <x:c r="C53" s="20" t="inlineStr">
        <x:is>
          <x:t xml:space="preserve">Thiết kế kỹ thuật</x:t>
        </x:is>
      </x:c>
      <x:c r="D53" s="20" t="str">
        <x:v>MAP-03 / P0-2 / 07-10-2026 / API v0.1.9</x:v>
      </x:c>
      <x:c r="E53" s="20" t="inlineStr">
        <x:is>
          <x:t xml:space="preserve">Nguồn / bản tra cứu</x:t>
        </x:is>
      </x:c>
      <x:c r="F53" s="20" t="str">
        <x:v>Mới nhất</x:v>
      </x:c>
      <x:c r="G53" s="20" t="str">
        <x:v>Q03; PLAN-001/002/003/008; IMPLEMENT-01; TECH-01; I18N-04; B01-04A; P0-1; MAP-03; P0-2</x:v>
      </x:c>
      <x:c r="H53" s="20" t="inlineStr">
        <x:is>
          <x:t xml:space="preserve">https://drive.google.com/file/d/1_U6V5_TJ4vXuRCgc42G-xUX2HAWEjEjc/view?usp=drivesdk</x:t>
        </x:is>
      </x:c>
      <x:c r="I53" s="20" t="inlineStr">
        <x:is>
          <x:t xml:space="preserve">/Users/j2866/Documents/anhthai/dich-vu-quanh-ban/docs/technical-design/schema.sql</x:t>
        </x:is>
      </x:c>
      <x:c r="J53" s="20" t="inlineStr">
        <x:is>
          <x:t xml:space="preserve">Bản trên Drive</x:t>
        </x:is>
      </x:c>
      <x:c r="K53" s="20"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MAP-03/P0-2: đối chiếu bổ sung đã duyệt; B03-03/B03-04 chỉ repo. Code/local và native ghi riêng, chưa UAT/CI của thay đổi này.</x:v>
      </x:c>
      <x:c r="L53" s="28" t="n">
        <x:v>46302</x:v>
      </x:c>
    </x:row>
    <x:row r="54" ht="105" customHeight="1">
      <x:c r="A54" s="20" t="inlineStr">
        <x:is>
          <x:t xml:space="preserve">DOC-039</x:t>
        </x:is>
      </x:c>
      <x:c r="B54" s="20" t="inlineStr">
        <x:is>
          <x:t xml:space="preserve">openapi.json</x:t>
        </x:is>
      </x:c>
      <x:c r="C54" s="20" t="inlineStr">
        <x:is>
          <x:t xml:space="preserve">Thiết kế kỹ thuật</x:t>
        </x:is>
      </x:c>
      <x:c r="D54" s="20" t="str">
        <x:v>MAP-03 / P0-2 / 07-10-2026 / API v0.1.9</x:v>
      </x:c>
      <x:c r="E54" s="20" t="inlineStr">
        <x:is>
          <x:t xml:space="preserve">Nguồn / bản tra cứu</x:t>
        </x:is>
      </x:c>
      <x:c r="F54" s="20" t="str">
        <x:v>Mới nhất</x:v>
      </x:c>
      <x:c r="G54" s="20" t="str">
        <x:v>Q03; PLAN-001/002/003/008; IMPLEMENT-01; TECH-01; LOGTEST-01; I18N-04; B01-04; B01-04A; P0-1; MAP-01; MAP-02; MAP-03; P0-2</x:v>
      </x:c>
      <x:c r="H54" s="20" t="inlineStr">
        <x:is>
          <x:t xml:space="preserve">https://drive.google.com/file/d/1aO9fJeNj78rOpQwhgWCeiWJSnRz5FXl6/view?usp=drivesdk</x:t>
        </x:is>
      </x:c>
      <x:c r="I54" s="20" t="inlineStr">
        <x:is>
          <x:t xml:space="preserve">/Users/j2866/Documents/anhthai/dich-vu-quanh-ban/docs/technical-design/openapi.json</x:t>
        </x:is>
      </x:c>
      <x:c r="J54" s="20" t="inlineStr">
        <x:is>
          <x:t xml:space="preserve">Bản trên Drive</x:t>
        </x:is>
      </x:c>
      <x:c r="K54" s="20"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54" s="28" t="n">
        <x:v>46302</x:v>
      </x:c>
    </x:row>
    <x:row r="55" ht="105" customHeight="1">
      <x:c r="A55" s="20" t="inlineStr">
        <x:is>
          <x:t xml:space="preserve">DOC-040</x:t>
        </x:is>
      </x:c>
      <x:c r="B55" s="20" t="inlineStr">
        <x:is>
          <x:t xml:space="preserve">technical-design-v0.1.1.zip</x:t>
        </x:is>
      </x:c>
      <x:c r="C55" s="20" t="inlineStr">
        <x:is>
          <x:t xml:space="preserve">Thiết kế kỹ thuật</x:t>
        </x:is>
      </x:c>
      <x:c r="D55" s="20" t="str">
        <x:v>MAP-03 / P0-2 / 07-10-2026 / API v0.1.9</x:v>
      </x:c>
      <x:c r="E55" s="20" t="inlineStr">
        <x:is>
          <x:t xml:space="preserve">Gói hiện hành</x:t>
        </x:is>
      </x:c>
      <x:c r="F55" s="20" t="str">
        <x:v>Mới nhất</x:v>
      </x:c>
      <x:c r="G55" s="20" t="str">
        <x:v>Q03; PLAN-001/002/003/008; IMPLEMENT-01; TECH-01; STRUCTURE-01; LOGTEST-01; PATH-01; NATIVE-B-01; MCP-01; EXPO-MCP-01; I18N-04; B01-04; B01-04A; P0-1; MAP-01; MAP-02; MAP-03; P0-2</x:v>
      </x:c>
      <x:c r="H55" s="20" t="inlineStr">
        <x:is>
          <x:t xml:space="preserve">https://drive.google.com/file/d/18z-ReFxGP-RhX5_cOVTidcHJJGFfB48D/view?usp=drivesdk</x:t>
        </x:is>
      </x:c>
      <x:c r="I55" s="20" t="inlineStr">
        <x:is>
          <x:t xml:space="preserve">/Users/j2866/Documents/anhthai/dich-vu-quanh-ban/docs/technical-design/technical-design-v0.1.1.zip</x:t>
        </x:is>
      </x:c>
      <x:c r="J55" s="20" t="inlineStr">
        <x:is>
          <x:t xml:space="preserve">Bản trên Drive</x:t>
        </x:is>
      </x:c>
      <x:c r="K55" s="20"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55" s="28" t="n">
        <x:v>46302</x:v>
      </x:c>
    </x:row>
    <x:row r="56" ht="105" customHeight="1">
      <x:c r="A56" s="20" t="inlineStr">
        <x:is>
          <x:t xml:space="preserve">DOC-041</x:t>
        </x:is>
      </x:c>
      <x:c r="B56" s="20" t="inlineStr">
        <x:is>
          <x:t xml:space="preserve">README.md</x:t>
        </x:is>
      </x:c>
      <x:c r="C56" s="20" t="inlineStr">
        <x:is>
          <x:t xml:space="preserve">Thiết kế kỹ thuật</x:t>
        </x:is>
      </x:c>
      <x:c r="D56" s="20" t="str">
        <x:v>MAP-03 / P0-2 / 07-10-2026 / API v0.1.9</x:v>
      </x:c>
      <x:c r="E56" s="20" t="inlineStr">
        <x:is>
          <x:t xml:space="preserve">Nguồn / bản tra cứu</x:t>
        </x:is>
      </x:c>
      <x:c r="F56" s="20" t="str">
        <x:v>Mới nhất</x:v>
      </x:c>
      <x:c r="G56" s="20" t="str">
        <x:v>Q03; PLAN-001/002/003/008; IMPLEMENT-01; TECH-01; LOGTEST-01; I18N-04; B01-04; B01-04A; P0-1; MAP-01; MAP-02; MAP-03; P0-2</x:v>
      </x:c>
      <x:c r="H56" s="20" t="inlineStr">
        <x:is>
          <x:t xml:space="preserve">https://drive.google.com/file/d/18z-ReFxGP-RhX5_cOVTidcHJJGFfB48D/view?usp=drivesdk</x:t>
        </x:is>
      </x:c>
      <x:c r="I56" s="20" t="inlineStr">
        <x:is>
          <x:t xml:space="preserve">/Users/j2866/Documents/anhthai/dich-vu-quanh-ban/docs/technical-design/README.md</x:t>
        </x:is>
      </x:c>
      <x:c r="J56" s="20" t="inlineStr">
        <x:is>
          <x:t xml:space="preserve">Thành phần trong ZIP trên Drive</x:t>
        </x:is>
      </x:c>
      <x:c r="K56" s="20"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56" s="28" t="n">
        <x:v>46302</x:v>
      </x:c>
    </x:row>
    <x:row r="57" ht="105" customHeight="1">
      <x:c r="A57" s="20" t="inlineStr">
        <x:is>
          <x:t xml:space="preserve">DOC-042</x:t>
        </x:is>
      </x:c>
      <x:c r="B57" s="20" t="inlineStr">
        <x:is>
          <x:t xml:space="preserve">data-model.json</x:t>
        </x:is>
      </x:c>
      <x:c r="C57" s="20" t="inlineStr">
        <x:is>
          <x:t xml:space="preserve">Thiết kế kỹ thuật</x:t>
        </x:is>
      </x:c>
      <x:c r="D57" s="20" t="str">
        <x:v>MAP-03 / P0-2 / 07-10-2026 / API v0.1.9</x:v>
      </x:c>
      <x:c r="E57" s="20" t="inlineStr">
        <x:is>
          <x:t xml:space="preserve">Nguồn / bản tra cứu</x:t>
        </x:is>
      </x:c>
      <x:c r="F57" s="20" t="str">
        <x:v>Mới nhất</x:v>
      </x:c>
      <x:c r="G57" s="20" t="str">
        <x:v>Q03; PLAN-001/002/003/008; IMPLEMENT-01; TECH-01; I18N-04; B01-04A; P0-1; MAP-03; P0-2</x:v>
      </x:c>
      <x:c r="H57" s="20" t="inlineStr">
        <x:is>
          <x:t xml:space="preserve">https://drive.google.com/file/d/18z-ReFxGP-RhX5_cOVTidcHJJGFfB48D/view?usp=drivesdk</x:t>
        </x:is>
      </x:c>
      <x:c r="I57" s="20" t="inlineStr">
        <x:is>
          <x:t xml:space="preserve">/Users/j2866/Documents/anhthai/dich-vu-quanh-ban/docs/technical-design/data-model.json</x:t>
        </x:is>
      </x:c>
      <x:c r="J57" s="20" t="inlineStr">
        <x:is>
          <x:t xml:space="preserve">Thành phần trong ZIP trên Drive</x:t>
        </x:is>
      </x:c>
      <x:c r="K57" s="20"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MAP-03/P0-2: đối chiếu bổ sung đã duyệt; B03-03/B03-04 chỉ repo. Code/local và native ghi riêng, chưa UAT/CI của thay đổi này.</x:v>
      </x:c>
      <x:c r="L57" s="28" t="n">
        <x:v>46302</x:v>
      </x:c>
    </x:row>
    <x:row r="58" ht="105" customHeight="1">
      <x:c r="A58" s="20" t="inlineStr">
        <x:is>
          <x:t xml:space="preserve">DOC-043</x:t>
        </x:is>
      </x:c>
      <x:c r="B58" s="20" t="inlineStr">
        <x:is>
          <x:t xml:space="preserve">operations.json</x:t>
        </x:is>
      </x:c>
      <x:c r="C58" s="20" t="inlineStr">
        <x:is>
          <x:t xml:space="preserve">Thiết kế kỹ thuật</x:t>
        </x:is>
      </x:c>
      <x:c r="D58" s="20" t="str">
        <x:v>MAP-03 / P0-2 / 07-10-2026 / API v0.1.9</x:v>
      </x:c>
      <x:c r="E58" s="20" t="inlineStr">
        <x:is>
          <x:t xml:space="preserve">Nguồn / bản tra cứu</x:t>
        </x:is>
      </x:c>
      <x:c r="F58" s="20" t="str">
        <x:v>Mới nhất</x:v>
      </x:c>
      <x:c r="G58" s="20" t="str">
        <x:v>Q03; PLAN-001/002/003/008; IMPLEMENT-01; TECH-01; LOGTEST-01; I18N-04; B01-04; B01-04A; P0-1; MAP-01; MAP-02; MAP-03; P0-2</x:v>
      </x:c>
      <x:c r="H58" s="20" t="inlineStr">
        <x:is>
          <x:t xml:space="preserve">https://drive.google.com/file/d/18z-ReFxGP-RhX5_cOVTidcHJJGFfB48D/view?usp=drivesdk</x:t>
        </x:is>
      </x:c>
      <x:c r="I58" s="20" t="inlineStr">
        <x:is>
          <x:t xml:space="preserve">/Users/j2866/Documents/anhthai/dich-vu-quanh-ban/docs/technical-design/operations.json</x:t>
        </x:is>
      </x:c>
      <x:c r="J58" s="20" t="inlineStr">
        <x:is>
          <x:t xml:space="preserve">Thành phần trong ZIP trên Drive</x:t>
        </x:is>
      </x:c>
      <x:c r="K58" s="20"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58" s="28" t="n">
        <x:v>46302</x:v>
      </x:c>
    </x:row>
    <x:row r="59" ht="72" customHeight="1">
      <x:c r="A59" s="20" t="inlineStr">
        <x:is>
          <x:t xml:space="preserve">DOC-044</x:t>
        </x:is>
      </x:c>
      <x:c r="B59" s="20" t="inlineStr">
        <x:is>
          <x:t xml:space="preserve">realtime.json</x:t>
        </x:is>
      </x:c>
      <x:c r="C59" s="20" t="inlineStr">
        <x:is>
          <x:t xml:space="preserve">Thiết kế kỹ thuật</x:t>
        </x:is>
      </x:c>
      <x:c r="D59" s="20" t="inlineStr">
        <x:is>
          <x:t xml:space="preserve">v0.1</x:t>
        </x:is>
      </x:c>
      <x:c r="E59" s="20" t="inlineStr">
        <x:is>
          <x:t xml:space="preserve">Nguồn / bản tra cứu</x:t>
        </x:is>
      </x:c>
      <x:c r="F59" s="20" t="inlineStr">
        <x:is>
          <x:t xml:space="preserve">Mới nhất</x:t>
        </x:is>
      </x:c>
      <x:c r="G59" s="20" t="inlineStr">
        <x:is>
          <x:t xml:space="preserve">Q03; PLAN-001/002/003/008</x:t>
        </x:is>
      </x:c>
      <x:c r="H59" s="20" t="inlineStr">
        <x:is>
          <x:t xml:space="preserve">https://drive.google.com/file/d/18z-ReFxGP-RhX5_cOVTidcHJJGFfB48D/view?usp=drivesdk</x:t>
        </x:is>
      </x:c>
      <x:c r="I59" s="20" t="inlineStr">
        <x:is>
          <x:t xml:space="preserve">/Users/j2866/Documents/anhthai/dich-vu-quanh-ban/docs/technical-design/realtime.json</x:t>
        </x:is>
      </x:c>
      <x:c r="J59" s="20" t="inlineStr">
        <x:is>
          <x:t xml:space="preserve">Thành phần trong ZIP trên Drive</x:t>
        </x:is>
      </x:c>
      <x:c r="K59" s="20" t="inlineStr">
        <x:is>
          <x:t xml:space="preserve">Đã kiểm cấu trúc/tra cứu; chưa phải kiểm thử sản phẩm</x:t>
        </x:is>
      </x:c>
      <x:c r="L59" s="28" t="n">
        <x:v>46288</x:v>
      </x:c>
    </x:row>
    <x:row r="60" ht="105" customHeight="1">
      <x:c r="A60" s="20" t="inlineStr">
        <x:is>
          <x:t xml:space="preserve">DOC-045</x:t>
        </x:is>
      </x:c>
      <x:c r="B60" s="20" t="inlineStr">
        <x:is>
          <x:t xml:space="preserve">qa-cases.json</x:t>
        </x:is>
      </x:c>
      <x:c r="C60" s="20" t="inlineStr">
        <x:is>
          <x:t xml:space="preserve">Thiết kế kỹ thuật</x:t>
        </x:is>
      </x:c>
      <x:c r="D60" s="20" t="str">
        <x:v>MAP-03 / P0-2 / 07-10-2026 / API v0.1.9</x:v>
      </x:c>
      <x:c r="E60" s="20" t="inlineStr">
        <x:is>
          <x:t xml:space="preserve">Nguồn / bản tra cứu</x:t>
        </x:is>
      </x:c>
      <x:c r="F60" s="20" t="str">
        <x:v>Mới nhất</x:v>
      </x:c>
      <x:c r="G60" s="20" t="str">
        <x:v>Q03; PLAN-001/002/003/008; IMPLEMENT-01; TECH-01; LOGTEST-01; I18N-04; B01-04; B01-04A; P0-1; MAP-01; MAP-02; MAP-03; P0-2</x:v>
      </x:c>
      <x:c r="H60" s="20" t="inlineStr">
        <x:is>
          <x:t xml:space="preserve">https://drive.google.com/file/d/18z-ReFxGP-RhX5_cOVTidcHJJGFfB48D/view?usp=drivesdk</x:t>
        </x:is>
      </x:c>
      <x:c r="I60" s="20" t="inlineStr">
        <x:is>
          <x:t xml:space="preserve">/Users/j2866/Documents/anhthai/dich-vu-quanh-ban/docs/technical-design/qa-cases.json</x:t>
        </x:is>
      </x:c>
      <x:c r="J60" s="20" t="inlineStr">
        <x:is>
          <x:t xml:space="preserve">Thành phần trong ZIP trên Drive</x:t>
        </x:is>
      </x:c>
      <x:c r="K60" s="20"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60" s="28" t="n">
        <x:v>46302</x:v>
      </x:c>
    </x:row>
    <x:row r="61" ht="105" customHeight="1">
      <x:c r="A61" s="20" t="inlineStr">
        <x:is>
          <x:t xml:space="preserve">DOC-046</x:t>
        </x:is>
      </x:c>
      <x:c r="B61" s="20" t="inlineStr">
        <x:is>
          <x:t xml:space="preserve">qa-cases.csv</x:t>
        </x:is>
      </x:c>
      <x:c r="C61" s="20" t="inlineStr">
        <x:is>
          <x:t xml:space="preserve">Thiết kế kỹ thuật</x:t>
        </x:is>
      </x:c>
      <x:c r="D61" s="20" t="str">
        <x:v>MAP-03 / P0-2 / 07-10-2026 / API v0.1.9</x:v>
      </x:c>
      <x:c r="E61" s="20" t="inlineStr">
        <x:is>
          <x:t xml:space="preserve">Nguồn / bản tra cứu</x:t>
        </x:is>
      </x:c>
      <x:c r="F61" s="20" t="str">
        <x:v>Mới nhất</x:v>
      </x:c>
      <x:c r="G61" s="20" t="str">
        <x:v>Q03; PLAN-001/002/003/008; IMPLEMENT-01; TECH-01; LOGTEST-01; I18N-04; B01-04; B01-04A; P0-1; MAP-01; MAP-02; MAP-03; P0-2</x:v>
      </x:c>
      <x:c r="H61" s="20" t="inlineStr">
        <x:is>
          <x:t xml:space="preserve">https://drive.google.com/file/d/18z-ReFxGP-RhX5_cOVTidcHJJGFfB48D/view?usp=drivesdk</x:t>
        </x:is>
      </x:c>
      <x:c r="I61" s="20" t="inlineStr">
        <x:is>
          <x:t xml:space="preserve">/Users/j2866/Documents/anhthai/dich-vu-quanh-ban/docs/technical-design/qa-cases.csv</x:t>
        </x:is>
      </x:c>
      <x:c r="J61" s="20" t="inlineStr">
        <x:is>
          <x:t xml:space="preserve">Thành phần trong ZIP trên Drive</x:t>
        </x:is>
      </x:c>
      <x:c r="K61" s="20"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61" s="28" t="n">
        <x:v>46302</x:v>
      </x:c>
    </x:row>
    <x:row r="62" ht="105" customHeight="1">
      <x:c r="A62" s="20" t="inlineStr">
        <x:is>
          <x:t xml:space="preserve">DOC-047</x:t>
        </x:is>
      </x:c>
      <x:c r="B62" s="20" t="inlineStr">
        <x:is>
          <x:t xml:space="preserve">rtm.json</x:t>
        </x:is>
      </x:c>
      <x:c r="C62" s="20" t="inlineStr">
        <x:is>
          <x:t xml:space="preserve">Thiết kế kỹ thuật</x:t>
        </x:is>
      </x:c>
      <x:c r="D62" s="20" t="str">
        <x:v>MAP-03 / P0-2 / 07-10-2026 / API v0.1.9</x:v>
      </x:c>
      <x:c r="E62" s="20" t="inlineStr">
        <x:is>
          <x:t xml:space="preserve">Nguồn / bản tra cứu</x:t>
        </x:is>
      </x:c>
      <x:c r="F62" s="20" t="str">
        <x:v>Mới nhất</x:v>
      </x:c>
      <x:c r="G62" s="20" t="str">
        <x:v>Q03; PLAN-001/002/003/008; IMPLEMENT-01; TECH-01; LOGTEST-01; I18N-04; B01-04; B01-04A; P0-1; MAP-01; MAP-02; MAP-03; P0-2</x:v>
      </x:c>
      <x:c r="H62" s="20" t="inlineStr">
        <x:is>
          <x:t xml:space="preserve">https://drive.google.com/file/d/18z-ReFxGP-RhX5_cOVTidcHJJGFfB48D/view?usp=drivesdk</x:t>
        </x:is>
      </x:c>
      <x:c r="I62" s="20" t="inlineStr">
        <x:is>
          <x:t xml:space="preserve">/Users/j2866/Documents/anhthai/dich-vu-quanh-ban/docs/technical-design/rtm.json</x:t>
        </x:is>
      </x:c>
      <x:c r="J62" s="20" t="inlineStr">
        <x:is>
          <x:t xml:space="preserve">Thành phần trong ZIP trên Drive</x:t>
        </x:is>
      </x:c>
      <x:c r="K62" s="20"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62" s="28" t="n">
        <x:v>46302</x:v>
      </x:c>
    </x:row>
    <x:row r="63" ht="105" customHeight="1">
      <x:c r="A63" s="20" t="inlineStr">
        <x:is>
          <x:t xml:space="preserve">DOC-048</x:t>
        </x:is>
      </x:c>
      <x:c r="B63" s="20" t="inlineStr">
        <x:is>
          <x:t xml:space="preserve">backlog.json</x:t>
        </x:is>
      </x:c>
      <x:c r="C63" s="20" t="inlineStr">
        <x:is>
          <x:t xml:space="preserve">Thiết kế kỹ thuật</x:t>
        </x:is>
      </x:c>
      <x:c r="D63" s="20" t="inlineStr">
        <x:is>
          <x:t xml:space="preserve">v0.1.2 + I18N-04</x:t>
        </x:is>
      </x:c>
      <x:c r="E63" s="20" t="inlineStr">
        <x:is>
          <x:t xml:space="preserve">Nguồn / bản tra cứu</x:t>
        </x:is>
      </x:c>
      <x:c r="F63" s="20" t="inlineStr">
        <x:is>
          <x:t xml:space="preserve">Mới nhất</x:t>
        </x:is>
      </x:c>
      <x:c r="G63" s="20" t="inlineStr">
        <x:is>
          <x:t xml:space="preserve">Q03; PLAN-001/002/003/008; IMPLEMENT-01; TECH-01; LOGTEST-01; I18N-04</x:t>
        </x:is>
      </x:c>
      <x:c r="H63" s="20" t="inlineStr">
        <x:is>
          <x:t xml:space="preserve">https://drive.google.com/file/d/18z-ReFxGP-RhX5_cOVTidcHJJGFfB48D/view?usp=drivesdk</x:t>
        </x:is>
      </x:c>
      <x:c r="I63" s="20" t="inlineStr">
        <x:is>
          <x:t xml:space="preserve">/Users/j2866/Documents/anhthai/dich-vu-quanh-ban/docs/technical-design/backlog.json</x:t>
        </x:is>
      </x:c>
      <x:c r="J63" s="20" t="inlineStr">
        <x:is>
          <x:t xml:space="preserve">Thành phần trong ZIP trên Drive</x:t>
        </x:is>
      </x:c>
      <x:c r="K63" s="20" t="inlineStr">
        <x:is>
          <x:t xml:space="preserve">I18N-04: 10 ngành/50 nhóm/140 kỹ năng; 34 API,86 mobile,5 web; native i18n/layout Android+iOS đạt local. Chưa push/CI/UAT. 9 file Drive cùng ID đã tải lại đối chiếu bytes; PRD/SRS/UX và FR/NFR đã đọc lại đúng phạm vi. Báo cáo học code chỉ lưu repo.</x:t>
        </x:is>
      </x:c>
      <x:c r="L63" s="28" t="n">
        <x:v>46300</x:v>
      </x:c>
    </x:row>
    <x:row r="64" ht="110" customHeight="1">
      <x:c r="A64" s="24" t="inlineStr">
        <x:is>
          <x:t xml:space="preserve">DOC-049</x:t>
        </x:is>
      </x:c>
      <x:c r="B64" s="24" t="inlineStr">
        <x:is>
          <x:t xml:space="preserve">Figma UI brainstorm &amp; Design System nháp</x:t>
        </x:is>
      </x:c>
      <x:c r="C64" s="24" t="inlineStr">
        <x:is>
          <x:t xml:space="preserve">Thiết kế UI</x:t>
        </x:is>
      </x:c>
      <x:c r="D64" s="24" t="inlineStr">
        <x:is>
          <x:t xml:space="preserve">v0.1 draft</x:t>
        </x:is>
      </x:c>
      <x:c r="E64" s="24" t="inlineStr">
        <x:is>
          <x:t xml:space="preserve">Đề xuất / chờ chọn hướng</x:t>
        </x:is>
      </x:c>
      <x:c r="F64" s="24" t="inlineStr">
        <x:is>
          <x:t xml:space="preserve">Cần rà soát</x:t>
        </x:is>
      </x:c>
      <x:c r="G64" s="24" t="inlineStr">
        <x:is>
          <x:t xml:space="preserve">UI-01</x:t>
        </x:is>
      </x:c>
      <x:c r="H64" s="24" t="inlineStr">
        <x:is>
          <x:t xml:space="preserve">https://www.figma.com/design/cgFBrVCTbmYZHzVHA1fI1O</x:t>
        </x:is>
      </x:c>
      <x:c r="I64" s="24" t="inlineStr">
        <x:is>
          <x:t xml:space="preserve">/Users/j2866/Documents/anhthai/dich-vu-quanh-ban/ui-ux/archive/figma/README.md</x:t>
        </x:is>
      </x:c>
      <x:c r="J64" s="24" t="inlineStr">
        <x:is>
          <x:t xml:space="preserve">Nguồn chính Figma; README và node IDs ở local</x:t>
        </x:is>
      </x:c>
      <x:c r="K64" s="24" t="inlineStr">
        <x:is>
          <x:t xml:space="preserve">Đã tạo 3 hướng, foundations, button/input và màn minh họa. Chưa kiểm ảnh các màn mới do giới hạn MCP Starter. Chưa phải Design System đầy đủ.</x:t>
        </x:is>
      </x:c>
      <x:c r="L64" s="24" t="n">
        <x:v>46288</x:v>
      </x:c>
    </x:row>
    <x:row r="65" ht="104" customHeight="1">
      <x:c r="A65" s="24" t="inlineStr">
        <x:is>
          <x:t xml:space="preserve">DOC-050</x:t>
        </x:is>
      </x:c>
      <x:c r="B65" s="24" t="inlineStr">
        <x:is>
          <x:t xml:space="preserve">UI thử nghiệm React + Storybook</x:t>
        </x:is>
      </x:c>
      <x:c r="C65" s="24" t="inlineStr">
        <x:is>
          <x:t xml:space="preserve">Thiết kế UI</x:t>
        </x:is>
      </x:c>
      <x:c r="D65" s="24" t="str">
        <x:v>v0.15 / gói PATH-01 + B01-04A / P0-1</x:v>
      </x:c>
      <x:c r="E65" s="24" t="inlineStr">
        <x:is>
          <x:t xml:space="preserve">Nhóm trước đã xem; đội ngũ mới để review</x:t>
        </x:is>
      </x:c>
      <x:c r="F65" s="24" t="str">
        <x:v>Mới nhất</x:v>
      </x:c>
      <x:c r="G65" s="24" t="str">
        <x:v>UI-05/06/07/08/09/10/11/12/13/14/15/16/UI-17/UI-18/UI-19/UI-20/UI-21; PATH-01; B01-04A; P0-1</x:v>
      </x:c>
      <x:c r="H65" s="24" t="inlineStr">
        <x:is>
          <x:t xml:space="preserve">https://drive.google.com/file/d/1Unjr9ELcli6zcOb-4U2z62EDZo8Q5iE7/view?usp=drivesdk</x:t>
        </x:is>
      </x:c>
      <x:c r="I65" s="24" t="inlineStr">
        <x:is>
          <x:t xml:space="preserve">/Users/j2866/Documents/anhthai/dich-vu-quanh-ban/ui-ux/prototype</x:t>
        </x:is>
      </x:c>
      <x:c r="J65" s="24" t="inlineStr">
        <x:is>
          <x:t xml:space="preserve">React/Storybook; UI-UX-v0.19.zip</x:t>
        </x:is>
      </x:c>
      <x:c r="K65" s="24"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L65" s="29" t="n">
        <x:v>46301</x:v>
      </x:c>
    </x:row>
    <x:row r="66" ht="104" customHeight="1">
      <x:c r="A66" s="24" t="inlineStr">
        <x:is>
          <x:t xml:space="preserve">DOC-051</x:t>
        </x:is>
      </x:c>
      <x:c r="B66" s="24" t="inlineStr">
        <x:is>
          <x:t xml:space="preserve">UI thử nghiệm Penpot</x:t>
        </x:is>
      </x:c>
      <x:c r="C66" s="24" t="inlineStr">
        <x:is>
          <x:t xml:space="preserve">Thiết kế UI</x:t>
        </x:is>
      </x:c>
      <x:c r="D66" s="24" t="inlineStr">
        <x:is>
          <x:t xml:space="preserve">v0.1</x:t>
        </x:is>
      </x:c>
      <x:c r="E66" s="24" t="inlineStr">
        <x:is>
          <x:t xml:space="preserve">Bản thử SVG nhập / chưa có DS native</x:t>
        </x:is>
      </x:c>
      <x:c r="F66" s="24" t="inlineStr">
        <x:is>
          <x:t xml:space="preserve">Mới nhất</x:t>
        </x:is>
      </x:c>
      <x:c r="G66" s="24" t="inlineStr">
        <x:is>
          <x:t xml:space="preserve">UI-02</x:t>
        </x:is>
      </x:c>
      <x:c r="H66" s="24" t="inlineStr">
        <x:is>
          <x:t xml:space="preserve">https://design.penpot.app/#/workspace?team-id=b564c72c-f31f-81ec-8008-ae7a8797e0f6&amp;project-id=b564c72c-f31f-81ec-8008-ae7aaaf1fe07&amp;file-id=220f6449-533e-815b-8008-ae7c48b7a2d1&amp;page-id=220f6449-533e-815b-8008-ae7c48b7a2d2</x:t>
        </x:is>
      </x:c>
      <x:c r="I66" s="24" t="inlineStr">
        <x:is>
          <x:t xml:space="preserve">/Users/j2866/Documents/anhthai/dich-vu-quanh-ban/ui-ux/archive/penpot</x:t>
        </x:is>
      </x:c>
      <x:c r="J66" s="24" t="inlineStr">
        <x:is>
          <x:t xml:space="preserve">Penpot; SVG nguồn trong ZIP Drive</x:t>
        </x:is>
      </x:c>
      <x:c r="K66" s="24" t="inlineStr">
        <x:is>
          <x:t xml:space="preserve">Đã lưu desktop/mobile và kiểm layer SVG. Chưa có auto-layout, native text/component, tokens hay tương tác.</x:t>
        </x:is>
      </x:c>
      <x:c r="L66" s="29" t="n">
        <x:v>46288</x:v>
      </x:c>
    </x:row>
    <x:row r="67" ht="104" customHeight="1">
      <x:c r="A67" s="24" t="inlineStr">
        <x:is>
          <x:t xml:space="preserve">DOC-052</x:t>
        </x:is>
      </x:c>
      <x:c r="B67" s="24" t="inlineStr">
        <x:is>
          <x:t xml:space="preserve">Khảo sát thư viện UI và hướng dẫn so sánh</x:t>
        </x:is>
      </x:c>
      <x:c r="C67" s="24" t="inlineStr">
        <x:is>
          <x:t xml:space="preserve">Thiết kế UI</x:t>
        </x:is>
      </x:c>
      <x:c r="D67" s="24" t="inlineStr">
        <x:is>
          <x:t xml:space="preserve">v0.14</x:t>
        </x:is>
      </x:c>
      <x:c r="E67" s="24" t="inlineStr">
        <x:is>
          <x:t xml:space="preserve">Đề xuất / tài liệu hỗ trợ</x:t>
        </x:is>
      </x:c>
      <x:c r="F67" s="24" t="inlineStr">
        <x:is>
          <x:t xml:space="preserve">Mới nhất</x:t>
        </x:is>
      </x:c>
      <x:c r="G67" s="24" t="inlineStr">
        <x:is>
          <x:t xml:space="preserve">UI-14/15/16/UI-17/UI-18/UI-19/UI-20</x:t>
        </x:is>
      </x:c>
      <x:c r="H67" s="24" t="inlineStr">
        <x:is>
          <x:t xml:space="preserve">https://drive.google.com/file/d/1Unjr9ELcli6zcOb-4U2z62EDZo8Q5iE7/view?usp=drivesdk</x:t>
        </x:is>
      </x:c>
      <x:c r="I67" s="24" t="inlineStr">
        <x:is>
          <x:t xml:space="preserve">/Users/j2866/Documents/anhthai/dich-vu-quanh-ban/ui-ux/research/research.md</x:t>
        </x:is>
      </x:c>
      <x:c r="J67" s="24" t="inlineStr">
        <x:is>
          <x:t xml:space="preserve">React/Storybook; UI-UX-v0.18.zip</x:t>
        </x:is>
      </x:c>
      <x:c r="K67" s="24" t="inlineStr">
        <x:is>
          <x:t xml:space="preserve">UI-20: tài khoản, partner, danh mục, báo cáo; 52 stories, 46 tests; giới hạn DOC-062.</x:t>
        </x:is>
      </x:c>
      <x:c r="L67" s="29" t="n">
        <x:v>46288</x:v>
      </x:c>
    </x:row>
    <x:row r="68" ht="104" customHeight="1">
      <x:c r="A68" s="24" t="inlineStr">
        <x:is>
          <x:t xml:space="preserve">DOC-053</x:t>
        </x:is>
      </x:c>
      <x:c r="B68" s="24" t="inlineStr">
        <x:is>
          <x:t xml:space="preserve">Hướng UI v0.2 và tổ chức dự án</x:t>
        </x:is>
      </x:c>
      <x:c r="C68" s="24" t="inlineStr">
        <x:is>
          <x:t xml:space="preserve">Thiết kế UI</x:t>
        </x:is>
      </x:c>
      <x:c r="D68" s="24" t="inlineStr">
        <x:is>
          <x:t xml:space="preserve">v0.14</x:t>
        </x:is>
      </x:c>
      <x:c r="E68" s="24" t="inlineStr">
        <x:is>
          <x:t xml:space="preserve">Hướng A đã chốt; mô tả phạm vi bản mẫu</x:t>
        </x:is>
      </x:c>
      <x:c r="F68" s="24" t="inlineStr">
        <x:is>
          <x:t xml:space="preserve">Mới nhất</x:t>
        </x:is>
      </x:c>
      <x:c r="G68" s="24" t="inlineStr">
        <x:is>
          <x:t xml:space="preserve">UI-14/15/16/UI-17/UI-18/UI-19/UI-20</x:t>
        </x:is>
      </x:c>
      <x:c r="H68" s="24" t="inlineStr">
        <x:is>
          <x:t xml:space="preserve">https://drive.google.com/file/d/1Unjr9ELcli6zcOb-4U2z62EDZo8Q5iE7/view?usp=drivesdk</x:t>
        </x:is>
      </x:c>
      <x:c r="I68" s="24" t="inlineStr">
        <x:is>
          <x:t xml:space="preserve">/Users/j2866/Documents/anhthai/dich-vu-quanh-ban/ui-ux/research/ui-direction-v0.2.md</x:t>
        </x:is>
      </x:c>
      <x:c r="J68" s="24" t="inlineStr">
        <x:is>
          <x:t xml:space="preserve">React/Storybook; UI-UX-v0.18.zip</x:t>
        </x:is>
      </x:c>
      <x:c r="K68" s="24" t="inlineStr">
        <x:is>
          <x:t xml:space="preserve">UI-20: tài khoản, partner, danh mục, báo cáo; 52 stories, 46 tests; giới hạn DOC-062.</x:t>
        </x:is>
      </x:c>
      <x:c r="L68" s="24" t="n">
        <x:v>46288</x:v>
      </x:c>
    </x:row>
    <x:row r="69" ht="105" customHeight="1">
      <x:c r="A69" s="24" t="inlineStr">
        <x:is>
          <x:t xml:space="preserve">DOC-054</x:t>
        </x:is>
      </x:c>
      <x:c r="B69" s="24" t="inlineStr">
        <x:is>
          <x:t xml:space="preserve">Cấu trúc thư mục dự án và phần UI/UX</x:t>
        </x:is>
      </x:c>
      <x:c r="C69" s="24" t="inlineStr">
        <x:is>
          <x:t xml:space="preserve">Quản lý dự án</x:t>
        </x:is>
      </x:c>
      <x:c r="D69" s="24" t="inlineStr">
        <x:is>
          <x:t xml:space="preserve">v0.5 / DELIVERY-01</x:t>
        </x:is>
      </x:c>
      <x:c r="E69" s="24" t="inlineStr">
        <x:is>
          <x:t xml:space="preserve">Hướng dẫn hiện hành</x:t>
        </x:is>
      </x:c>
      <x:c r="F69" s="24" t="inlineStr">
        <x:is>
          <x:t xml:space="preserve">Cần đồng bộ</x:t>
        </x:is>
      </x:c>
      <x:c r="G69" s="24" t="inlineStr">
        <x:is>
          <x:t xml:space="preserve">ORG-01/UI-21; IMPLEMENT-01; TECH-01; STRUCTURE-01; LOGTEST-01; PATH-01; DELIVERY-01</x:t>
        </x:is>
      </x:c>
      <x:c r="H69" s="24" t="inlineStr">
        <x:is>
          <x:t xml:space="preserve">https://drive.google.com/file/d/18z-ReFxGP-RhX5_cOVTidcHJJGFfB48D/view</x:t>
        </x:is>
      </x:c>
      <x:c r="I69" s="24" t="inlineStr">
        <x:is>
          <x:t xml:space="preserve">/Users/j2866/Documents/anhthai/dich-vu-quanh-ban/README.md</x:t>
        </x:is>
      </x:c>
      <x:c r="J69" s="24" t="inlineStr">
        <x:is>
          <x:t xml:space="preserve">DOC-089 chứa snapshot nguồn mới; liên kết Drive cũ (nếu có) giữ nguyên là bản cũ.</x:t>
        </x:is>
      </x:c>
      <x:c r="K69" s="24" t="inlineStr">
        <x:is>
          <x:t xml:space="preserve">Local đã kiểm theo DELIVERY-01; tiến độ code xem DOC-082/083, báo cáo DOC-087/088. Drive chưa cập nhật vì automatic approval review từ chối upload; không ghi đè bản remote.</x:t>
        </x:is>
      </x:c>
      <x:c r="L69" s="24" t="n">
        <x:v>46294</x:v>
      </x:c>
    </x:row>
    <x:row r="70" ht="104" customHeight="1">
      <x:c r="A70" s="24" t="inlineStr">
        <x:is>
          <x:t xml:space="preserve">DOC-055</x:t>
        </x:is>
      </x:c>
      <x:c r="B70" s="24" t="inlineStr">
        <x:is>
          <x:t xml:space="preserve">Brainstorm banner, quảng cáo và voucher</x:t>
        </x:is>
      </x:c>
      <x:c r="C70" s="24" t="inlineStr">
        <x:is>
          <x:t xml:space="preserve">Nghiên cứu UI/UX</x:t>
        </x:is>
      </x:c>
      <x:c r="D70" s="24" t="inlineStr">
        <x:is>
          <x:t xml:space="preserve">v0.2</x:t>
        </x:is>
      </x:c>
      <x:c r="E70" s="24" t="inlineStr">
        <x:is>
          <x:t xml:space="preserve">Mở rộng tương lai; ngoài phase đầu</x:t>
        </x:is>
      </x:c>
      <x:c r="F70" s="24" t="inlineStr">
        <x:is>
          <x:t xml:space="preserve">Mới nhất</x:t>
        </x:is>
      </x:c>
      <x:c r="G70" s="24" t="inlineStr">
        <x:is>
          <x:t xml:space="preserve">PROMO-01; PROMO-02</x:t>
        </x:is>
      </x:c>
      <x:c r="H70" s="24" t="inlineStr">
        <x:is>
          <x:t xml:space="preserve">https://drive.google.com/file/d/1Unjr9ELcli6zcOb-4U2z62EDZo8Q5iE7/view?usp=drivesdk</x:t>
        </x:is>
      </x:c>
      <x:c r="I70" s="24" t="inlineStr">
        <x:is>
          <x:t xml:space="preserve">/Users/j2866/Documents/anhthai/dich-vu-quanh-ban/ui-ux/research/promotions-v0.1.md</x:t>
        </x:is>
      </x:c>
      <x:c r="J70" s="24" t="inlineStr">
        <x:is>
          <x:t xml:space="preserve">/Users/j2866/Documents/anhthai/dich-vu-quanh-ban/ui-ux/research/promotions.html</x:t>
        </x:is>
      </x:c>
      <x:c r="K70" s="24" t="inlineStr">
        <x:is>
          <x:t xml:space="preserve">Đã chốt không làm banner/quảng cáo/voucher trong phase đầu. Chỉ lưu nghiên cứu; chưa gán lịch. Point hiện hành giữ nguyên.</x:t>
        </x:is>
      </x:c>
      <x:c r="L70" s="24" t="n">
        <x:v>46288</x:v>
      </x:c>
    </x:row>
    <x:row r="71" ht="110" customHeight="1">
      <x:c r="A71" s="24" t="inlineStr">
        <x:is>
          <x:t xml:space="preserve">DOC-056</x:t>
        </x:is>
      </x:c>
      <x:c r="B71" s="24" t="inlineStr">
        <x:is>
          <x:t xml:space="preserve">Luồng khách hàng React và kiểm chứng</x:t>
        </x:is>
      </x:c>
      <x:c r="C71" s="24" t="inlineStr">
        <x:is>
          <x:t xml:space="preserve">Thiết kế UI</x:t>
        </x:is>
      </x:c>
      <x:c r="D71" s="24" t="str">
        <x:v>v0.15 / P0-1</x:v>
      </x:c>
      <x:c r="E71" s="24" t="inlineStr">
        <x:is>
          <x:t xml:space="preserve">Hướng dẫn review và giới hạn</x:t>
        </x:is>
      </x:c>
      <x:c r="F71" s="24" t="str">
        <x:v>Mới nhất</x:v>
      </x:c>
      <x:c r="G71" s="24" t="str">
        <x:v>UI-05/06/07/08/09/10/11/12/14/15/16/UI-19/UI-20/UI-21; P0-1</x:v>
      </x:c>
      <x:c r="H71" s="24" t="inlineStr">
        <x:is>
          <x:t xml:space="preserve">https://drive.google.com/file/d/1Unjr9ELcli6zcOb-4U2z62EDZo8Q5iE7/view?usp=drivesdk</x:t>
        </x:is>
      </x:c>
      <x:c r="I71" s="24" t="inlineStr">
        <x:is>
          <x:t xml:space="preserve">/Users/j2866/Documents/anhthai/dich-vu-quanh-ban/ui-ux/specs/customer-journey.md</x:t>
        </x:is>
      </x:c>
      <x:c r="J71" s="24" t="inlineStr">
        <x:is>
          <x:t xml:space="preserve">React/Storybook; UI-UX-v0.19.zip</x:t>
        </x:is>
      </x:c>
      <x:c r="K71" s="24"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L71" s="24" t="n">
        <x:v>46301</x:v>
      </x:c>
    </x:row>
    <x:row r="72" ht="110" customHeight="1">
      <x:c r="A72" s="24" t="inlineStr">
        <x:is>
          <x:t xml:space="preserve">DOC-057</x:t>
        </x:is>
      </x:c>
      <x:c r="B72" s="24" t="inlineStr">
        <x:is>
          <x:t xml:space="preserve">Partner và doanh nghiệp React</x:t>
        </x:is>
      </x:c>
      <x:c r="C72" s="24" t="inlineStr">
        <x:is>
          <x:t xml:space="preserve">Thiết kế UI</x:t>
        </x:is>
      </x:c>
      <x:c r="D72" s="24" t="str">
        <x:v>v0.15 / P0-1</x:v>
      </x:c>
      <x:c r="E72" s="24" t="inlineStr">
        <x:is>
          <x:t xml:space="preserve">Thiết kế để review và kiểm chứng</x:t>
        </x:is>
      </x:c>
      <x:c r="F72" s="24" t="str">
        <x:v>Mới nhất</x:v>
      </x:c>
      <x:c r="G72" s="24" t="str">
        <x:v>UI-05/06/07/08/09/10/11/12/14/15/16/UI-17/UI-18/UI-19/UI-20/UI-21; P0-1</x:v>
      </x:c>
      <x:c r="H72" s="24" t="inlineStr">
        <x:is>
          <x:t xml:space="preserve">https://drive.google.com/file/d/1Unjr9ELcli6zcOb-4U2z62EDZo8Q5iE7/view?usp=drivesdk</x:t>
        </x:is>
      </x:c>
      <x:c r="I72" s="24" t="inlineStr">
        <x:is>
          <x:t xml:space="preserve">/Users/j2866/Documents/anhthai/dich-vu-quanh-ban/ui-ux/specs/partner-journey.md</x:t>
        </x:is>
      </x:c>
      <x:c r="J72" s="24" t="inlineStr">
        <x:is>
          <x:t xml:space="preserve">React/Storybook; UI-UX-v0.19.zip</x:t>
        </x:is>
      </x:c>
      <x:c r="K72" s="24"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L72" s="24" t="n">
        <x:v>46301</x:v>
      </x:c>
    </x:row>
    <x:row r="73" ht="120" customHeight="1">
      <x:c r="A73" s="24" t="inlineStr">
        <x:is>
          <x:t xml:space="preserve">DOC-058</x:t>
        </x:is>
      </x:c>
      <x:c r="B73" s="24" t="inlineStr">
        <x:is>
          <x:t xml:space="preserve">Đợt 1: tài khoản, địa chỉ, đăng ký partner</x:t>
        </x:is>
      </x:c>
      <x:c r="C73" s="24" t="inlineStr">
        <x:is>
          <x:t xml:space="preserve">Thiết kế UI</x:t>
        </x:is>
      </x:c>
      <x:c r="D73" s="24" t="str">
        <x:v>v0.14 + B01-04A / P0-1</x:v>
      </x:c>
      <x:c r="E73" s="24" t="inlineStr">
        <x:is>
          <x:t xml:space="preserve">Giao diện để review, chưa production</x:t>
        </x:is>
      </x:c>
      <x:c r="F73" s="24" t="str">
        <x:v>Mới nhất</x:v>
      </x:c>
      <x:c r="G73" s="24" t="str">
        <x:v>UI-12/13/14/15/16/UI-19/UI-20; B01-04A; P0-1</x:v>
      </x:c>
      <x:c r="H73" s="24" t="inlineStr">
        <x:is>
          <x:t xml:space="preserve">https://drive.google.com/file/d/1Unjr9ELcli6zcOb-4U2z62EDZo8Q5iE7/view</x:t>
        </x:is>
      </x:c>
      <x:c r="I73" s="24" t="inlineStr">
        <x:is>
          <x:t xml:space="preserve">/Users/j2866/Documents/anhthai/dich-vu-quanh-ban/ui-ux/specs/account-batch.md</x:t>
        </x:is>
      </x:c>
      <x:c r="J73" s="24" t="inlineStr">
        <x:is>
          <x:t xml:space="preserve">React/Storybook; UI-UX-v0.18.zip</x:t>
        </x:is>
      </x:c>
      <x:c r="K73" s="24"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L73" s="31" t="n">
        <x:v>46301</x:v>
      </x:c>
    </x:row>
    <x:row r="74">
      <x:c r="A74" t="inlineStr">
        <x:is>
          <x:t xml:space="preserve">DOC-059</x:t>
        </x:is>
      </x:c>
      <x:c r="B74" t="inlineStr">
        <x:is>
          <x:t xml:space="preserve">Đợt 2: công việc, đánh giá, liên lạc và thông báo</x:t>
        </x:is>
      </x:c>
      <x:c r="C74" t="inlineStr">
        <x:is>
          <x:t xml:space="preserve">Thiết kế UI</x:t>
        </x:is>
      </x:c>
      <x:c r="D74" t="inlineStr">
        <x:is>
          <x:t xml:space="preserve">v0.15</x:t>
        </x:is>
      </x:c>
      <x:c r="E74" t="inlineStr">
        <x:is>
          <x:t xml:space="preserve">Giao diện để review, chưa production</x:t>
        </x:is>
      </x:c>
      <x:c r="F74" t="inlineStr">
        <x:is>
          <x:t xml:space="preserve">Mới nhất</x:t>
        </x:is>
      </x:c>
      <x:c r="G74" t="inlineStr">
        <x:is>
          <x:t xml:space="preserve">UI-14/15/16/UI-19/UI-20/UI-21</x:t>
        </x:is>
      </x:c>
      <x:c r="H74" t="inlineStr">
        <x:is>
          <x:t xml:space="preserve">https://drive.google.com/file/d/1Unjr9ELcli6zcOb-4U2z62EDZo8Q5iE7/view</x:t>
        </x:is>
      </x:c>
      <x:c r="I74" t="inlineStr">
        <x:is>
          <x:t xml:space="preserve">/Users/j2866/Documents/anhthai/dich-vu-quanh-ban/ui-ux/specs/activity-batch.md</x:t>
        </x:is>
      </x:c>
      <x:c r="J74" t="inlineStr">
        <x:is>
          <x:t xml:space="preserve">React/Storybook; UI-UX-v0.19.zip</x:t>
        </x:is>
      </x:c>
      <x:c r="K74" t="inlineStr">
        <x:is>
          <x:t xml:space="preserve">UI-21: sửa nối luồng; 49 tests, 52 stories. Ma trận chứng cứ và giới hạn DOC-063.</x:t>
        </x:is>
      </x:c>
      <x:c r="L74" t="n">
        <x:v>46288</x:v>
      </x:c>
    </x:row>
    <x:row r="75">
      <x:c r="A75" t="inlineStr">
        <x:is>
          <x:t xml:space="preserve">DOC-060</x:t>
        </x:is>
      </x:c>
      <x:c r="B75" t="inlineStr">
        <x:is>
          <x:t xml:space="preserve">Ví, ngân hàng và quyền hiện hành</x:t>
        </x:is>
      </x:c>
      <x:c r="C75" t="inlineStr">
        <x:is>
          <x:t xml:space="preserve">Thiết kế UI</x:t>
        </x:is>
      </x:c>
      <x:c r="D75" t="inlineStr">
        <x:is>
          <x:t xml:space="preserve">v0.14</x:t>
        </x:is>
      </x:c>
      <x:c r="E75" t="inlineStr">
        <x:is>
          <x:t xml:space="preserve">Giao diện để review</x:t>
        </x:is>
      </x:c>
      <x:c r="F75" t="inlineStr">
        <x:is>
          <x:t xml:space="preserve">Mới nhất</x:t>
        </x:is>
      </x:c>
      <x:c r="G75" t="inlineStr">
        <x:is>
          <x:t xml:space="preserve">UI-17/UI-18/UI-19/UI-20</x:t>
        </x:is>
      </x:c>
      <x:c r="H75" t="inlineStr">
        <x:is>
          <x:t xml:space="preserve">https://drive.google.com/file/d/1Unjr9ELcli6zcOb-4U2z62EDZo8Q5iE7/view</x:t>
        </x:is>
      </x:c>
      <x:c r="I75" t="inlineStr">
        <x:is>
          <x:t xml:space="preserve">/Users/j2866/Documents/anhthai/dich-vu-quanh-ban/ui-ux/specs/finance-batch.md</x:t>
        </x:is>
      </x:c>
      <x:c r="J75" t="inlineStr">
        <x:is>
          <x:t xml:space="preserve">React/Storybook; UI-UX-v0.18.zip</x:t>
        </x:is>
      </x:c>
      <x:c r="K75" t="inlineStr">
        <x:is>
          <x:t xml:space="preserve">UI-20: tài khoản, partner, danh mục, báo cáo; 52 stories, 46 tests; giới hạn DOC-062.</x:t>
        </x:is>
      </x:c>
      <x:c r="L75" t="n">
        <x:v>46291</x:v>
      </x:c>
    </x:row>
    <x:row r="76">
      <x:c r="A76" t="inlineStr">
        <x:is>
          <x:t xml:space="preserve">DOC-061</x:t>
        </x:is>
      </x:c>
      <x:c r="B76" t="inlineStr">
        <x:is>
          <x:t xml:space="preserve">Hỗ trợ và kiểm duyệt React</x:t>
        </x:is>
      </x:c>
      <x:c r="C76" t="inlineStr">
        <x:is>
          <x:t xml:space="preserve">Thiết kế UI</x:t>
        </x:is>
      </x:c>
      <x:c r="D76" t="inlineStr">
        <x:is>
          <x:t xml:space="preserve">v0.14</x:t>
        </x:is>
      </x:c>
      <x:c r="E76" t="inlineStr">
        <x:is>
          <x:t xml:space="preserve">Giao diện để review</x:t>
        </x:is>
      </x:c>
      <x:c r="F76" t="inlineStr">
        <x:is>
          <x:t xml:space="preserve">Mới nhất</x:t>
        </x:is>
      </x:c>
      <x:c r="G76" t="inlineStr">
        <x:is>
          <x:t xml:space="preserve">UI-19/UI-20</x:t>
        </x:is>
      </x:c>
      <x:c r="H76" t="inlineStr">
        <x:is>
          <x:t xml:space="preserve">https://drive.google.com/file/d/1Unjr9ELcli6zcOb-4U2z62EDZo8Q5iE7/view</x:t>
        </x:is>
      </x:c>
      <x:c r="I76" t="inlineStr">
        <x:is>
          <x:t xml:space="preserve">/Users/j2866/Documents/anhthai/dich-vu-quanh-ban/ui-ux/specs/support-moderation.md</x:t>
        </x:is>
      </x:c>
      <x:c r="J76" t="inlineStr">
        <x:is>
          <x:t xml:space="preserve">React/Storybook; UI-UX-v0.18.zip</x:t>
        </x:is>
      </x:c>
      <x:c r="K76" t="inlineStr">
        <x:is>
          <x:t xml:space="preserve">UI-20: tài khoản, partner, danh mục, báo cáo; 52 stories, 46 tests; giới hạn DOC-062.</x:t>
        </x:is>
      </x:c>
      <x:c r="L76" t="n">
        <x:v>46292</x:v>
      </x:c>
    </x:row>
    <x:row r="77">
      <x:c r="A77" t="inlineStr">
        <x:is>
          <x:t xml:space="preserve">DOC-062</x:t>
        </x:is>
      </x:c>
      <x:c r="B77" t="inlineStr">
        <x:is>
          <x:t xml:space="preserve">Quản trị vận hành React</x:t>
        </x:is>
      </x:c>
      <x:c r="C77" t="inlineStr">
        <x:is>
          <x:t xml:space="preserve">Thiết kế UI</x:t>
        </x:is>
      </x:c>
      <x:c r="D77" t="inlineStr">
        <x:is>
          <x:t xml:space="preserve">v0.15</x:t>
        </x:is>
      </x:c>
      <x:c r="E77" t="inlineStr">
        <x:is>
          <x:t xml:space="preserve">Giao diện để review</x:t>
        </x:is>
      </x:c>
      <x:c r="F77" t="inlineStr">
        <x:is>
          <x:t xml:space="preserve">Mới nhất</x:t>
        </x:is>
      </x:c>
      <x:c r="G77" t="inlineStr">
        <x:is>
          <x:t xml:space="preserve">UI-20/UI-21</x:t>
        </x:is>
      </x:c>
      <x:c r="H77" t="inlineStr">
        <x:is>
          <x:t xml:space="preserve">https://drive.google.com/file/d/1Unjr9ELcli6zcOb-4U2z62EDZo8Q5iE7/view</x:t>
        </x:is>
      </x:c>
      <x:c r="I77" t="inlineStr">
        <x:is>
          <x:t xml:space="preserve">/Users/j2866/Documents/anhthai/dich-vu-quanh-ban/ui-ux/specs/admin-operations.md</x:t>
        </x:is>
      </x:c>
      <x:c r="J77" t="inlineStr">
        <x:is>
          <x:t xml:space="preserve">React/Storybook; UI-UX-v0.19.zip</x:t>
        </x:is>
      </x:c>
      <x:c r="K77" t="inlineStr">
        <x:is>
          <x:t xml:space="preserve">UI-21: sửa nối luồng; 49 tests, 52 stories. Ma trận chứng cứ và giới hạn DOC-063.</x:t>
        </x:is>
      </x:c>
      <x:c r="L77" t="n">
        <x:v>46292</x:v>
      </x:c>
    </x:row>
    <x:row r="78">
      <x:c r="A78" t="inlineStr">
        <x:is>
          <x:t xml:space="preserve">DOC-063</x:t>
        </x:is>
      </x:c>
      <x:c r="B78" t="inlineStr">
        <x:is>
          <x:t xml:space="preserve">Rà soát luồng prototype</x:t>
        </x:is>
      </x:c>
      <x:c r="C78" t="inlineStr">
        <x:is>
          <x:t xml:space="preserve">QA / UX</x:t>
        </x:is>
      </x:c>
      <x:c r="D78" t="inlineStr">
        <x:is>
          <x:t xml:space="preserve">v0.15</x:t>
        </x:is>
      </x:c>
      <x:c r="E78" t="inlineStr">
        <x:is>
          <x:t xml:space="preserve">Bằng chứng prototype; chưa nghiệm thu sản phẩm</x:t>
        </x:is>
      </x:c>
      <x:c r="F78" t="inlineStr">
        <x:is>
          <x:t xml:space="preserve">Mới nhất</x:t>
        </x:is>
      </x:c>
      <x:c r="G78" t="inlineStr">
        <x:is>
          <x:t xml:space="preserve">UI-21</x:t>
        </x:is>
      </x:c>
      <x:c r="H78" t="inlineStr">
        <x:is>
          <x:t xml:space="preserve">https://drive.google.com/file/d/1Unjr9ELcli6zcOb-4U2z62EDZo8Q5iE7/view</x:t>
        </x:is>
      </x:c>
      <x:c r="I78" t="inlineStr">
        <x:is>
          <x:t xml:space="preserve">/Users/j2866/Documents/anhthai/dich-vu-quanh-ban/ui-ux/specs/flow-review.md</x:t>
        </x:is>
      </x:c>
      <x:c r="J78" t="inlineStr">
        <x:is>
          <x:t xml:space="preserve">UI-UX-v0.19.zip</x:t>
        </x:is>
      </x:c>
      <x:c r="K78" t="inlineStr">
        <x:is>
          <x:t xml:space="preserve">Ma trận kiểm chứng; chưa toàn bộ thiết bị, backend và dịch vụ thật.</x:t>
        </x:is>
      </x:c>
      <x:c r="L78" t="n">
        <x:v>46292</x:v>
      </x:c>
    </x:row>
    <x:row r="79" ht="105" customHeight="1">
      <x:c r="A79" s="24" t="inlineStr">
        <x:is>
          <x:t xml:space="preserve">DOC-064</x:t>
        </x:is>
      </x:c>
      <x:c r="B79" s="24" t="inlineStr">
        <x:is>
          <x:t xml:space="preserve">Prompt bàn giao triển khai Codex</x:t>
        </x:is>
      </x:c>
      <x:c r="C79" s="24" t="inlineStr">
        <x:is>
          <x:t xml:space="preserve">Bàn giao triển khai</x:t>
        </x:is>
      </x:c>
      <x:c r="D79" s="24" t="inlineStr">
        <x:is>
          <x:t xml:space="preserve">v1.4</x:t>
        </x:is>
      </x:c>
      <x:c r="E79" s="24" t="inlineStr">
        <x:is>
          <x:t xml:space="preserve">Prompt bàn giao; đã kích hoạt Đợt 1, hiện trạng ở DOC-065</x:t>
        </x:is>
      </x:c>
      <x:c r="F79" s="24" t="inlineStr">
        <x:is>
          <x:t xml:space="preserve">Mới nhất</x:t>
        </x:is>
      </x:c>
      <x:c r="G79" s="24" t="inlineStr">
        <x:is>
          <x:t xml:space="preserve">HANDOFF-01; IMPLEMENT-01; TECH-01; STRUCTURE-01; LOGTEST-01; PATH-01</x:t>
        </x:is>
      </x:c>
      <x:c r="H79" s="24" t="inlineStr">
        <x:is>
          <x:t xml:space="preserve">https://drive.google.com/file/d/1WnXV2mRTBnYePYztiKJvvfS6tCAjeTrW/view</x:t>
        </x:is>
      </x:c>
      <x:c r="I79" s="24" t="inlineStr">
        <x:is>
          <x:t xml:space="preserve">/Users/j2866/Documents/anhthai/dich-vu-quanh-ban/docs/handoff/CODEX-IMPLEMENTATION-PROMPT.md</x:t>
        </x:is>
      </x:c>
      <x:c r="J79" s="24" t="inlineStr">
        <x:is>
          <x:t xml:space="preserve">Markdown nguồn local và Drive cùng nội dung</x:t>
        </x:is>
      </x:c>
      <x:c r="K79" s="24" t="inlineStr">
        <x:is>
          <x:t xml:space="preserve">LOGTEST-01/DOC-071:31 mobile+26 API+2 tooling+2 web E2E PASS; coverage core API100/91.53, mobile100/95.70; load200/concurrency20 PASS. Negative coverage/failure artifacts đã kiểm. Native BLOCKED; remoteCI chưa chạy. PATH-01: đã bỏ outputs; nội dung local/ZIP đã kiểm, Drive cập nhật cùng ID và đọc lại metadata/kích thước ngày 29/09/2026. Không đổi nghiệp vụ hoặc nghiệm thu native/CI.</x:t>
        </x:is>
      </x:c>
      <x:c r="L79" s="24" t="n">
        <x:v>46294</x:v>
      </x:c>
    </x:row>
    <x:row r="80" ht="105" customHeight="1">
      <x:c r="A80" s="24" t="inlineStr">
        <x:is>
          <x:t xml:space="preserve">DOC-065</x:t>
        </x:is>
      </x:c>
      <x:c r="B80" s="24" t="inlineStr">
        <x:is>
          <x:t xml:space="preserve">Đợt 1: triển khai local, runbook và bằng chứng</x:t>
        </x:is>
      </x:c>
      <x:c r="C80" s="24" t="inlineStr">
        <x:is>
          <x:t xml:space="preserve">Triển khai</x:t>
        </x:is>
      </x:c>
      <x:c r="D80" s="24" t="inlineStr">
        <x:is>
          <x:t xml:space="preserve">v1.6</x:t>
        </x:is>
      </x:c>
      <x:c r="E80" s="24" t="inlineStr">
        <x:is>
          <x:t xml:space="preserve">Nguồn hiện trạng và kết quả local</x:t>
        </x:is>
      </x:c>
      <x:c r="F80" s="24" t="inlineStr">
        <x:is>
          <x:t xml:space="preserve">Mới nhất</x:t>
        </x:is>
      </x:c>
      <x:c r="G80" s="24" t="inlineStr">
        <x:is>
          <x:t xml:space="preserve">IMPLEMENT-01; TECH-01; STRUCTURE-01; LOGTEST-01; PATH-01; NATIVE-B-01</x:t>
        </x:is>
      </x:c>
      <x:c r="H80" s="24" t="inlineStr">
        <x:is>
          <x:t xml:space="preserve">https://drive.google.com/file/d/1JjfKtYYgYGHlLSZCKZ21hqWiscQxoFpT/view</x:t>
        </x:is>
      </x:c>
      <x:c r="I80" s="24" t="inlineStr">
        <x:is>
          <x:t xml:space="preserve">/Users/j2866/Documents/anhthai/dich-vu-quanh-ban/docs/implementation/dot-1.md</x:t>
        </x:is>
      </x:c>
      <x:c r="J80" s="24" t="inlineStr">
        <x:is>
          <x:t xml:space="preserve">docs/implementation/evidence; technical-design ZIP</x:t>
        </x:is>
      </x:c>
      <x:c r="K80" s="24" t="inlineStr">
        <x:is>
          <x:t xml:space="preserve">NATIVE-B-01: hai máy ảo booted; dev-client57.0.19/Expo57.0.26, CNG, app ID/scheme và HTTP Debug-only đã kiểm. 31 mobile tests, lint/typecheck/bundle/config và kiểm âm Release PASS. Chưa build/cài APK/.app hoặc nghiệm thu native E2E; Maestro chưa có. DOC-076 v1.1 ghi bằng chứng và bước C.</x:t>
        </x:is>
      </x:c>
      <x:c r="L80" s="24" t="n">
        <x:v>46294</x:v>
      </x:c>
    </x:row>
    <x:row r="81" ht="105" customHeight="1">
      <x:c r="A81" s="24" t="inlineStr">
        <x:is>
          <x:t xml:space="preserve">DOC-066</x:t>
        </x:is>
      </x:c>
      <x:c r="B81" s="24" t="inlineStr">
        <x:is>
          <x:t xml:space="preserve">ADR-001: nền tảng Đợt 1</x:t>
        </x:is>
      </x:c>
      <x:c r="C81" s="24" t="inlineStr">
        <x:is>
          <x:t xml:space="preserve">Kiến trúc</x:t>
        </x:is>
      </x:c>
      <x:c r="D81" s="24" t="inlineStr">
        <x:is>
          <x:t xml:space="preserve">v1.2</x:t>
        </x:is>
      </x:c>
      <x:c r="E81" s="24" t="inlineStr">
        <x:is>
          <x:t xml:space="preserve">Quyết định kỹ thuật trong phạm vi được giao</x:t>
        </x:is>
      </x:c>
      <x:c r="F81" s="24" t="inlineStr">
        <x:is>
          <x:t xml:space="preserve">Mới nhất</x:t>
        </x:is>
      </x:c>
      <x:c r="G81" s="24" t="inlineStr">
        <x:is>
          <x:t xml:space="preserve">IMPLEMENT-01; TECH-01; STRUCTURE-01; LOGTEST-01</x:t>
        </x:is>
      </x:c>
      <x:c r="H81" s="24" t="inlineStr">
        <x:is>
          <x:t xml:space="preserve">https://drive.google.com/file/d/13DeYIW4Nt-qA1kw7K_NXInowM5huLNH6/view</x:t>
        </x:is>
      </x:c>
      <x:c r="I81" s="24" t="inlineStr">
        <x:is>
          <x:t xml:space="preserve">/Users/j2866/Documents/anhthai/dich-vu-quanh-ban/docs/implementation/ADR-001-foundation.md</x:t>
        </x:is>
      </x:c>
      <x:c r="J81" s="24" t="inlineStr">
        <x:is>
          <x:t xml:space="preserve">technical-design ZIP</x:t>
        </x:is>
      </x:c>
      <x:c r="K81" s="24" t="inlineStr">
        <x:is>
          <x:t xml:space="preserve">LOGTEST-01/DOC-071:31 mobile+26 API+2 tooling+2 web E2E PASS; coverage core API100/91.53, mobile100/95.70; load200/concurrency20 PASS. Negative coverage/failure artifacts đã kiểm. Native BLOCKED; remoteCI chưa chạy.</x:t>
        </x:is>
      </x:c>
      <x:c r="L81" s="24" t="n">
        <x:v>46293</x:v>
      </x:c>
    </x:row>
    <x:row r="82" ht="105" customHeight="1">
      <x:c r="A82" s="24" t="inlineStr">
        <x:is>
          <x:t xml:space="preserve">DOC-067</x:t>
        </x:is>
      </x:c>
      <x:c r="B82" s="24" t="inlineStr">
        <x:is>
          <x:t xml:space="preserve">technical-design-v0.1.zip (lịch sử)</x:t>
        </x:is>
      </x:c>
      <x:c r="C82" s="24" t="inlineStr">
        <x:is>
          <x:t xml:space="preserve">Gói kỹ thuật</x:t>
        </x:is>
      </x:c>
      <x:c r="D82" s="24" t="inlineStr">
        <x:is>
          <x:t xml:space="preserve">v0.1</x:t>
        </x:is>
      </x:c>
      <x:c r="E82" s="24" t="inlineStr">
        <x:is>
          <x:t xml:space="preserve">Lịch sử</x:t>
        </x:is>
      </x:c>
      <x:c r="F82" s="24" t="inlineStr">
        <x:is>
          <x:t xml:space="preserve">Lưu trữ</x:t>
        </x:is>
      </x:c>
      <x:c r="G82" s="24" t="inlineStr">
        <x:is>
          <x:t xml:space="preserve">IMPLEMENT-01</x:t>
        </x:is>
      </x:c>
      <x:c r="H82" s="24" t="inlineStr">
        <x:is>
          <x:t xml:space="preserve">Chưa có</x:t>
        </x:is>
      </x:c>
      <x:c r="I82" s="24" t="inlineStr">
        <x:is>
          <x:t xml:space="preserve">/Users/j2866/Documents/anhthai/dich-vu-quanh-ban/docs/technical-design/technical-design-v0.1.zip</x:t>
        </x:is>
      </x:c>
      <x:c r="J82" s="24" t="inlineStr">
        <x:is>
          <x:t xml:space="preserve">Đã thay bằng DOC-040 v0.1.1</x:t>
        </x:is>
      </x:c>
      <x:c r="K82" s="24" t="inlineStr">
        <x:is>
          <x:t xml:space="preserve">Giữ nguyên snapshot cũ; không dùng làm nguồn hiện hành.</x:t>
        </x:is>
      </x:c>
      <x:c r="L82" s="24" t="n"/>
    </x:row>
    <x:row r="83" ht="105" customHeight="1">
      <x:c r="A83" s="24" t="inlineStr">
        <x:is>
          <x:t xml:space="preserve">DOC-068</x:t>
        </x:is>
      </x:c>
      <x:c r="B83" s="24" t="inlineStr">
        <x:is>
          <x:t xml:space="preserve">architecture-source-v0.1.zip (lịch sử)</x:t>
        </x:is>
      </x:c>
      <x:c r="C83" s="24" t="inlineStr">
        <x:is>
          <x:t xml:space="preserve">Gói kiến trúc</x:t>
        </x:is>
      </x:c>
      <x:c r="D83" s="24" t="inlineStr">
        <x:is>
          <x:t xml:space="preserve">v0.1</x:t>
        </x:is>
      </x:c>
      <x:c r="E83" s="24" t="inlineStr">
        <x:is>
          <x:t xml:space="preserve">Lịch sử</x:t>
        </x:is>
      </x:c>
      <x:c r="F83" s="24" t="inlineStr">
        <x:is>
          <x:t xml:space="preserve">Lưu trữ</x:t>
        </x:is>
      </x:c>
      <x:c r="G83" s="24" t="inlineStr">
        <x:is>
          <x:t xml:space="preserve">IMPLEMENT-01</x:t>
        </x:is>
      </x:c>
      <x:c r="H83" s="24" t="inlineStr">
        <x:is>
          <x:t xml:space="preserve">Chưa có</x:t>
        </x:is>
      </x:c>
      <x:c r="I83" s="24" t="inlineStr">
        <x:is>
          <x:t xml:space="preserve">/Users/j2866/Documents/anhthai/dich-vu-quanh-ban/docs/project-docs/architecture-source-v0.1.zip</x:t>
        </x:is>
      </x:c>
      <x:c r="J83" s="24" t="inlineStr">
        <x:is>
          <x:t xml:space="preserve">Đã thay bằng DOC-018 v0.1.1</x:t>
        </x:is>
      </x:c>
      <x:c r="K83" s="24" t="inlineStr">
        <x:is>
          <x:t xml:space="preserve">Giữ nguyên snapshot cũ; không dùng làm nguồn hiện hành.</x:t>
        </x:is>
      </x:c>
      <x:c r="L83" s="24" t="n"/>
    </x:row>
    <x:row r="84" ht="105" customHeight="1">
      <x:c r="A84" s="24" t="inlineStr">
        <x:is>
          <x:t xml:space="preserve">DOC-069</x:t>
        </x:is>
      </x:c>
      <x:c r="B84" s="24" t="inlineStr">
        <x:is>
          <x:t xml:space="preserve">Thiết kế log và kiểm thử nền tảng</x:t>
        </x:is>
      </x:c>
      <x:c r="C84" s="24" t="inlineStr">
        <x:is>
          <x:t xml:space="preserve">Thiết kế kỹ thuật</x:t>
        </x:is>
      </x:c>
      <x:c r="D84" s="24" t="inlineStr">
        <x:is>
          <x:t xml:space="preserve">v0.3</x:t>
        </x:is>
      </x:c>
      <x:c r="E84" s="24" t="inlineStr">
        <x:is>
          <x:t xml:space="preserve">Thiết kế đã duyệt; triển khai local theo DOC-071</x:t>
        </x:is>
      </x:c>
      <x:c r="F84" s="24" t="inlineStr">
        <x:is>
          <x:t xml:space="preserve">Mới nhất</x:t>
        </x:is>
      </x:c>
      <x:c r="G84" s="24" t="inlineStr">
        <x:is>
          <x:t xml:space="preserve">LOGTEST-REQ-01; LOGTEST-DESIGN-01; STRUCTURE-01; LOGTEST-01</x:t>
        </x:is>
      </x:c>
      <x:c r="H84" s="24" t="inlineStr">
        <x:is>
          <x:t xml:space="preserve">https://drive.google.com/file/d/1cJtBn_wcwXd6GAAy752RMWrl9cUaqaf1/view</x:t>
        </x:is>
      </x:c>
      <x:c r="I84" s="24" t="inlineStr">
        <x:is>
          <x:t xml:space="preserve">/Users/j2866/Documents/anhthai/dich-vu-quanh-ban/docs/specs/2026-09-28-logging-testing-design.md</x:t>
        </x:is>
      </x:c>
      <x:c r="J84" s="24" t="inlineStr">
        <x:is>
          <x:t xml:space="preserve">Nguồn Markdown, Drive cùng ID; kèm hai ZIP hiện hành</x:t>
        </x:is>
      </x:c>
      <x:c r="K84" s="24" t="inlineStr">
        <x:is>
          <x:t xml:space="preserve">LOGTEST-01/DOC-071:31 mobile+26 API+2 tooling+2 web E2E PASS; coverage core API100/91.53, mobile100/95.70; load200/concurrency20 PASS. Negative coverage/failure artifacts đã kiểm. Native BLOCKED; remoteCI chưa chạy.</x:t>
        </x:is>
      </x:c>
      <x:c r="L84" s="29" t="n">
        <x:v>46293</x:v>
      </x:c>
    </x:row>
    <x:row r="85" ht="105" customHeight="1">
      <x:c r="A85" s="24" t="inlineStr">
        <x:is>
          <x:t xml:space="preserve">DOC-070</x:t>
        </x:is>
      </x:c>
      <x:c r="B85" s="24" t="inlineStr">
        <x:is>
          <x:t xml:space="preserve">Khung cấu trúc dự án</x:t>
        </x:is>
      </x:c>
      <x:c r="C85" s="24" t="inlineStr">
        <x:is>
          <x:t xml:space="preserve">Kiến trúc / triển khai</x:t>
        </x:is>
      </x:c>
      <x:c r="D85" s="24" t="inlineStr">
        <x:is>
          <x:t xml:space="preserve">v1.3</x:t>
        </x:is>
      </x:c>
      <x:c r="E85" s="24" t="inlineStr">
        <x:is>
          <x:t xml:space="preserve">Bản đồ code, trách nhiệm folder và quy tắc mở rộng</x:t>
        </x:is>
      </x:c>
      <x:c r="F85" s="24" t="inlineStr">
        <x:is>
          <x:t xml:space="preserve">Mới nhất</x:t>
        </x:is>
      </x:c>
      <x:c r="G85" s="24" t="inlineStr">
        <x:is>
          <x:t xml:space="preserve">STRUCTURE-01; LOGTEST-DESIGN-01; LOGTEST-01; PATH-01; NATIVE-B-01</x:t>
        </x:is>
      </x:c>
      <x:c r="H85" s="24" t="inlineStr">
        <x:is>
          <x:t xml:space="preserve">https://drive.google.com/file/d/1pWijvZgP7U3mpjq5Wualaa1mdPCDk_Ge/view</x:t>
        </x:is>
      </x:c>
      <x:c r="I85" s="24" t="inlineStr">
        <x:is>
          <x:t xml:space="preserve">/Users/j2866/Documents/anhthai/dich-vu-quanh-ban/docs/implementation/project-structure.md</x:t>
        </x:is>
      </x:c>
      <x:c r="J85" s="24" t="inlineStr">
        <x:is>
          <x:t xml:space="preserve">README; hai ZIP kỹ thuật hiện hành</x:t>
        </x:is>
      </x:c>
      <x:c r="K85" s="24" t="inlineStr">
        <x:is>
          <x:t xml:space="preserve">NATIVE-B-01: hai máy ảo booted; dev-client57.0.19/Expo57.0.26, CNG, app ID/scheme và HTTP Debug-only đã kiểm. 31 mobile tests, lint/typecheck/bundle/config và kiểm âm Release PASS. Chưa build/cài APK/.app hoặc nghiệm thu native E2E; Maestro chưa có. DOC-076 v1.1 ghi bằng chứng và bước C.</x:t>
        </x:is>
      </x:c>
      <x:c r="L85" s="29" t="n">
        <x:v>46294</x:v>
      </x:c>
    </x:row>
    <x:row r="86" ht="130" customHeight="1">
      <x:c r="A86" s="24" t="inlineStr">
        <x:is>
          <x:t xml:space="preserve">DOC-071</x:t>
        </x:is>
      </x:c>
      <x:c r="B86" s="24" t="inlineStr">
        <x:is>
          <x:t xml:space="preserve">Vận hành log và kiểm thử phương án A</x:t>
        </x:is>
      </x:c>
      <x:c r="C86" s="24" t="inlineStr">
        <x:is>
          <x:t xml:space="preserve">Triển khai / vận hành</x:t>
        </x:is>
      </x:c>
      <x:c r="D86" s="24" t="inlineStr">
        <x:is>
          <x:t xml:space="preserve">v1.1</x:t>
        </x:is>
      </x:c>
      <x:c r="E86" s="24" t="inlineStr">
        <x:is>
          <x:t xml:space="preserve">Runbook và bằng chứng kiểm local; giới hạn native/remoteCI</x:t>
        </x:is>
      </x:c>
      <x:c r="F86" s="24" t="inlineStr">
        <x:is>
          <x:t xml:space="preserve">Mới nhất</x:t>
        </x:is>
      </x:c>
      <x:c r="G86" s="24" t="inlineStr">
        <x:is>
          <x:t xml:space="preserve">LOGTEST-01; LOGTEST-DESIGN-01; NATIVE-B-01</x:t>
        </x:is>
      </x:c>
      <x:c r="H86" s="24" t="inlineStr">
        <x:is>
          <x:t xml:space="preserve">https://drive.google.com/file/d/1m7nrDRbwKj7HPH3TQoWUIsT4zSKn_ldK/view</x:t>
        </x:is>
      </x:c>
      <x:c r="I86" s="24" t="inlineStr">
        <x:is>
          <x:t xml:space="preserve">/Users/j2866/Documents/anhthai/dich-vu-quanh-ban/docs/implementation/logging-testing.md</x:t>
        </x:is>
      </x:c>
      <x:c r="J86" s="24" t="inlineStr">
        <x:is>
          <x:t xml:space="preserve">Hai ZIP hiện hành; coverage/test-results local ignored</x:t>
        </x:is>
      </x:c>
      <x:c r="K86" s="24" t="inlineStr">
        <x:is>
          <x:t xml:space="preserve">NATIVE-B-01: hai máy ảo booted; dev-client57.0.19/Expo57.0.26, CNG, app ID/scheme và HTTP Debug-only đã kiểm. 31 mobile tests, lint/typecheck/bundle/config và kiểm âm Release PASS. Chưa build/cài APK/.app hoặc nghiệm thu native E2E; Maestro chưa có. DOC-076 v1.1 ghi bằng chứng và bước C.</x:t>
        </x:is>
      </x:c>
      <x:c r="L86" s="29" t="n">
        <x:v>46294</x:v>
      </x:c>
    </x:row>
    <x:row r="87" ht="110" customHeight="1">
      <x:c r="A87" s="24" t="inlineStr">
        <x:is>
          <x:t xml:space="preserve">DOC-072</x:t>
        </x:is>
      </x:c>
      <x:c r="B87" s="24" t="inlineStr">
        <x:is>
          <x:t xml:space="preserve">Bắt đầu phát triển app Android và iOS</x:t>
        </x:is>
      </x:c>
      <x:c r="C87" s="24" t="inlineStr">
        <x:is>
          <x:t xml:space="preserve">Hướng dẫn phát triển</x:t>
        </x:is>
      </x:c>
      <x:c r="D87" s="24" t="inlineStr">
        <x:is>
          <x:t xml:space="preserve">v1.3</x:t>
        </x:is>
      </x:c>
      <x:c r="E87" s="24" t="inlineStr">
        <x:is>
          <x:t xml:space="preserve">Nguồn Markdown</x:t>
        </x:is>
      </x:c>
      <x:c r="F87" s="24" t="inlineStr">
        <x:is>
          <x:t xml:space="preserve">Mới nhất</x:t>
        </x:is>
      </x:c>
      <x:c r="G87" s="24" t="inlineStr">
        <x:is>
          <x:t xml:space="preserve">MOBILE-GUIDE-01; NATIVE-B-01; MCP-01; EXPO-MCP-01</x:t>
        </x:is>
      </x:c>
      <x:c r="H87" s="24" t="inlineStr">
        <x:is>
          <x:t xml:space="preserve">https://drive.google.com/file/d/10gU2AUdgJLgIZH1UNs1Q2AE225sRlD-u/view?usp=drivesdk</x:t>
        </x:is>
      </x:c>
      <x:c r="I87" s="24" t="inlineStr">
        <x:is>
          <x:t xml:space="preserve">/Users/j2866/Documents/anhthai/dich-vu-quanh-ban/docs/huong-dan-mobile/README.md</x:t>
        </x:is>
      </x:c>
      <x:c r="J87" s="24" t="inlineStr">
        <x:is>
          <x:t xml:space="preserve">DOC-081 chứa 9 Markdown; giải nén vào docs/huong-dan-mobile</x:t>
        </x:is>
      </x:c>
      <x:c r="K87" s="24" t="inlineStr">
        <x:is>
          <x:t xml:space="preserve">EXPO-MCP-01: Expo OAuth/CLI đã đăng nhập; expo-mcp0.2.4 devDependency. Allowlist chỉ tài liệu/thư viện/local; read_documentation/add_library qua Codex PASS. 31 mobile tests, lint/typecheck/dependency check PASS. Native app UI chờ build; mở phiên Codex mới, bật lại Metro khi dùng local.</x:t>
        </x:is>
      </x:c>
      <x:c r="L87" s="24" t="n">
        <x:v>46295</x:v>
      </x:c>
    </x:row>
    <x:row r="88" ht="110" customHeight="1">
      <x:c r="A88" s="24" t="inlineStr">
        <x:is>
          <x:t xml:space="preserve">DOC-073</x:t>
        </x:is>
      </x:c>
      <x:c r="B88" s="24" t="inlineStr">
        <x:is>
          <x:t xml:space="preserve">01 — Chuẩn bị máy và dùng Terminal</x:t>
        </x:is>
      </x:c>
      <x:c r="C88" s="24" t="inlineStr">
        <x:is>
          <x:t xml:space="preserve">Hướng dẫn phát triển</x:t>
        </x:is>
      </x:c>
      <x:c r="D88" s="24" t="inlineStr">
        <x:is>
          <x:t xml:space="preserve">v1.0</x:t>
        </x:is>
      </x:c>
      <x:c r="E88" s="24" t="inlineStr">
        <x:is>
          <x:t xml:space="preserve">Nguồn Markdown</x:t>
        </x:is>
      </x:c>
      <x:c r="F88" s="24" t="inlineStr">
        <x:is>
          <x:t xml:space="preserve">Mới nhất</x:t>
        </x:is>
      </x:c>
      <x:c r="G88" s="24" t="inlineStr">
        <x:is>
          <x:t xml:space="preserve">MOBILE-GUIDE-01</x:t>
        </x:is>
      </x:c>
      <x:c r="H88" s="24" t="inlineStr">
        <x:is>
          <x:t xml:space="preserve">https://drive.google.com/file/d/10gU2AUdgJLgIZH1UNs1Q2AE225sRlD-u/view?usp=drivesdk</x:t>
        </x:is>
      </x:c>
      <x:c r="I88" s="24" t="inlineStr">
        <x:is>
          <x:t xml:space="preserve">/Users/j2866/Documents/anhthai/dich-vu-quanh-ban/docs/huong-dan-mobile/01-chuan-bi-may.md</x:t>
        </x:is>
      </x:c>
      <x:c r="J88" s="24" t="inlineStr">
        <x:is>
          <x:t xml:space="preserve">DOC-081 chứa 9 Markdown; giải nén vào docs/huong-dan-mobile</x:t>
        </x:is>
      </x:c>
      <x:c r="K88" s="24" t="inlineStr">
        <x:is>
          <x:t xml:space="preserve">Trạng thái triển khai môi trường: xem DOC-076 v1.1 (NATIVE-B-01), DOC-077/078 v1.2 (MCP-01, EXPO-MCP-01). Native binary/E2E còn pending. Nội dung bài này không đổi trong EXPO-MCP-01.</x:t>
        </x:is>
      </x:c>
      <x:c r="L88" s="24" t="n">
        <x:v>46294</x:v>
      </x:c>
    </x:row>
    <x:row r="89" ht="110" customHeight="1">
      <x:c r="A89" s="24" t="inlineStr">
        <x:is>
          <x:t xml:space="preserve">DOC-074</x:t>
        </x:is>
      </x:c>
      <x:c r="B89" s="24" t="inlineStr">
        <x:is>
          <x:t xml:space="preserve">02 — Cài Android Studio và tạo máy ảo</x:t>
        </x:is>
      </x:c>
      <x:c r="C89" s="24" t="inlineStr">
        <x:is>
          <x:t xml:space="preserve">Hướng dẫn phát triển</x:t>
        </x:is>
      </x:c>
      <x:c r="D89" s="24" t="inlineStr">
        <x:is>
          <x:t xml:space="preserve">v1.0</x:t>
        </x:is>
      </x:c>
      <x:c r="E89" s="24" t="inlineStr">
        <x:is>
          <x:t xml:space="preserve">Nguồn Markdown</x:t>
        </x:is>
      </x:c>
      <x:c r="F89" s="24" t="inlineStr">
        <x:is>
          <x:t xml:space="preserve">Mới nhất</x:t>
        </x:is>
      </x:c>
      <x:c r="G89" s="24" t="inlineStr">
        <x:is>
          <x:t xml:space="preserve">MOBILE-GUIDE-01</x:t>
        </x:is>
      </x:c>
      <x:c r="H89" s="24" t="inlineStr">
        <x:is>
          <x:t xml:space="preserve">https://drive.google.com/file/d/10gU2AUdgJLgIZH1UNs1Q2AE225sRlD-u/view?usp=drivesdk</x:t>
        </x:is>
      </x:c>
      <x:c r="I89" s="24" t="inlineStr">
        <x:is>
          <x:t xml:space="preserve">/Users/j2866/Documents/anhthai/dich-vu-quanh-ban/docs/huong-dan-mobile/02-android.md</x:t>
        </x:is>
      </x:c>
      <x:c r="J89" s="24" t="inlineStr">
        <x:is>
          <x:t xml:space="preserve">DOC-081 chứa 9 Markdown; giải nén vào docs/huong-dan-mobile</x:t>
        </x:is>
      </x:c>
      <x:c r="K89" s="24" t="inlineStr">
        <x:is>
          <x:t xml:space="preserve">Trạng thái triển khai môi trường: xem DOC-076 v1.1 (NATIVE-B-01), DOC-077/078 v1.2 (MCP-01, EXPO-MCP-01). Native binary/E2E còn pending. Nội dung bài này không đổi trong EXPO-MCP-01.</x:t>
        </x:is>
      </x:c>
      <x:c r="L89" s="24" t="n">
        <x:v>46294</x:v>
      </x:c>
    </x:row>
    <x:row r="90" ht="110" customHeight="1">
      <x:c r="A90" s="24" t="inlineStr">
        <x:is>
          <x:t xml:space="preserve">DOC-075</x:t>
        </x:is>
      </x:c>
      <x:c r="B90" s="24" t="inlineStr">
        <x:is>
          <x:t xml:space="preserve">03 — Cài Xcode và iOS Simulator trên macOS 27</x:t>
        </x:is>
      </x:c>
      <x:c r="C90" s="24" t="inlineStr">
        <x:is>
          <x:t xml:space="preserve">Hướng dẫn phát triển</x:t>
        </x:is>
      </x:c>
      <x:c r="D90" s="24" t="inlineStr">
        <x:is>
          <x:t xml:space="preserve">v1.1</x:t>
        </x:is>
      </x:c>
      <x:c r="E90" s="24" t="inlineStr">
        <x:is>
          <x:t xml:space="preserve">Nguồn Markdown</x:t>
        </x:is>
      </x:c>
      <x:c r="F90" s="24" t="inlineStr">
        <x:is>
          <x:t xml:space="preserve">Mới nhất</x:t>
        </x:is>
      </x:c>
      <x:c r="G90" s="24" t="inlineStr">
        <x:is>
          <x:t xml:space="preserve">MOBILE-GUIDE-01; NATIVE-B-01</x:t>
        </x:is>
      </x:c>
      <x:c r="H90" s="24" t="inlineStr">
        <x:is>
          <x:t xml:space="preserve">https://drive.google.com/file/d/10gU2AUdgJLgIZH1UNs1Q2AE225sRlD-u/view?usp=drivesdk</x:t>
        </x:is>
      </x:c>
      <x:c r="I90" s="24" t="inlineStr">
        <x:is>
          <x:t xml:space="preserve">/Users/j2866/Documents/anhthai/dich-vu-quanh-ban/docs/huong-dan-mobile/03-ios.md</x:t>
        </x:is>
      </x:c>
      <x:c r="J90" s="24" t="inlineStr">
        <x:is>
          <x:t xml:space="preserve">DOC-081 chứa 9 Markdown; giải nén vào docs/huong-dan-mobile</x:t>
        </x:is>
      </x:c>
      <x:c r="K90" s="24" t="inlineStr">
        <x:is>
          <x:t xml:space="preserve">Trạng thái triển khai môi trường: xem DOC-076 v1.1 (NATIVE-B-01), DOC-077/078 v1.2 (MCP-01, EXPO-MCP-01). Native binary/E2E còn pending. Nội dung bài này không đổi trong EXPO-MCP-01.</x:t>
        </x:is>
      </x:c>
      <x:c r="L90" s="24" t="n">
        <x:v>46294</x:v>
      </x:c>
    </x:row>
    <x:row r="91" ht="110" customHeight="1">
      <x:c r="A91" s="24" t="inlineStr">
        <x:is>
          <x:t xml:space="preserve">DOC-076</x:t>
        </x:is>
      </x:c>
      <x:c r="B91" s="24" t="inlineStr">
        <x:is>
          <x:t xml:space="preserve">04 — Chạy API và app native</x:t>
        </x:is>
      </x:c>
      <x:c r="C91" s="24" t="inlineStr">
        <x:is>
          <x:t xml:space="preserve">Hướng dẫn phát triển</x:t>
        </x:is>
      </x:c>
      <x:c r="D91" s="24" t="inlineStr">
        <x:is>
          <x:t xml:space="preserve">v1.1</x:t>
        </x:is>
      </x:c>
      <x:c r="E91" s="24" t="inlineStr">
        <x:is>
          <x:t xml:space="preserve">Nguồn Markdown</x:t>
        </x:is>
      </x:c>
      <x:c r="F91" s="24" t="inlineStr">
        <x:is>
          <x:t xml:space="preserve">Mới nhất</x:t>
        </x:is>
      </x:c>
      <x:c r="G91" s="24" t="inlineStr">
        <x:is>
          <x:t xml:space="preserve">MOBILE-GUIDE-01; NATIVE-B-01</x:t>
        </x:is>
      </x:c>
      <x:c r="H91" s="24" t="inlineStr">
        <x:is>
          <x:t xml:space="preserve">https://drive.google.com/file/d/10gU2AUdgJLgIZH1UNs1Q2AE225sRlD-u/view?usp=drivesdk</x:t>
        </x:is>
      </x:c>
      <x:c r="I91" s="24" t="inlineStr">
        <x:is>
          <x:t xml:space="preserve">/Users/j2866/Documents/anhthai/dich-vu-quanh-ban/docs/huong-dan-mobile/04-chay-app.md</x:t>
        </x:is>
      </x:c>
      <x:c r="J91" s="24" t="inlineStr">
        <x:is>
          <x:t xml:space="preserve">DOC-081 chứa 9 Markdown; giải nén vào docs/huong-dan-mobile</x:t>
        </x:is>
      </x:c>
      <x:c r="K91" s="24" t="inlineStr">
        <x:is>
          <x:t xml:space="preserve">Trạng thái triển khai môi trường: xem DOC-076 v1.1 (NATIVE-B-01), DOC-077/078 v1.2 (MCP-01, EXPO-MCP-01). Native binary/E2E còn pending. Nội dung bài này không đổi trong EXPO-MCP-01.</x:t>
        </x:is>
      </x:c>
      <x:c r="L91" s="24" t="n">
        <x:v>46294</x:v>
      </x:c>
    </x:row>
    <x:row r="92" ht="110" customHeight="1">
      <x:c r="A92" s="24" t="inlineStr">
        <x:is>
          <x:t xml:space="preserve">DOC-077</x:t>
        </x:is>
      </x:c>
      <x:c r="B92" s="24" t="inlineStr">
        <x:is>
          <x:t xml:space="preserve">05 — Kết nối MCP hỗ trợ phát triển mobile</x:t>
        </x:is>
      </x:c>
      <x:c r="C92" s="24" t="inlineStr">
        <x:is>
          <x:t xml:space="preserve">Hướng dẫn phát triển</x:t>
        </x:is>
      </x:c>
      <x:c r="D92" s="24" t="inlineStr">
        <x:is>
          <x:t xml:space="preserve">v1.2</x:t>
        </x:is>
      </x:c>
      <x:c r="E92" s="24" t="inlineStr">
        <x:is>
          <x:t xml:space="preserve">Nguồn Markdown</x:t>
        </x:is>
      </x:c>
      <x:c r="F92" s="24" t="inlineStr">
        <x:is>
          <x:t xml:space="preserve">Mới nhất</x:t>
        </x:is>
      </x:c>
      <x:c r="G92" s="24" t="inlineStr">
        <x:is>
          <x:t xml:space="preserve">MOBILE-GUIDE-01; MCP-01; EXPO-MCP-01</x:t>
        </x:is>
      </x:c>
      <x:c r="H92" s="24" t="inlineStr">
        <x:is>
          <x:t xml:space="preserve">https://drive.google.com/file/d/10gU2AUdgJLgIZH1UNs1Q2AE225sRlD-u/view?usp=drivesdk</x:t>
        </x:is>
      </x:c>
      <x:c r="I92" s="24" t="inlineStr">
        <x:is>
          <x:t xml:space="preserve">/Users/j2866/Documents/anhthai/dich-vu-quanh-ban/docs/huong-dan-mobile/05-mcp.md</x:t>
        </x:is>
      </x:c>
      <x:c r="J92" s="24" t="inlineStr">
        <x:is>
          <x:t xml:space="preserve">DOC-081 chứa 9 Markdown; giải nén vào docs/huong-dan-mobile</x:t>
        </x:is>
      </x:c>
      <x:c r="K92" s="24" t="inlineStr">
        <x:is>
          <x:t xml:space="preserve">EXPO-MCP-01: Expo OAuth/CLI đã đăng nhập; expo-mcp0.2.4 devDependency. Allowlist chỉ tài liệu/thư viện/local; read_documentation/add_library qua Codex PASS. 31 mobile tests, lint/typecheck/dependency check PASS. Native app UI chờ build; mở phiên Codex mới, bật lại Metro khi dùng local.</x:t>
        </x:is>
      </x:c>
      <x:c r="L92" s="24" t="n">
        <x:v>46295</x:v>
      </x:c>
    </x:row>
    <x:row r="93" ht="110" customHeight="1">
      <x:c r="A93" s="24" t="inlineStr">
        <x:is>
          <x:t xml:space="preserve">DOC-078</x:t>
        </x:is>
      </x:c>
      <x:c r="B93" s="24" t="inlineStr">
        <x:is>
          <x:t xml:space="preserve">06 — Kiểm thử native, đọc log và ghi bằng chứng</x:t>
        </x:is>
      </x:c>
      <x:c r="C93" s="24" t="inlineStr">
        <x:is>
          <x:t xml:space="preserve">Hướng dẫn phát triển</x:t>
        </x:is>
      </x:c>
      <x:c r="D93" s="24" t="inlineStr">
        <x:is>
          <x:t xml:space="preserve">v1.2</x:t>
        </x:is>
      </x:c>
      <x:c r="E93" s="24" t="inlineStr">
        <x:is>
          <x:t xml:space="preserve">Nguồn Markdown</x:t>
        </x:is>
      </x:c>
      <x:c r="F93" s="24" t="inlineStr">
        <x:is>
          <x:t xml:space="preserve">Mới nhất</x:t>
        </x:is>
      </x:c>
      <x:c r="G93" s="24" t="inlineStr">
        <x:is>
          <x:t xml:space="preserve">MOBILE-GUIDE-01; MCP-01; EXPO-MCP-01</x:t>
        </x:is>
      </x:c>
      <x:c r="H93" s="24" t="inlineStr">
        <x:is>
          <x:t xml:space="preserve">https://drive.google.com/file/d/10gU2AUdgJLgIZH1UNs1Q2AE225sRlD-u/view?usp=drivesdk</x:t>
        </x:is>
      </x:c>
      <x:c r="I93" s="24" t="inlineStr">
        <x:is>
          <x:t xml:space="preserve">/Users/j2866/Documents/anhthai/dich-vu-quanh-ban/docs/huong-dan-mobile/06-kiem-thu-log.md</x:t>
        </x:is>
      </x:c>
      <x:c r="J93" s="24" t="inlineStr">
        <x:is>
          <x:t xml:space="preserve">DOC-081 chứa 9 Markdown; giải nén vào docs/huong-dan-mobile</x:t>
        </x:is>
      </x:c>
      <x:c r="K93" s="24" t="inlineStr">
        <x:is>
          <x:t xml:space="preserve">EXPO-MCP-01: Expo OAuth/CLI đã đăng nhập; expo-mcp0.2.4 devDependency. Allowlist chỉ tài liệu/thư viện/local; read_documentation/add_library qua Codex PASS. 31 mobile tests, lint/typecheck/dependency check PASS. Native app UI chờ build; mở phiên Codex mới, bật lại Metro khi dùng local.</x:t>
        </x:is>
      </x:c>
      <x:c r="L93" s="24" t="n">
        <x:v>46295</x:v>
      </x:c>
    </x:row>
    <x:row r="94" ht="110" customHeight="1">
      <x:c r="A94" s="24" t="inlineStr">
        <x:is>
          <x:t xml:space="preserve">DOC-079</x:t>
        </x:is>
      </x:c>
      <x:c r="B94" s="24" t="inlineStr">
        <x:is>
          <x:t xml:space="preserve">07 — Kế hoạch hoàn thiện khung app trước nghiệp vụ</x:t>
        </x:is>
      </x:c>
      <x:c r="C94" s="24" t="inlineStr">
        <x:is>
          <x:t xml:space="preserve">Hướng dẫn phát triển</x:t>
        </x:is>
      </x:c>
      <x:c r="D94" s="24" t="inlineStr">
        <x:is>
          <x:t xml:space="preserve">v1.1</x:t>
        </x:is>
      </x:c>
      <x:c r="E94" s="24" t="inlineStr">
        <x:is>
          <x:t xml:space="preserve">Nguồn Markdown</x:t>
        </x:is>
      </x:c>
      <x:c r="F94" s="24" t="inlineStr">
        <x:is>
          <x:t xml:space="preserve">Mới nhất</x:t>
        </x:is>
      </x:c>
      <x:c r="G94" s="24" t="inlineStr">
        <x:is>
          <x:t xml:space="preserve">MOBILE-GUIDE-01; NATIVE-B-01</x:t>
        </x:is>
      </x:c>
      <x:c r="H94" s="24" t="inlineStr">
        <x:is>
          <x:t xml:space="preserve">https://drive.google.com/file/d/10gU2AUdgJLgIZH1UNs1Q2AE225sRlD-u/view?usp=drivesdk</x:t>
        </x:is>
      </x:c>
      <x:c r="I94" s="24" t="inlineStr">
        <x:is>
          <x:t xml:space="preserve">/Users/j2866/Documents/anhthai/dich-vu-quanh-ban/docs/huong-dan-mobile/07-ke-hoach-khung-app.md</x:t>
        </x:is>
      </x:c>
      <x:c r="J94" s="24" t="inlineStr">
        <x:is>
          <x:t xml:space="preserve">DOC-081 chứa 9 Markdown; giải nén vào docs/huong-dan-mobile</x:t>
        </x:is>
      </x:c>
      <x:c r="K94" s="24" t="inlineStr">
        <x:is>
          <x:t xml:space="preserve">Trạng thái triển khai môi trường: xem DOC-076 v1.1 (NATIVE-B-01), DOC-077/078 v1.2 (MCP-01, EXPO-MCP-01). Native binary/E2E còn pending. Nội dung bài này không đổi trong EXPO-MCP-01.</x:t>
        </x:is>
      </x:c>
      <x:c r="L94" s="24" t="n">
        <x:v>46294</x:v>
      </x:c>
    </x:row>
    <x:row r="95" ht="110" customHeight="1">
      <x:c r="A95" s="24" t="inlineStr">
        <x:is>
          <x:t xml:space="preserve">DOC-080</x:t>
        </x:is>
      </x:c>
      <x:c r="B95" s="24" t="inlineStr">
        <x:is>
          <x:t xml:space="preserve">08 — Xử lý lỗi theo nơi phát sinh</x:t>
        </x:is>
      </x:c>
      <x:c r="C95" s="24" t="inlineStr">
        <x:is>
          <x:t xml:space="preserve">Hướng dẫn phát triển</x:t>
        </x:is>
      </x:c>
      <x:c r="D95" s="24" t="inlineStr">
        <x:is>
          <x:t xml:space="preserve">v1.1</x:t>
        </x:is>
      </x:c>
      <x:c r="E95" s="24" t="inlineStr">
        <x:is>
          <x:t xml:space="preserve">Nguồn Markdown</x:t>
        </x:is>
      </x:c>
      <x:c r="F95" s="24" t="inlineStr">
        <x:is>
          <x:t xml:space="preserve">Mới nhất</x:t>
        </x:is>
      </x:c>
      <x:c r="G95" s="24" t="inlineStr">
        <x:is>
          <x:t xml:space="preserve">MOBILE-GUIDE-01; NATIVE-B-01</x:t>
        </x:is>
      </x:c>
      <x:c r="H95" s="24" t="inlineStr">
        <x:is>
          <x:t xml:space="preserve">https://drive.google.com/file/d/10gU2AUdgJLgIZH1UNs1Q2AE225sRlD-u/view?usp=drivesdk</x:t>
        </x:is>
      </x:c>
      <x:c r="I95" s="24" t="inlineStr">
        <x:is>
          <x:t xml:space="preserve">/Users/j2866/Documents/anhthai/dich-vu-quanh-ban/docs/huong-dan-mobile/08-xu-ly-loi.md</x:t>
        </x:is>
      </x:c>
      <x:c r="J95" s="24" t="inlineStr">
        <x:is>
          <x:t xml:space="preserve">DOC-081 chứa 9 Markdown; giải nén vào docs/huong-dan-mobile</x:t>
        </x:is>
      </x:c>
      <x:c r="K95" s="24" t="inlineStr">
        <x:is>
          <x:t xml:space="preserve">Trạng thái triển khai môi trường: xem DOC-076 v1.1 (NATIVE-B-01), DOC-077/078 v1.2 (MCP-01, EXPO-MCP-01). Native binary/E2E còn pending. Nội dung bài này không đổi trong EXPO-MCP-01.</x:t>
        </x:is>
      </x:c>
      <x:c r="L95" s="24" t="n">
        <x:v>46294</x:v>
      </x:c>
    </x:row>
    <x:row r="96" ht="110" customHeight="1">
      <x:c r="A96" s="24" t="inlineStr">
        <x:is>
          <x:t xml:space="preserve">DOC-081</x:t>
        </x:is>
      </x:c>
      <x:c r="B96" s="24" t="inlineStr">
        <x:is>
          <x:t xml:space="preserve">Gói hướng dẫn phát triển mobile v1.3</x:t>
        </x:is>
      </x:c>
      <x:c r="C96" s="24" t="inlineStr">
        <x:is>
          <x:t xml:space="preserve">Hướng dẫn phát triển</x:t>
        </x:is>
      </x:c>
      <x:c r="D96" s="24" t="inlineStr">
        <x:is>
          <x:t xml:space="preserve">v1.3</x:t>
        </x:is>
      </x:c>
      <x:c r="E96" s="24" t="inlineStr">
        <x:is>
          <x:t xml:space="preserve">Gói xuất</x:t>
        </x:is>
      </x:c>
      <x:c r="F96" s="24" t="inlineStr">
        <x:is>
          <x:t xml:space="preserve">Mới nhất</x:t>
        </x:is>
      </x:c>
      <x:c r="G96" s="24" t="inlineStr">
        <x:is>
          <x:t xml:space="preserve">MOBILE-GUIDE-01; NATIVE-B-01; MCP-01; EXPO-MCP-01</x:t>
        </x:is>
      </x:c>
      <x:c r="H96" s="24" t="inlineStr">
        <x:is>
          <x:t xml:space="preserve">https://drive.google.com/file/d/10gU2AUdgJLgIZH1UNs1Q2AE225sRlD-u/view?usp=drivesdk</x:t>
        </x:is>
      </x:c>
      <x:c r="I96" s="24" t="inlineStr">
        <x:is>
          <x:t xml:space="preserve">/Users/j2866/Documents/anhthai/dich-vu-quanh-ban/docs/huong-dan-mobile/huong-dan-mobile-v1.3.zip</x:t>
        </x:is>
      </x:c>
      <x:c r="J96" s="24" t="inlineStr">
        <x:is>
          <x:t xml:space="preserve">9 Markdown hiện hành; v1.0/v1.1/v1.2 giữ lịch sử, đã thay thế</x:t>
        </x:is>
      </x:c>
      <x:c r="K96" s="24" t="inlineStr">
        <x:is>
          <x:t xml:space="preserve">EXPO-MCP-01: Expo OAuth/CLI đã đăng nhập; expo-mcp0.2.4 devDependency. Allowlist chỉ tài liệu/thư viện/local; read_documentation/add_library qua Codex PASS. 31 mobile tests, lint/typecheck/dependency check PASS. Native app UI chờ build; mở phiên Codex mới, bật lại Metro khi dùng local.</x:t>
        </x:is>
      </x:c>
      <x:c r="L96" s="24" t="n">
        <x:v>46295</x:v>
      </x:c>
    </x:row>
    <x:row r="97" ht="110" customHeight="1">
      <x:c r="A97" s="24" t="inlineStr">
        <x:is>
          <x:t xml:space="preserve">DOC-082</x:t>
        </x:is>
      </x:c>
      <x:c r="B97" s="24" t="inlineStr">
        <x:is>
          <x:t xml:space="preserve">Kế hoạch triển khai và học code</x:t>
        </x:is>
      </x:c>
      <x:c r="C97" s="24" t="inlineStr">
        <x:is>
          <x:t xml:space="preserve">Kế hoạch và báo cáo triển khai</x:t>
        </x:is>
      </x:c>
      <x:c r="D97" s="24" t="str">
        <x:v>MAP-03 / P0-2 / 07-10-2026</x:v>
      </x:c>
      <x:c r="E97" s="24" t="inlineStr">
        <x:is>
          <x:t xml:space="preserve">Nguồn Markdown</x:t>
        </x:is>
      </x:c>
      <x:c r="F97" s="24" t="str">
        <x:v>Mới nhất</x:v>
      </x:c>
      <x:c r="G97" s="24" t="str">
        <x:v>DELIVERY-01; MAP-01; MAP-02; MAP-03; P0-2</x:v>
      </x:c>
      <x:c r="H97" s="24" t="inlineStr">
        <x:is>
          <x:t xml:space="preserve">Chỉ lưu repo (DELIVERY-01)</x:t>
        </x:is>
      </x:c>
      <x:c r="I97" s="24" t="inlineStr">
        <x:is>
          <x:t xml:space="preserve">/Users/j2866/Documents/anhthai/dich-vu-quanh-ban/docs/ke-hoach-trien-khai/README.md</x:t>
        </x:is>
      </x:c>
      <x:c r="J97" s="24" t="inlineStr">
        <x:is>
          <x:t xml:space="preserve">DOC-089: 7 Markdown + snapshot README/AGENTS</x:t>
        </x:is>
      </x:c>
      <x:c r="K97" s="24" t="str">
        <x:v>Theo chủ dự án: kế hoạch/checklist/báo cáo chỉ lưu Git; không có bước chờ upload Drive. Tiến độ hiện hành xem DOC-083 và báo cáo I18N-04. ZIP v1.0 là snapshot lịch sử.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97" s="24" t="n">
        <x:v>46302</x:v>
      </x:c>
    </x:row>
    <x:row r="98" ht="110" customHeight="1">
      <x:c r="A98" s="24" t="inlineStr">
        <x:is>
          <x:t xml:space="preserve">DOC-083</x:t>
        </x:is>
      </x:c>
      <x:c r="B98" s="24" t="inlineStr">
        <x:is>
          <x:t xml:space="preserve">Checklist chức năng và bằng chứng</x:t>
        </x:is>
      </x:c>
      <x:c r="C98" s="24" t="inlineStr">
        <x:is>
          <x:t xml:space="preserve">Kế hoạch và báo cáo triển khai</x:t>
        </x:is>
      </x:c>
      <x:c r="D98" s="24" t="str">
        <x:v>MAP-03 / P0-2 / 07-10-2026</x:v>
      </x:c>
      <x:c r="E98" s="24" t="inlineStr">
        <x:is>
          <x:t xml:space="preserve">Nguồn Markdown</x:t>
        </x:is>
      </x:c>
      <x:c r="F98" s="24" t="str">
        <x:v>Mới nhất</x:v>
      </x:c>
      <x:c r="G98" s="24" t="str">
        <x:v>DELIVERY-01; MAP-01; MAP-02; MAP-03; P0-2</x:v>
      </x:c>
      <x:c r="H98" s="24" t="inlineStr">
        <x:is>
          <x:t xml:space="preserve">Chỉ lưu repo (DELIVERY-01)</x:t>
        </x:is>
      </x:c>
      <x:c r="I98" s="24" t="inlineStr">
        <x:is>
          <x:t xml:space="preserve">/Users/j2866/Documents/anhthai/dich-vu-quanh-ban/docs/ke-hoach-trien-khai/01-checklist.md</x:t>
        </x:is>
      </x:c>
      <x:c r="J98" s="24" t="inlineStr">
        <x:is>
          <x:t xml:space="preserve">DOC-089: 7 Markdown + snapshot README/AGENTS</x:t>
        </x:is>
      </x:c>
      <x:c r="K98" s="24" t="str">
        <x:v>Theo chủ dự án: kế hoạch/checklist/báo cáo chỉ lưu Git; không có bước chờ upload Drive. Tiến độ hiện hành xem DOC-083 và báo cáo I18N-04. ZIP v1.0 là snapshot lịch sử.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98" s="24" t="n">
        <x:v>46302</x:v>
      </x:c>
    </x:row>
    <x:row r="99" ht="110" customHeight="1">
      <x:c r="A99" s="24" t="inlineStr">
        <x:is>
          <x:t xml:space="preserve">DOC-084</x:t>
        </x:is>
      </x:c>
      <x:c r="B99" s="24" t="inlineStr">
        <x:is>
          <x:t xml:space="preserve">Quy trình triển khai và cấu trúc code</x:t>
        </x:is>
      </x:c>
      <x:c r="C99" s="24" t="inlineStr">
        <x:is>
          <x:t xml:space="preserve">Kế hoạch và báo cáo triển khai</x:t>
        </x:is>
      </x:c>
      <x:c r="D99" s="24" t="inlineStr">
        <x:is>
          <x:t xml:space="preserve">v1.0</x:t>
        </x:is>
      </x:c>
      <x:c r="E99" s="24" t="inlineStr">
        <x:is>
          <x:t xml:space="preserve">Nguồn Markdown</x:t>
        </x:is>
      </x:c>
      <x:c r="F99" s="24" t="inlineStr">
        <x:is>
          <x:t xml:space="preserve">Mới nhất</x:t>
        </x:is>
      </x:c>
      <x:c r="G99" s="24" t="inlineStr">
        <x:is>
          <x:t xml:space="preserve">DELIVERY-01</x:t>
        </x:is>
      </x:c>
      <x:c r="H99" s="24" t="inlineStr">
        <x:is>
          <x:t xml:space="preserve">Chỉ lưu repo (DELIVERY-01)</x:t>
        </x:is>
      </x:c>
      <x:c r="I99" s="24" t="inlineStr">
        <x:is>
          <x:t xml:space="preserve">/Users/j2866/Documents/anhthai/dich-vu-quanh-ban/docs/ke-hoach-trien-khai/02-quy-trinh-va-cau-truc.md</x:t>
        </x:is>
      </x:c>
      <x:c r="J99" s="24" t="inlineStr">
        <x:is>
          <x:t xml:space="preserve">DOC-089: 7 Markdown + snapshot README/AGENTS</x:t>
        </x:is>
      </x:c>
      <x:c r="K99" s="24" t="inlineStr">
        <x:is>
          <x:t xml:space="preserve">Theo chủ dự án: kế hoạch/checklist/báo cáo chỉ lưu Git; không có bước chờ upload Drive. Tiến độ hiện hành xem DOC-083 và báo cáo I18N-04. ZIP v1.0 là snapshot lịch sử.</x:t>
        </x:is>
      </x:c>
      <x:c r="L99" s="24" t="n"/>
    </x:row>
    <x:row r="100" ht="110" customHeight="1">
      <x:c r="A100" s="24" t="inlineStr">
        <x:is>
          <x:t xml:space="preserve">DOC-085</x:t>
        </x:is>
      </x:c>
      <x:c r="B100" s="24" t="inlineStr">
        <x:is>
          <x:t xml:space="preserve">Thứ tự triển khai từng chức năng</x:t>
        </x:is>
      </x:c>
      <x:c r="C100" s="24" t="inlineStr">
        <x:is>
          <x:t xml:space="preserve">Kế hoạch và báo cáo triển khai</x:t>
        </x:is>
      </x:c>
      <x:c r="D100" s="24" t="str">
        <x:v>MAP-03 / P0-2 / 07-10-2026</x:v>
      </x:c>
      <x:c r="E100" s="24" t="inlineStr">
        <x:is>
          <x:t xml:space="preserve">Nguồn Markdown</x:t>
        </x:is>
      </x:c>
      <x:c r="F100" s="24" t="str">
        <x:v>Mới nhất</x:v>
      </x:c>
      <x:c r="G100" s="24" t="str">
        <x:v>DELIVERY-01; MAP-01; MAP-02; MAP-03; P0-2</x:v>
      </x:c>
      <x:c r="H100" s="24" t="inlineStr">
        <x:is>
          <x:t xml:space="preserve">Chỉ lưu repo (DELIVERY-01)</x:t>
        </x:is>
      </x:c>
      <x:c r="I100" s="24" t="inlineStr">
        <x:is>
          <x:t xml:space="preserve">/Users/j2866/Documents/anhthai/dich-vu-quanh-ban/docs/ke-hoach-trien-khai/03-thu-tu-trien-khai.md</x:t>
        </x:is>
      </x:c>
      <x:c r="J100" s="24" t="inlineStr">
        <x:is>
          <x:t xml:space="preserve">DOC-089: 7 Markdown + snapshot README/AGENTS</x:t>
        </x:is>
      </x:c>
      <x:c r="K100" s="24" t="str">
        <x:v>Theo chủ dự án: kế hoạch/checklist/báo cáo chỉ lưu Git; không có bước chờ upload Drive. Tiến độ hiện hành xem DOC-083 và báo cáo I18N-04. ZIP v1.0 là snapshot lịch sử. MAP-01: phần hiện hành đã đối chiếu; báo cáo B03-01 chỉ repo. Code/local và live map đã kiểm, không suy ra UAT/production. MAP-02: phần hiện hành đã đối chiếu; báo cáo B03-02 chỉ repo. Code/local và live map đã kiểm, không suy ra UAT/production. MAP-03/P0-2: đối chiếu bổ sung đã duyệt; B03-03/B03-04 chỉ repo. Code/local và native ghi riêng, chưa UAT/CI của thay đổi này.</x:v>
      </x:c>
      <x:c r="L100" s="24" t="n">
        <x:v>46302</x:v>
      </x:c>
    </x:row>
    <x:row r="101" ht="110" customHeight="1">
      <x:c r="A101" s="24" t="inlineStr">
        <x:is>
          <x:t xml:space="preserve">DOC-086</x:t>
        </x:is>
      </x:c>
      <x:c r="B101" s="24" t="inlineStr">
        <x:is>
          <x:t xml:space="preserve">Mẫu báo cáo chức năng và hướng dẫn đọc code</x:t>
        </x:is>
      </x:c>
      <x:c r="C101" s="24" t="inlineStr">
        <x:is>
          <x:t xml:space="preserve">Kế hoạch và báo cáo triển khai</x:t>
        </x:is>
      </x:c>
      <x:c r="D101" s="24" t="inlineStr">
        <x:is>
          <x:t xml:space="preserve">v1.0</x:t>
        </x:is>
      </x:c>
      <x:c r="E101" s="24" t="inlineStr">
        <x:is>
          <x:t xml:space="preserve">Nguồn Markdown</x:t>
        </x:is>
      </x:c>
      <x:c r="F101" s="24" t="inlineStr">
        <x:is>
          <x:t xml:space="preserve">Mới nhất</x:t>
        </x:is>
      </x:c>
      <x:c r="G101" s="24" t="inlineStr">
        <x:is>
          <x:t xml:space="preserve">DELIVERY-01</x:t>
        </x:is>
      </x:c>
      <x:c r="H101" s="24" t="inlineStr">
        <x:is>
          <x:t xml:space="preserve">Chỉ lưu repo (DELIVERY-01)</x:t>
        </x:is>
      </x:c>
      <x:c r="I101" s="24" t="inlineStr">
        <x:is>
          <x:t xml:space="preserve">/Users/j2866/Documents/anhthai/dich-vu-quanh-ban/docs/ke-hoach-trien-khai/bao-cao/MAU-BAO-CAO.md</x:t>
        </x:is>
      </x:c>
      <x:c r="J101" s="24" t="inlineStr">
        <x:is>
          <x:t xml:space="preserve">DOC-089: 7 Markdown + snapshot README/AGENTS</x:t>
        </x:is>
      </x:c>
      <x:c r="K101" s="24" t="inlineStr">
        <x:is>
          <x:t xml:space="preserve">Theo chủ dự án: kế hoạch/checklist/báo cáo chỉ lưu Git; không có bước chờ upload Drive. Tiến độ hiện hành xem DOC-083 và báo cáo I18N-04. ZIP v1.0 là snapshot lịch sử.</x:t>
        </x:is>
      </x:c>
      <x:c r="L101" s="24" t="n"/>
    </x:row>
    <x:row r="102" ht="110" customHeight="1">
      <x:c r="A102" s="24" t="inlineStr">
        <x:is>
          <x:t xml:space="preserve">DOC-087</x:t>
        </x:is>
      </x:c>
      <x:c r="B102" s="24" t="inlineStr">
        <x:is>
          <x:t xml:space="preserve">B00-01 — Báo cáo nền tảng/danh mục</x:t>
        </x:is>
      </x:c>
      <x:c r="C102" s="24" t="inlineStr">
        <x:is>
          <x:t xml:space="preserve">Kế hoạch và báo cáo triển khai</x:t>
        </x:is>
      </x:c>
      <x:c r="D102" s="24" t="inlineStr">
        <x:is>
          <x:t xml:space="preserve">v1.0</x:t>
        </x:is>
      </x:c>
      <x:c r="E102" s="24" t="inlineStr">
        <x:is>
          <x:t xml:space="preserve">Nguồn Markdown</x:t>
        </x:is>
      </x:c>
      <x:c r="F102" s="24" t="inlineStr">
        <x:is>
          <x:t xml:space="preserve">Mới nhất</x:t>
        </x:is>
      </x:c>
      <x:c r="G102" s="24" t="inlineStr">
        <x:is>
          <x:t xml:space="preserve">DELIVERY-01</x:t>
        </x:is>
      </x:c>
      <x:c r="H102" s="24" t="inlineStr">
        <x:is>
          <x:t xml:space="preserve">Chỉ lưu repo (DELIVERY-01)</x:t>
        </x:is>
      </x:c>
      <x:c r="I102" s="24" t="inlineStr">
        <x:is>
          <x:t xml:space="preserve">/Users/j2866/Documents/anhthai/dich-vu-quanh-ban/docs/ke-hoach-trien-khai/bao-cao/B00-01-nen-tang-danh-muc.md</x:t>
        </x:is>
      </x:c>
      <x:c r="J102" s="24" t="inlineStr">
        <x:is>
          <x:t xml:space="preserve">DOC-089: 7 Markdown + snapshot README/AGENTS</x:t>
        </x:is>
      </x:c>
      <x:c r="K102" s="24" t="inlineStr">
        <x:is>
          <x:t xml:space="preserve">Theo chủ dự án: kế hoạch/checklist/báo cáo chỉ lưu Git; không có bước chờ upload Drive. Tiến độ hiện hành xem DOC-083 và báo cáo I18N-04. ZIP v1.0 là snapshot lịch sử.</x:t>
        </x:is>
      </x:c>
      <x:c r="L102" s="24" t="n"/>
    </x:row>
    <x:row r="103" ht="110" customHeight="1">
      <x:c r="A103" s="24" t="inlineStr">
        <x:is>
          <x:t xml:space="preserve">DOC-088</x:t>
        </x:is>
      </x:c>
      <x:c r="B103" s="24" t="inlineStr">
        <x:is>
          <x:t xml:space="preserve">B01-01 — Báo cáo email/mật khẩu và phiên local</x:t>
        </x:is>
      </x:c>
      <x:c r="C103" s="24" t="inlineStr">
        <x:is>
          <x:t xml:space="preserve">Kế hoạch và báo cáo triển khai</x:t>
        </x:is>
      </x:c>
      <x:c r="D103" s="24" t="inlineStr">
        <x:is>
          <x:t xml:space="preserve">v1.0</x:t>
        </x:is>
      </x:c>
      <x:c r="E103" s="24" t="inlineStr">
        <x:is>
          <x:t xml:space="preserve">Nguồn Markdown</x:t>
        </x:is>
      </x:c>
      <x:c r="F103" s="24" t="inlineStr">
        <x:is>
          <x:t xml:space="preserve">Mới nhất</x:t>
        </x:is>
      </x:c>
      <x:c r="G103" s="24" t="inlineStr">
        <x:is>
          <x:t xml:space="preserve">DELIVERY-01</x:t>
        </x:is>
      </x:c>
      <x:c r="H103" s="24" t="inlineStr">
        <x:is>
          <x:t xml:space="preserve">Chỉ lưu repo (DELIVERY-01)</x:t>
        </x:is>
      </x:c>
      <x:c r="I103" s="24" t="inlineStr">
        <x:is>
          <x:t xml:space="preserve">/Users/j2866/Documents/anhthai/dich-vu-quanh-ban/docs/ke-hoach-trien-khai/bao-cao/B01-01-email-mat-khau.md</x:t>
        </x:is>
      </x:c>
      <x:c r="J103" s="24" t="inlineStr">
        <x:is>
          <x:t xml:space="preserve">DOC-089: 7 Markdown + snapshot README/AGENTS</x:t>
        </x:is>
      </x:c>
      <x:c r="K103" s="24" t="inlineStr">
        <x:is>
          <x:t xml:space="preserve">Theo chủ dự án: kế hoạch/checklist/báo cáo chỉ lưu Git; không có bước chờ upload Drive. Tiến độ hiện hành xem DOC-083 và báo cáo I18N-04. ZIP v1.0 là snapshot lịch sử.</x:t>
        </x:is>
      </x:c>
      <x:c r="L103" s="24" t="n"/>
    </x:row>
    <x:row r="104" ht="110" customHeight="1">
      <x:c r="A104" s="24" t="inlineStr">
        <x:is>
          <x:t xml:space="preserve">DOC-089</x:t>
        </x:is>
      </x:c>
      <x:c r="B104" s="24" t="inlineStr">
        <x:is>
          <x:t xml:space="preserve">Gói kế hoạch triển khai và báo cáo v1.0</x:t>
        </x:is>
      </x:c>
      <x:c r="C104" s="24" t="inlineStr">
        <x:is>
          <x:t xml:space="preserve">Kế hoạch và báo cáo triển khai</x:t>
        </x:is>
      </x:c>
      <x:c r="D104" s="24" t="inlineStr">
        <x:is>
          <x:t xml:space="preserve">v1.0</x:t>
        </x:is>
      </x:c>
      <x:c r="E104" s="24" t="inlineStr">
        <x:is>
          <x:t xml:space="preserve">Gói xuất</x:t>
        </x:is>
      </x:c>
      <x:c r="F104" s="24" t="inlineStr">
        <x:is>
          <x:t xml:space="preserve">Lưu trữ</x:t>
        </x:is>
      </x:c>
      <x:c r="G104" s="24" t="inlineStr">
        <x:is>
          <x:t xml:space="preserve">DELIVERY-01</x:t>
        </x:is>
      </x:c>
      <x:c r="H104" s="24" t="inlineStr">
        <x:is>
          <x:t xml:space="preserve">Chỉ lưu repo (DELIVERY-01)</x:t>
        </x:is>
      </x:c>
      <x:c r="I104" s="24" t="inlineStr">
        <x:is>
          <x:t xml:space="preserve">/Users/j2866/Documents/anhthai/dich-vu-quanh-ban/docs/ke-hoach-trien-khai/ke-hoach-trien-khai-v1.0.zip</x:t>
        </x:is>
      </x:c>
      <x:c r="J104" s="24" t="inlineStr">
        <x:is>
          <x:t xml:space="preserve">DOC-089: 7 Markdown + snapshot README/AGENTS</x:t>
        </x:is>
      </x:c>
      <x:c r="K104" s="24" t="inlineStr">
        <x:is>
          <x:t xml:space="preserve">Theo chủ dự án: kế hoạch/checklist/báo cáo chỉ lưu Git; không có bước chờ upload Drive. Tiến độ hiện hành xem DOC-083 và báo cáo I18N-04. ZIP v1.0 là snapshot lịch sử.</x:t>
        </x:is>
      </x:c>
      <x:c r="L104" s="24" t="n"/>
    </x:row>
  </x:sheetData>
  <x:conditionalFormatting sqref="F6:F1000">
    <x:cfRule type="containsText" dxfId="0" priority="1" operator="containsText" text="Cần đồng bộ"/>
    <x:cfRule type="containsText" dxfId="0" priority="2" operator="containsText" text="Cần rà soát"/>
    <x:cfRule type="containsText" dxfId="0" priority="3" operator="containsText" text="Chưa có"/>
  </x:conditionalFormatting>
  <x:dataValidations count="1">
    <x:dataValidation type="list" allowBlank="0" showDropDown="0" showInputMessage="0" showErrorMessage="0" sqref="F6:F1000">
      <x:formula1>"Mới nhất,Cần rà soát,Cần đồng bộ,Đề xuất,Bản chụp,Lưu trữ,Chưa có"</x:formula1>
    </x:dataValidation>
  </x:dataValidations>
  <x:hyperlinks>
    <x:hyperlink xmlns:r="http://schemas.openxmlformats.org/officeDocument/2006/relationships" ref="H6" r:id="Rbad7a2d3d3fc4e05"/>
    <x:hyperlink xmlns:r="http://schemas.openxmlformats.org/officeDocument/2006/relationships" ref="I6" r:id="R7f83a6c9fe534c9b"/>
    <x:hyperlink xmlns:r="http://schemas.openxmlformats.org/officeDocument/2006/relationships" ref="H7" r:id="R325215b6455b4c32"/>
    <x:hyperlink xmlns:r="http://schemas.openxmlformats.org/officeDocument/2006/relationships" ref="H8" r:id="Rcbbfcf399dc94ea2"/>
    <x:hyperlink xmlns:r="http://schemas.openxmlformats.org/officeDocument/2006/relationships" ref="H9" r:id="R00294078f6494832"/>
    <x:hyperlink xmlns:r="http://schemas.openxmlformats.org/officeDocument/2006/relationships" ref="H10" r:id="R4fc94a8058c74b0d"/>
    <x:hyperlink xmlns:r="http://schemas.openxmlformats.org/officeDocument/2006/relationships" ref="H11" r:id="Re741ed1defd0437c"/>
    <x:hyperlink xmlns:r="http://schemas.openxmlformats.org/officeDocument/2006/relationships" ref="H12" r:id="R7b7898df889c474f"/>
    <x:hyperlink xmlns:r="http://schemas.openxmlformats.org/officeDocument/2006/relationships" ref="H13" r:id="R46c53e6b3fdd42b1"/>
    <x:hyperlink xmlns:r="http://schemas.openxmlformats.org/officeDocument/2006/relationships" ref="I13" r:id="R0a9be4413d7740e6"/>
    <x:hyperlink xmlns:r="http://schemas.openxmlformats.org/officeDocument/2006/relationships" ref="H14" r:id="R8845653b24094e03"/>
    <x:hyperlink xmlns:r="http://schemas.openxmlformats.org/officeDocument/2006/relationships" ref="I14" r:id="R440a9872f0d64346"/>
    <x:hyperlink xmlns:r="http://schemas.openxmlformats.org/officeDocument/2006/relationships" ref="H15" r:id="Rd2ea68f899e14bbc"/>
    <x:hyperlink xmlns:r="http://schemas.openxmlformats.org/officeDocument/2006/relationships" ref="I15" r:id="R0cc28c0ceb914cda"/>
    <x:hyperlink xmlns:r="http://schemas.openxmlformats.org/officeDocument/2006/relationships" ref="H16" r:id="R6a99a4d8a5b447c0"/>
    <x:hyperlink xmlns:r="http://schemas.openxmlformats.org/officeDocument/2006/relationships" ref="I16" r:id="R899814475df849bf"/>
    <x:hyperlink xmlns:r="http://schemas.openxmlformats.org/officeDocument/2006/relationships" ref="H17" r:id="R3ab0bf926c81468b"/>
    <x:hyperlink xmlns:r="http://schemas.openxmlformats.org/officeDocument/2006/relationships" ref="I17" r:id="R9d322fec88db453a"/>
    <x:hyperlink xmlns:r="http://schemas.openxmlformats.org/officeDocument/2006/relationships" ref="H18" r:id="Rfc5162a04e72404b"/>
    <x:hyperlink xmlns:r="http://schemas.openxmlformats.org/officeDocument/2006/relationships" ref="I18" r:id="R9e6187c6289a49b7"/>
    <x:hyperlink xmlns:r="http://schemas.openxmlformats.org/officeDocument/2006/relationships" ref="H19" r:id="Re107d762f78c4823"/>
    <x:hyperlink xmlns:r="http://schemas.openxmlformats.org/officeDocument/2006/relationships" ref="I19" r:id="R599fb386ee494673"/>
    <x:hyperlink xmlns:r="http://schemas.openxmlformats.org/officeDocument/2006/relationships" ref="H20" r:id="R1a89dab9d4a84645"/>
    <x:hyperlink xmlns:r="http://schemas.openxmlformats.org/officeDocument/2006/relationships" ref="I20" r:id="R4008f0df7ef64752"/>
    <x:hyperlink xmlns:r="http://schemas.openxmlformats.org/officeDocument/2006/relationships" ref="H21" r:id="R926c1804c7b44546"/>
    <x:hyperlink xmlns:r="http://schemas.openxmlformats.org/officeDocument/2006/relationships" ref="I21" r:id="R2256ded0c796492f"/>
    <x:hyperlink xmlns:r="http://schemas.openxmlformats.org/officeDocument/2006/relationships" ref="H22" r:id="Ra89bf6dccf6548ac"/>
    <x:hyperlink xmlns:r="http://schemas.openxmlformats.org/officeDocument/2006/relationships" ref="I22" r:id="R7c6336be6f4b40a0"/>
    <x:hyperlink xmlns:r="http://schemas.openxmlformats.org/officeDocument/2006/relationships" ref="H23" r:id="R64cb6a4d65c54bd2"/>
    <x:hyperlink xmlns:r="http://schemas.openxmlformats.org/officeDocument/2006/relationships" ref="I23" r:id="R111949ac6c394d0d"/>
    <x:hyperlink xmlns:r="http://schemas.openxmlformats.org/officeDocument/2006/relationships" ref="H24" r:id="Re5e76b89bd154cf3"/>
    <x:hyperlink xmlns:r="http://schemas.openxmlformats.org/officeDocument/2006/relationships" ref="I24" r:id="R594c69360de2435a"/>
    <x:hyperlink xmlns:r="http://schemas.openxmlformats.org/officeDocument/2006/relationships" ref="I25" r:id="Rab0fbebc57d0499a"/>
    <x:hyperlink xmlns:r="http://schemas.openxmlformats.org/officeDocument/2006/relationships" ref="I26" r:id="Rdfe484449dcf4457"/>
    <x:hyperlink xmlns:r="http://schemas.openxmlformats.org/officeDocument/2006/relationships" ref="I27" r:id="R07c8dca85f984146"/>
    <x:hyperlink xmlns:r="http://schemas.openxmlformats.org/officeDocument/2006/relationships" ref="I28" r:id="Rffd6f20d08c1402f"/>
    <x:hyperlink xmlns:r="http://schemas.openxmlformats.org/officeDocument/2006/relationships" ref="I29" r:id="R3fa1a3ec74734511"/>
    <x:hyperlink xmlns:r="http://schemas.openxmlformats.org/officeDocument/2006/relationships" ref="I30" r:id="R12a6c5386a1b41ba"/>
    <x:hyperlink xmlns:r="http://schemas.openxmlformats.org/officeDocument/2006/relationships" ref="I31" r:id="Rd75196184cda4489"/>
    <x:hyperlink xmlns:r="http://schemas.openxmlformats.org/officeDocument/2006/relationships" ref="I32" r:id="Rb45e9c6665d84346"/>
    <x:hyperlink xmlns:r="http://schemas.openxmlformats.org/officeDocument/2006/relationships" ref="I33" r:id="Rd6893a8f2f11420e"/>
    <x:hyperlink xmlns:r="http://schemas.openxmlformats.org/officeDocument/2006/relationships" ref="I34" r:id="Rf21ef8c5ef344c68"/>
    <x:hyperlink xmlns:r="http://schemas.openxmlformats.org/officeDocument/2006/relationships" ref="I35" r:id="R3872b4c04505484c"/>
    <x:hyperlink xmlns:r="http://schemas.openxmlformats.org/officeDocument/2006/relationships" ref="I36" r:id="R006fbf7455a74dad"/>
    <x:hyperlink xmlns:r="http://schemas.openxmlformats.org/officeDocument/2006/relationships" ref="I37" r:id="R652865ac36974767"/>
    <x:hyperlink xmlns:r="http://schemas.openxmlformats.org/officeDocument/2006/relationships" ref="I38" r:id="R16b51ef494894a73"/>
    <x:hyperlink xmlns:r="http://schemas.openxmlformats.org/officeDocument/2006/relationships" ref="I39" r:id="Rceea11cfe35e4019"/>
    <x:hyperlink xmlns:r="http://schemas.openxmlformats.org/officeDocument/2006/relationships" ref="I40" r:id="R88861315655642b0"/>
    <x:hyperlink xmlns:r="http://schemas.openxmlformats.org/officeDocument/2006/relationships" ref="I41" r:id="R644338c946234066"/>
    <x:hyperlink xmlns:r="http://schemas.openxmlformats.org/officeDocument/2006/relationships" ref="I42" r:id="R573ad5bce6a34e63"/>
    <x:hyperlink xmlns:r="http://schemas.openxmlformats.org/officeDocument/2006/relationships" ref="H43" r:id="R17dc48d8da924a37"/>
    <x:hyperlink xmlns:r="http://schemas.openxmlformats.org/officeDocument/2006/relationships" ref="H44" r:id="Re87e58e6bc7f49cb"/>
    <x:hyperlink xmlns:r="http://schemas.openxmlformats.org/officeDocument/2006/relationships" ref="H45" r:id="R5f40d825c0634374"/>
    <x:hyperlink xmlns:r="http://schemas.openxmlformats.org/officeDocument/2006/relationships" ref="H50" r:id="R9942870422434496"/>
    <x:hyperlink xmlns:r="http://schemas.openxmlformats.org/officeDocument/2006/relationships" ref="I51" r:id="Rc34f74f0df7941ad"/>
    <x:hyperlink xmlns:r="http://schemas.openxmlformats.org/officeDocument/2006/relationships" ref="H52" r:id="Rb102fbc239c04860"/>
    <x:hyperlink xmlns:r="http://schemas.openxmlformats.org/officeDocument/2006/relationships" ref="H53" r:id="R3634959fb0d546ff"/>
    <x:hyperlink xmlns:r="http://schemas.openxmlformats.org/officeDocument/2006/relationships" ref="H54" r:id="R01a26ed0a81e486c"/>
    <x:hyperlink xmlns:r="http://schemas.openxmlformats.org/officeDocument/2006/relationships" ref="H55" r:id="Rde5304aa0be940d2"/>
    <x:hyperlink xmlns:r="http://schemas.openxmlformats.org/officeDocument/2006/relationships" ref="H56" r:id="Rac2d61c40d254898"/>
    <x:hyperlink xmlns:r="http://schemas.openxmlformats.org/officeDocument/2006/relationships" ref="H57" r:id="Reae7b0f81d6e4505"/>
    <x:hyperlink xmlns:r="http://schemas.openxmlformats.org/officeDocument/2006/relationships" ref="H58" r:id="R23e6c7dd569c4347"/>
    <x:hyperlink xmlns:r="http://schemas.openxmlformats.org/officeDocument/2006/relationships" ref="H59" r:id="Rd31b916a519a43f3"/>
    <x:hyperlink xmlns:r="http://schemas.openxmlformats.org/officeDocument/2006/relationships" ref="H60" r:id="Ra6382068b1a34749"/>
    <x:hyperlink xmlns:r="http://schemas.openxmlformats.org/officeDocument/2006/relationships" ref="H61" r:id="R2b50b64f761f4afa"/>
    <x:hyperlink xmlns:r="http://schemas.openxmlformats.org/officeDocument/2006/relationships" ref="H62" r:id="R28639fcfa9dd42b4"/>
    <x:hyperlink xmlns:r="http://schemas.openxmlformats.org/officeDocument/2006/relationships" ref="H63" r:id="Ra714eff8be4f4e33"/>
    <x:hyperlink xmlns:r="http://schemas.openxmlformats.org/officeDocument/2006/relationships" ref="H64" r:id="R94353ca5a8cc4c0c"/>
    <x:hyperlink xmlns:r="http://schemas.openxmlformats.org/officeDocument/2006/relationships" ref="H65" r:id="R5b6ea5c2c72d480b"/>
    <x:hyperlink xmlns:r="http://schemas.openxmlformats.org/officeDocument/2006/relationships" ref="H66" r:id="Rf941167b98ee4f40"/>
    <x:hyperlink xmlns:r="http://schemas.openxmlformats.org/officeDocument/2006/relationships" ref="H67" r:id="R5dda82b0c49f49af"/>
  </x:hyperlinks>
  <x:pageMargins left="0.7" right="0.7" top="0.75" bottom="0.75" header="0.3" footer="0.3"/>
  <x:tableParts count="1">
    <x:tablePart xmlns:r="http://schemas.openxmlformats.org/officeDocument/2006/relationships" r:id="Rf4f8baf4d61b412d"/>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baseColWidth="8" defaultRowHeight="15"/>
  <x:cols>
    <x:col min="1" max="1" width="16" customWidth="1"/>
    <x:col min="2" max="2" width="37" customWidth="1"/>
    <x:col min="3" max="3" width="16" customWidth="1"/>
    <x:col min="4" max="4" width="65" customWidth="1"/>
    <x:col min="5" max="5" width="30" customWidth="1"/>
    <x:col min="6" max="6" width="55" customWidth="1"/>
  </x:cols>
  <x:sheetData>
    <x:row r="1">
      <x:c r="A1" s="1" t="n"/>
      <x:c r="B1" s="1" t="n"/>
      <x:c r="C1" s="1" t="n"/>
      <x:c r="D1" s="1" t="n"/>
      <x:c r="E1" s="1" t="n"/>
      <x:c r="F1" s="1" t="n"/>
    </x:row>
    <x:row r="2">
      <x:c r="A2" s="2" t="inlineStr">
        <x:is>
          <x:t xml:space="preserve">Chức năng và tài liệu liên quan</x:t>
        </x:is>
      </x:c>
      <x:c r="B2" s="1" t="n"/>
      <x:c r="C2" s="1" t="n"/>
      <x:c r="D2" s="1" t="n"/>
      <x:c r="E2" s="1" t="n"/>
      <x:c r="F2" s="1" t="n"/>
    </x:row>
    <x:row r="3">
      <x:c r="A3" s="3" t="inlineStr">
        <x:is>
          <x:t xml:space="preserve">Lọc Mã chức năng. Mỗi dòng là một tài liệu phải rà soát khi chức năng thay đổi.</x:t>
        </x:is>
      </x:c>
      <x:c r="B3" s="1" t="n"/>
      <x:c r="C3" s="1" t="n"/>
      <x:c r="D3" s="1" t="n"/>
      <x:c r="E3" s="1" t="n"/>
      <x:c r="F3" s="1" t="n"/>
    </x:row>
    <x:row r="4">
      <x:c r="A4" s="1" t="n"/>
      <x:c r="B4" s="1" t="n"/>
      <x:c r="C4" s="1" t="n"/>
      <x:c r="D4" s="1" t="n"/>
      <x:c r="E4" s="1" t="n"/>
      <x:c r="F4" s="1" t="n"/>
    </x:row>
    <x:row r="5" ht="34" customHeight="1">
      <x:c r="A5" s="6" t="inlineStr">
        <x:is>
          <x:t xml:space="preserve">Mã chức năng</x:t>
        </x:is>
      </x:c>
      <x:c r="B5" s="6" t="inlineStr">
        <x:is>
          <x:t xml:space="preserve">Chức năng</x:t>
        </x:is>
      </x:c>
      <x:c r="C5" s="6" t="inlineStr">
        <x:is>
          <x:t xml:space="preserve">Mã tài liệu</x:t>
        </x:is>
      </x:c>
      <x:c r="D5" s="6" t="inlineStr">
        <x:is>
          <x:t xml:space="preserve">Phạm vi nghiệp vụ</x:t>
        </x:is>
      </x:c>
      <x:c r="E5" s="6" t="inlineStr">
        <x:is>
          <x:t xml:space="preserve">Khi nào xử lý</x:t>
        </x:is>
      </x:c>
      <x:c r="F5" s="6" t="inlineStr">
        <x:is>
          <x:t xml:space="preserve">Cách đồng bộ</x:t>
        </x:is>
      </x:c>
    </x:row>
    <x:row r="6" ht="38" customHeight="1">
      <x:c r="A6" s="8" t="inlineStr">
        <x:is>
          <x:t xml:space="preserve">F01</x:t>
        </x:is>
      </x:c>
      <x:c r="B6" s="8" t="inlineStr">
        <x:is>
          <x:t xml:space="preserve">Tài khoản / đăng nhập</x:t>
        </x:is>
      </x:c>
      <x:c r="C6" s="8" t="inlineStr">
        <x:is>
          <x:t xml:space="preserve">DOC-004</x:t>
        </x:is>
      </x:c>
      <x:c r="D6" s="8" t="inlineStr">
        <x:is>
          <x:t xml:space="preserve">Điện thoại, email, phiên, khôi phục, quyền riêng tư</x:t>
        </x:is>
      </x:c>
      <x:c r="E6" s="8" t="inlineStr">
        <x:is>
          <x:t xml:space="preserve">Rà soát khi chức năng đổi</x:t>
        </x:is>
      </x:c>
      <x:c r="F6" s="8" t="inlineStr">
        <x:is>
          <x:t xml:space="preserve">Sửa nguồn; tái tạo bản xuất; đọc lại và ghi bằng chứng</x:t>
        </x:is>
      </x:c>
    </x:row>
    <x:row r="7" ht="38" customHeight="1">
      <x:c r="A7" s="8" t="inlineStr">
        <x:is>
          <x:t xml:space="preserve">F01</x:t>
        </x:is>
      </x:c>
      <x:c r="B7" s="8" t="inlineStr">
        <x:is>
          <x:t xml:space="preserve">Tài khoản / đăng nhập</x:t>
        </x:is>
      </x:c>
      <x:c r="C7" s="8" t="inlineStr">
        <x:is>
          <x:t xml:space="preserve">DOC-005</x:t>
        </x:is>
      </x:c>
      <x:c r="D7" s="8" t="inlineStr">
        <x:is>
          <x:t xml:space="preserve">Điện thoại, email, phiên, khôi phục, quyền riêng tư</x:t>
        </x:is>
      </x:c>
      <x:c r="E7" s="8" t="inlineStr">
        <x:is>
          <x:t xml:space="preserve">Rà soát khi chức năng đổi</x:t>
        </x:is>
      </x:c>
      <x:c r="F7" s="8" t="inlineStr">
        <x:is>
          <x:t xml:space="preserve">Sửa nguồn; tái tạo bản xuất; đọc lại và ghi bằng chứng</x:t>
        </x:is>
      </x:c>
    </x:row>
    <x:row r="8" ht="38" customHeight="1">
      <x:c r="A8" s="8" t="inlineStr">
        <x:is>
          <x:t xml:space="preserve">F01</x:t>
        </x:is>
      </x:c>
      <x:c r="B8" s="8" t="inlineStr">
        <x:is>
          <x:t xml:space="preserve">Tài khoản / đăng nhập</x:t>
        </x:is>
      </x:c>
      <x:c r="C8" s="8" t="inlineStr">
        <x:is>
          <x:t xml:space="preserve">DOC-006</x:t>
        </x:is>
      </x:c>
      <x:c r="D8" s="8" t="inlineStr">
        <x:is>
          <x:t xml:space="preserve">Điện thoại, email, phiên, khôi phục, quyền riêng tư</x:t>
        </x:is>
      </x:c>
      <x:c r="E8" s="8" t="inlineStr">
        <x:is>
          <x:t xml:space="preserve">Rà soát khi chức năng đổi</x:t>
        </x:is>
      </x:c>
      <x:c r="F8" s="8" t="inlineStr">
        <x:is>
          <x:t xml:space="preserve">Sửa nguồn; tái tạo bản xuất; đọc lại và ghi bằng chứng</x:t>
        </x:is>
      </x:c>
    </x:row>
    <x:row r="9" ht="38" customHeight="1">
      <x:c r="A9" s="8" t="inlineStr">
        <x:is>
          <x:t xml:space="preserve">F01</x:t>
        </x:is>
      </x:c>
      <x:c r="B9" s="8" t="inlineStr">
        <x:is>
          <x:t xml:space="preserve">Tài khoản / đăng nhập</x:t>
        </x:is>
      </x:c>
      <x:c r="C9" s="8" t="inlineStr">
        <x:is>
          <x:t xml:space="preserve">DOC-007</x:t>
        </x:is>
      </x:c>
      <x:c r="D9" s="8" t="inlineStr">
        <x:is>
          <x:t xml:space="preserve">Điện thoại, email, phiên, khôi phục, quyền riêng tư</x:t>
        </x:is>
      </x:c>
      <x:c r="E9" s="8" t="inlineStr">
        <x:is>
          <x:t xml:space="preserve">Rà soát khi chức năng đổi</x:t>
        </x:is>
      </x:c>
      <x:c r="F9" s="8" t="inlineStr">
        <x:is>
          <x:t xml:space="preserve">Sửa nguồn; tái tạo bản xuất; đọc lại và ghi bằng chứng</x:t>
        </x:is>
      </x:c>
    </x:row>
    <x:row r="10" ht="38" customHeight="1">
      <x:c r="A10" s="8" t="inlineStr">
        <x:is>
          <x:t xml:space="preserve">F01</x:t>
        </x:is>
      </x:c>
      <x:c r="B10" s="8" t="inlineStr">
        <x:is>
          <x:t xml:space="preserve">Tài khoản / đăng nhập</x:t>
        </x:is>
      </x:c>
      <x:c r="C10" s="8" t="inlineStr">
        <x:is>
          <x:t xml:space="preserve">DOC-008</x:t>
        </x:is>
      </x:c>
      <x:c r="D10" s="8" t="inlineStr">
        <x:is>
          <x:t xml:space="preserve">Điện thoại, email, phiên, khôi phục, quyền riêng tư</x:t>
        </x:is>
      </x:c>
      <x:c r="E10" s="8" t="inlineStr">
        <x:is>
          <x:t xml:space="preserve">Rà soát khi chức năng đổi</x:t>
        </x:is>
      </x:c>
      <x:c r="F10" s="8" t="inlineStr">
        <x:is>
          <x:t xml:space="preserve">Sửa nguồn; tái tạo bản xuất; đọc lại và ghi bằng chứng</x:t>
        </x:is>
      </x:c>
    </x:row>
    <x:row r="11" ht="38" customHeight="1">
      <x:c r="A11" s="8" t="inlineStr">
        <x:is>
          <x:t xml:space="preserve">F01</x:t>
        </x:is>
      </x:c>
      <x:c r="B11" s="8" t="inlineStr">
        <x:is>
          <x:t xml:space="preserve">Tài khoản / đăng nhập</x:t>
        </x:is>
      </x:c>
      <x:c r="C11" s="8" t="inlineStr">
        <x:is>
          <x:t xml:space="preserve">DOC-012</x:t>
        </x:is>
      </x:c>
      <x:c r="D11" s="8" t="inlineStr">
        <x:is>
          <x:t xml:space="preserve">Điện thoại, email, phiên, khôi phục, quyền riêng tư</x:t>
        </x:is>
      </x:c>
      <x:c r="E11" s="8" t="inlineStr">
        <x:is>
          <x:t xml:space="preserve">Rà soát khi chức năng đổi</x:t>
        </x:is>
      </x:c>
      <x:c r="F11" s="8" t="inlineStr">
        <x:is>
          <x:t xml:space="preserve">Sửa nguồn; tái tạo bản xuất; đọc lại và ghi bằng chứng</x:t>
        </x:is>
      </x:c>
    </x:row>
    <x:row r="12" ht="38" customHeight="1">
      <x:c r="A12" s="8" t="inlineStr">
        <x:is>
          <x:t xml:space="preserve">F01</x:t>
        </x:is>
      </x:c>
      <x:c r="B12" s="8" t="inlineStr">
        <x:is>
          <x:t xml:space="preserve">Tài khoản / đăng nhập</x:t>
        </x:is>
      </x:c>
      <x:c r="C12" s="8" t="inlineStr">
        <x:is>
          <x:t xml:space="preserve">DOC-013</x:t>
        </x:is>
      </x:c>
      <x:c r="D12" s="8" t="inlineStr">
        <x:is>
          <x:t xml:space="preserve">Điện thoại, email, phiên, khôi phục, quyền riêng tư</x:t>
        </x:is>
      </x:c>
      <x:c r="E12" s="8" t="inlineStr">
        <x:is>
          <x:t xml:space="preserve">Rà soát khi chức năng đổi</x:t>
        </x:is>
      </x:c>
      <x:c r="F12" s="8" t="inlineStr">
        <x:is>
          <x:t xml:space="preserve">Sửa nguồn; tái tạo bản xuất; đọc lại và ghi bằng chứng</x:t>
        </x:is>
      </x:c>
    </x:row>
    <x:row r="13" ht="38" customHeight="1">
      <x:c r="A13" s="8" t="inlineStr">
        <x:is>
          <x:t xml:space="preserve">F01</x:t>
        </x:is>
      </x:c>
      <x:c r="B13" s="8" t="inlineStr">
        <x:is>
          <x:t xml:space="preserve">Tài khoản / đăng nhập</x:t>
        </x:is>
      </x:c>
      <x:c r="C13" s="8" t="inlineStr">
        <x:is>
          <x:t xml:space="preserve">DOC-015</x:t>
        </x:is>
      </x:c>
      <x:c r="D13" s="8" t="inlineStr">
        <x:is>
          <x:t xml:space="preserve">Điện thoại, email, phiên, khôi phục, quyền riêng tư</x:t>
        </x:is>
      </x:c>
      <x:c r="E13" s="8" t="inlineStr">
        <x:is>
          <x:t xml:space="preserve">Rà soát khi chức năng đổi</x:t>
        </x:is>
      </x:c>
      <x:c r="F13" s="8" t="inlineStr">
        <x:is>
          <x:t xml:space="preserve">Sửa nguồn; tái tạo bản xuất; đọc lại và ghi bằng chứng</x:t>
        </x:is>
      </x:c>
    </x:row>
    <x:row r="14" ht="38" customHeight="1">
      <x:c r="A14" s="8" t="inlineStr">
        <x:is>
          <x:t xml:space="preserve">F01</x:t>
        </x:is>
      </x:c>
      <x:c r="B14" s="8" t="inlineStr">
        <x:is>
          <x:t xml:space="preserve">Tài khoản / đăng nhập</x:t>
        </x:is>
      </x:c>
      <x:c r="C14" s="8" t="inlineStr">
        <x:is>
          <x:t xml:space="preserve">DOC-016</x:t>
        </x:is>
      </x:c>
      <x:c r="D14" s="8" t="inlineStr">
        <x:is>
          <x:t xml:space="preserve">Điện thoại, email, phiên, khôi phục, quyền riêng tư</x:t>
        </x:is>
      </x:c>
      <x:c r="E14" s="8" t="inlineStr">
        <x:is>
          <x:t xml:space="preserve">Rà soát khi chức năng đổi</x:t>
        </x:is>
      </x:c>
      <x:c r="F14" s="8" t="inlineStr">
        <x:is>
          <x:t xml:space="preserve">Sửa nguồn; tái tạo bản xuất; đọc lại và ghi bằng chứng</x:t>
        </x:is>
      </x:c>
    </x:row>
    <x:row r="15" ht="38" customHeight="1">
      <x:c r="A15" s="8" t="inlineStr">
        <x:is>
          <x:t xml:space="preserve">F01</x:t>
        </x:is>
      </x:c>
      <x:c r="B15" s="8" t="inlineStr">
        <x:is>
          <x:t xml:space="preserve">Tài khoản / đăng nhập</x:t>
        </x:is>
      </x:c>
      <x:c r="C15" s="8" t="inlineStr">
        <x:is>
          <x:t xml:space="preserve">DOC-017</x:t>
        </x:is>
      </x:c>
      <x:c r="D15" s="8" t="inlineStr">
        <x:is>
          <x:t xml:space="preserve">Điện thoại, email, phiên, khôi phục, quyền riêng tư</x:t>
        </x:is>
      </x:c>
      <x:c r="E15" s="8" t="inlineStr">
        <x:is>
          <x:t xml:space="preserve">Rà soát khi chức năng đổi</x:t>
        </x:is>
      </x:c>
      <x:c r="F15" s="8" t="inlineStr">
        <x:is>
          <x:t xml:space="preserve">Sửa nguồn; tái tạo bản xuất; đọc lại và ghi bằng chứng</x:t>
        </x:is>
      </x:c>
    </x:row>
    <x:row r="16" ht="38" customHeight="1">
      <x:c r="A16" s="8" t="inlineStr">
        <x:is>
          <x:t xml:space="preserve">F01</x:t>
        </x:is>
      </x:c>
      <x:c r="B16" s="8" t="inlineStr">
        <x:is>
          <x:t xml:space="preserve">Tài khoản / đăng nhập</x:t>
        </x:is>
      </x:c>
      <x:c r="C16" s="8" t="inlineStr">
        <x:is>
          <x:t xml:space="preserve">DOC-018</x:t>
        </x:is>
      </x:c>
      <x:c r="D16" s="8" t="inlineStr">
        <x:is>
          <x:t xml:space="preserve">Điện thoại, email, phiên, khôi phục, quyền riêng tư</x:t>
        </x:is>
      </x:c>
      <x:c r="E16" s="8" t="inlineStr">
        <x:is>
          <x:t xml:space="preserve">Rà soát khi chức năng đổi</x:t>
        </x:is>
      </x:c>
      <x:c r="F16" s="8" t="inlineStr">
        <x:is>
          <x:t xml:space="preserve">Sửa nguồn; tái tạo bản xuất; đọc lại và ghi bằng chứng</x:t>
        </x:is>
      </x:c>
    </x:row>
    <x:row r="17" ht="38" customHeight="1">
      <x:c r="A17" s="8" t="inlineStr">
        <x:is>
          <x:t xml:space="preserve">F01</x:t>
        </x:is>
      </x:c>
      <x:c r="B17" s="8" t="inlineStr">
        <x:is>
          <x:t xml:space="preserve">Tài khoản / đăng nhập</x:t>
        </x:is>
      </x:c>
      <x:c r="C17" s="8" t="inlineStr">
        <x:is>
          <x:t xml:space="preserve">DOC-025</x:t>
        </x:is>
      </x:c>
      <x:c r="D17" s="8" t="inlineStr">
        <x:is>
          <x:t xml:space="preserve">Điện thoại, email, phiên, khôi phục, quyền riêng tư</x:t>
        </x:is>
      </x:c>
      <x:c r="E17" s="8" t="inlineStr">
        <x:is>
          <x:t xml:space="preserve">Rà soát khi chức năng đổi</x:t>
        </x:is>
      </x:c>
      <x:c r="F17" s="8" t="inlineStr">
        <x:is>
          <x:t xml:space="preserve">Sửa nguồn; tái tạo bản xuất; đọc lại và ghi bằng chứng</x:t>
        </x:is>
      </x:c>
    </x:row>
    <x:row r="18" ht="38" customHeight="1">
      <x:c r="A18" s="8" t="inlineStr">
        <x:is>
          <x:t xml:space="preserve">F01</x:t>
        </x:is>
      </x:c>
      <x:c r="B18" s="8" t="inlineStr">
        <x:is>
          <x:t xml:space="preserve">Tài khoản / đăng nhập</x:t>
        </x:is>
      </x:c>
      <x:c r="C18" s="8" t="inlineStr">
        <x:is>
          <x:t xml:space="preserve">DOC-026</x:t>
        </x:is>
      </x:c>
      <x:c r="D18" s="8" t="inlineStr">
        <x:is>
          <x:t xml:space="preserve">Điện thoại, email, phiên, khôi phục, quyền riêng tư</x:t>
        </x:is>
      </x:c>
      <x:c r="E18" s="8" t="inlineStr">
        <x:is>
          <x:t xml:space="preserve">Rà soát khi chức năng đổi</x:t>
        </x:is>
      </x:c>
      <x:c r="F18" s="8" t="inlineStr">
        <x:is>
          <x:t xml:space="preserve">Sửa nguồn; tái tạo bản xuất; đọc lại và ghi bằng chứng</x:t>
        </x:is>
      </x:c>
    </x:row>
    <x:row r="19" ht="38" customHeight="1">
      <x:c r="A19" s="8" t="inlineStr">
        <x:is>
          <x:t xml:space="preserve">F01</x:t>
        </x:is>
      </x:c>
      <x:c r="B19" s="8" t="inlineStr">
        <x:is>
          <x:t xml:space="preserve">Tài khoản / đăng nhập</x:t>
        </x:is>
      </x:c>
      <x:c r="C19" s="8" t="inlineStr">
        <x:is>
          <x:t xml:space="preserve">DOC-027</x:t>
        </x:is>
      </x:c>
      <x:c r="D19" s="8" t="inlineStr">
        <x:is>
          <x:t xml:space="preserve">Điện thoại, email, phiên, khôi phục, quyền riêng tư</x:t>
        </x:is>
      </x:c>
      <x:c r="E19" s="8" t="inlineStr">
        <x:is>
          <x:t xml:space="preserve">Rà soát khi chức năng đổi</x:t>
        </x:is>
      </x:c>
      <x:c r="F19" s="8" t="inlineStr">
        <x:is>
          <x:t xml:space="preserve">Sửa nguồn; tái tạo bản xuất; đọc lại và ghi bằng chứng</x:t>
        </x:is>
      </x:c>
    </x:row>
    <x:row r="20" ht="38" customHeight="1">
      <x:c r="A20" s="8" t="inlineStr">
        <x:is>
          <x:t xml:space="preserve">F01</x:t>
        </x:is>
      </x:c>
      <x:c r="B20" s="8" t="inlineStr">
        <x:is>
          <x:t xml:space="preserve">Tài khoản / đăng nhập</x:t>
        </x:is>
      </x:c>
      <x:c r="C20" s="8" t="inlineStr">
        <x:is>
          <x:t xml:space="preserve">DOC-028</x:t>
        </x:is>
      </x:c>
      <x:c r="D20" s="8" t="inlineStr">
        <x:is>
          <x:t xml:space="preserve">Điện thoại, email, phiên, khôi phục, quyền riêng tư</x:t>
        </x:is>
      </x:c>
      <x:c r="E20" s="8" t="inlineStr">
        <x:is>
          <x:t xml:space="preserve">Rà soát khi chức năng đổi</x:t>
        </x:is>
      </x:c>
      <x:c r="F20" s="8" t="inlineStr">
        <x:is>
          <x:t xml:space="preserve">Sửa nguồn; tái tạo bản xuất; đọc lại và ghi bằng chứng</x:t>
        </x:is>
      </x:c>
    </x:row>
    <x:row r="21" ht="38" customHeight="1">
      <x:c r="A21" s="8" t="inlineStr">
        <x:is>
          <x:t xml:space="preserve">F01</x:t>
        </x:is>
      </x:c>
      <x:c r="B21" s="8" t="inlineStr">
        <x:is>
          <x:t xml:space="preserve">Tài khoản / đăng nhập</x:t>
        </x:is>
      </x:c>
      <x:c r="C21" s="8" t="inlineStr">
        <x:is>
          <x:t xml:space="preserve">DOC-029</x:t>
        </x:is>
      </x:c>
      <x:c r="D21" s="8" t="inlineStr">
        <x:is>
          <x:t xml:space="preserve">Điện thoại, email, phiên, khôi phục, quyền riêng tư</x:t>
        </x:is>
      </x:c>
      <x:c r="E21" s="8" t="inlineStr">
        <x:is>
          <x:t xml:space="preserve">Rà soát khi chức năng đổi</x:t>
        </x:is>
      </x:c>
      <x:c r="F21" s="8" t="inlineStr">
        <x:is>
          <x:t xml:space="preserve">Sửa nguồn; tái tạo bản xuất; đọc lại và ghi bằng chứng</x:t>
        </x:is>
      </x:c>
    </x:row>
    <x:row r="22" ht="38" customHeight="1">
      <x:c r="A22" s="8" t="inlineStr">
        <x:is>
          <x:t xml:space="preserve">F01</x:t>
        </x:is>
      </x:c>
      <x:c r="B22" s="8" t="inlineStr">
        <x:is>
          <x:t xml:space="preserve">Tài khoản / đăng nhập</x:t>
        </x:is>
      </x:c>
      <x:c r="C22" s="8" t="inlineStr">
        <x:is>
          <x:t xml:space="preserve">DOC-030</x:t>
        </x:is>
      </x:c>
      <x:c r="D22" s="8" t="inlineStr">
        <x:is>
          <x:t xml:space="preserve">Điện thoại, email, phiên, khôi phục, quyền riêng tư</x:t>
        </x:is>
      </x:c>
      <x:c r="E22" s="8" t="inlineStr">
        <x:is>
          <x:t xml:space="preserve">Rà soát khi chức năng đổi</x:t>
        </x:is>
      </x:c>
      <x:c r="F22" s="8" t="inlineStr">
        <x:is>
          <x:t xml:space="preserve">Sửa nguồn; tái tạo bản xuất; đọc lại và ghi bằng chứng</x:t>
        </x:is>
      </x:c>
    </x:row>
    <x:row r="23" ht="38" customHeight="1">
      <x:c r="A23" s="8" t="inlineStr">
        <x:is>
          <x:t xml:space="preserve">F01</x:t>
        </x:is>
      </x:c>
      <x:c r="B23" s="8" t="inlineStr">
        <x:is>
          <x:t xml:space="preserve">Tài khoản / đăng nhập</x:t>
        </x:is>
      </x:c>
      <x:c r="C23" s="8" t="inlineStr">
        <x:is>
          <x:t xml:space="preserve">DOC-031</x:t>
        </x:is>
      </x:c>
      <x:c r="D23" s="8" t="inlineStr">
        <x:is>
          <x:t xml:space="preserve">Điện thoại, email, phiên, khôi phục, quyền riêng tư</x:t>
        </x:is>
      </x:c>
      <x:c r="E23" s="8" t="inlineStr">
        <x:is>
          <x:t xml:space="preserve">Rà soát khi chức năng đổi</x:t>
        </x:is>
      </x:c>
      <x:c r="F23" s="8" t="inlineStr">
        <x:is>
          <x:t xml:space="preserve">Sửa nguồn; tái tạo bản xuất; đọc lại và ghi bằng chứng</x:t>
        </x:is>
      </x:c>
    </x:row>
    <x:row r="24" ht="38" customHeight="1">
      <x:c r="A24" s="8" t="inlineStr">
        <x:is>
          <x:t xml:space="preserve">F01</x:t>
        </x:is>
      </x:c>
      <x:c r="B24" s="8" t="inlineStr">
        <x:is>
          <x:t xml:space="preserve">Tài khoản / đăng nhập</x:t>
        </x:is>
      </x:c>
      <x:c r="C24" s="8" t="inlineStr">
        <x:is>
          <x:t xml:space="preserve">DOC-033</x:t>
        </x:is>
      </x:c>
      <x:c r="D24" s="8" t="inlineStr">
        <x:is>
          <x:t xml:space="preserve">Điện thoại, email, phiên, khôi phục, quyền riêng tư</x:t>
        </x:is>
      </x:c>
      <x:c r="E24" s="8" t="inlineStr">
        <x:is>
          <x:t xml:space="preserve">Rà soát khi chức năng đổi</x:t>
        </x:is>
      </x:c>
      <x:c r="F24" s="8" t="inlineStr">
        <x:is>
          <x:t xml:space="preserve">Sửa nguồn; tái tạo bản xuất; đọc lại và ghi bằng chứng</x:t>
        </x:is>
      </x:c>
    </x:row>
    <x:row r="25" ht="38" customHeight="1">
      <x:c r="A25" s="8" t="inlineStr">
        <x:is>
          <x:t xml:space="preserve">F02</x:t>
        </x:is>
      </x:c>
      <x:c r="B25" s="8" t="inlineStr">
        <x:is>
          <x:t xml:space="preserve">Danh mục / kỹ năng đa ngành</x:t>
        </x:is>
      </x:c>
      <x:c r="C25" s="8" t="inlineStr">
        <x:is>
          <x:t xml:space="preserve">DOC-004</x:t>
        </x:is>
      </x:c>
      <x:c r="D25" s="8" t="inlineStr">
        <x:is>
          <x:t xml:space="preserve">Ngành và kỹ năng cấu hình, ẩn kỹ năng cũ</x:t>
        </x:is>
      </x:c>
      <x:c r="E25" s="8" t="inlineStr">
        <x:is>
          <x:t xml:space="preserve">Rà soát khi chức năng đổi</x:t>
        </x:is>
      </x:c>
      <x:c r="F25" s="8" t="inlineStr">
        <x:is>
          <x:t xml:space="preserve">Sửa nguồn; tái tạo bản xuất; đọc lại và ghi bằng chứng</x:t>
        </x:is>
      </x:c>
    </x:row>
    <x:row r="26" ht="38" customHeight="1">
      <x:c r="A26" s="8" t="inlineStr">
        <x:is>
          <x:t xml:space="preserve">F02</x:t>
        </x:is>
      </x:c>
      <x:c r="B26" s="8" t="inlineStr">
        <x:is>
          <x:t xml:space="preserve">Danh mục / kỹ năng đa ngành</x:t>
        </x:is>
      </x:c>
      <x:c r="C26" s="8" t="inlineStr">
        <x:is>
          <x:t xml:space="preserve">DOC-005</x:t>
        </x:is>
      </x:c>
      <x:c r="D26" s="8" t="inlineStr">
        <x:is>
          <x:t xml:space="preserve">Ngành và kỹ năng cấu hình, ẩn kỹ năng cũ</x:t>
        </x:is>
      </x:c>
      <x:c r="E26" s="8" t="inlineStr">
        <x:is>
          <x:t xml:space="preserve">Rà soát khi chức năng đổi</x:t>
        </x:is>
      </x:c>
      <x:c r="F26" s="8" t="inlineStr">
        <x:is>
          <x:t xml:space="preserve">Sửa nguồn; tái tạo bản xuất; đọc lại và ghi bằng chứng</x:t>
        </x:is>
      </x:c>
    </x:row>
    <x:row r="27" ht="38" customHeight="1">
      <x:c r="A27" s="8" t="inlineStr">
        <x:is>
          <x:t xml:space="preserve">F02</x:t>
        </x:is>
      </x:c>
      <x:c r="B27" s="8" t="inlineStr">
        <x:is>
          <x:t xml:space="preserve">Danh mục / kỹ năng đa ngành</x:t>
        </x:is>
      </x:c>
      <x:c r="C27" s="8" t="inlineStr">
        <x:is>
          <x:t xml:space="preserve">DOC-006</x:t>
        </x:is>
      </x:c>
      <x:c r="D27" s="8" t="inlineStr">
        <x:is>
          <x:t xml:space="preserve">Ngành và kỹ năng cấu hình, ẩn kỹ năng cũ</x:t>
        </x:is>
      </x:c>
      <x:c r="E27" s="8" t="inlineStr">
        <x:is>
          <x:t xml:space="preserve">Rà soát khi chức năng đổi</x:t>
        </x:is>
      </x:c>
      <x:c r="F27" s="8" t="inlineStr">
        <x:is>
          <x:t xml:space="preserve">Sửa nguồn; tái tạo bản xuất; đọc lại và ghi bằng chứng</x:t>
        </x:is>
      </x:c>
    </x:row>
    <x:row r="28" ht="38" customHeight="1">
      <x:c r="A28" s="8" t="inlineStr">
        <x:is>
          <x:t xml:space="preserve">F02</x:t>
        </x:is>
      </x:c>
      <x:c r="B28" s="8" t="inlineStr">
        <x:is>
          <x:t xml:space="preserve">Danh mục / kỹ năng đa ngành</x:t>
        </x:is>
      </x:c>
      <x:c r="C28" s="8" t="inlineStr">
        <x:is>
          <x:t xml:space="preserve">DOC-007</x:t>
        </x:is>
      </x:c>
      <x:c r="D28" s="8" t="inlineStr">
        <x:is>
          <x:t xml:space="preserve">Ngành và kỹ năng cấu hình, ẩn kỹ năng cũ</x:t>
        </x:is>
      </x:c>
      <x:c r="E28" s="8" t="inlineStr">
        <x:is>
          <x:t xml:space="preserve">Rà soát khi chức năng đổi</x:t>
        </x:is>
      </x:c>
      <x:c r="F28" s="8" t="inlineStr">
        <x:is>
          <x:t xml:space="preserve">Sửa nguồn; tái tạo bản xuất; đọc lại và ghi bằng chứng</x:t>
        </x:is>
      </x:c>
    </x:row>
    <x:row r="29" ht="38" customHeight="1">
      <x:c r="A29" s="8" t="inlineStr">
        <x:is>
          <x:t xml:space="preserve">F02</x:t>
        </x:is>
      </x:c>
      <x:c r="B29" s="8" t="inlineStr">
        <x:is>
          <x:t xml:space="preserve">Danh mục / kỹ năng đa ngành</x:t>
        </x:is>
      </x:c>
      <x:c r="C29" s="8" t="inlineStr">
        <x:is>
          <x:t xml:space="preserve">DOC-008</x:t>
        </x:is>
      </x:c>
      <x:c r="D29" s="8" t="inlineStr">
        <x:is>
          <x:t xml:space="preserve">Ngành và kỹ năng cấu hình, ẩn kỹ năng cũ</x:t>
        </x:is>
      </x:c>
      <x:c r="E29" s="8" t="inlineStr">
        <x:is>
          <x:t xml:space="preserve">Rà soát khi chức năng đổi</x:t>
        </x:is>
      </x:c>
      <x:c r="F29" s="8" t="inlineStr">
        <x:is>
          <x:t xml:space="preserve">Sửa nguồn; tái tạo bản xuất; đọc lại và ghi bằng chứng</x:t>
        </x:is>
      </x:c>
    </x:row>
    <x:row r="30" ht="38" customHeight="1">
      <x:c r="A30" s="8" t="inlineStr">
        <x:is>
          <x:t xml:space="preserve">F02</x:t>
        </x:is>
      </x:c>
      <x:c r="B30" s="8" t="inlineStr">
        <x:is>
          <x:t xml:space="preserve">Danh mục / kỹ năng đa ngành</x:t>
        </x:is>
      </x:c>
      <x:c r="C30" s="8" t="inlineStr">
        <x:is>
          <x:t xml:space="preserve">DOC-012</x:t>
        </x:is>
      </x:c>
      <x:c r="D30" s="8" t="inlineStr">
        <x:is>
          <x:t xml:space="preserve">Ngành và kỹ năng cấu hình, ẩn kỹ năng cũ</x:t>
        </x:is>
      </x:c>
      <x:c r="E30" s="8" t="inlineStr">
        <x:is>
          <x:t xml:space="preserve">Rà soát khi chức năng đổi</x:t>
        </x:is>
      </x:c>
      <x:c r="F30" s="8" t="inlineStr">
        <x:is>
          <x:t xml:space="preserve">Sửa nguồn; tái tạo bản xuất; đọc lại và ghi bằng chứng</x:t>
        </x:is>
      </x:c>
    </x:row>
    <x:row r="31" ht="38" customHeight="1">
      <x:c r="A31" s="8" t="inlineStr">
        <x:is>
          <x:t xml:space="preserve">F02</x:t>
        </x:is>
      </x:c>
      <x:c r="B31" s="8" t="inlineStr">
        <x:is>
          <x:t xml:space="preserve">Danh mục / kỹ năng đa ngành</x:t>
        </x:is>
      </x:c>
      <x:c r="C31" s="8" t="inlineStr">
        <x:is>
          <x:t xml:space="preserve">DOC-013</x:t>
        </x:is>
      </x:c>
      <x:c r="D31" s="8" t="inlineStr">
        <x:is>
          <x:t xml:space="preserve">Ngành và kỹ năng cấu hình, ẩn kỹ năng cũ</x:t>
        </x:is>
      </x:c>
      <x:c r="E31" s="8" t="inlineStr">
        <x:is>
          <x:t xml:space="preserve">Rà soát khi chức năng đổi</x:t>
        </x:is>
      </x:c>
      <x:c r="F31" s="8" t="inlineStr">
        <x:is>
          <x:t xml:space="preserve">Sửa nguồn; tái tạo bản xuất; đọc lại và ghi bằng chứng</x:t>
        </x:is>
      </x:c>
    </x:row>
    <x:row r="32" ht="38" customHeight="1">
      <x:c r="A32" s="8" t="inlineStr">
        <x:is>
          <x:t xml:space="preserve">F02</x:t>
        </x:is>
      </x:c>
      <x:c r="B32" s="8" t="inlineStr">
        <x:is>
          <x:t xml:space="preserve">Danh mục / kỹ năng đa ngành</x:t>
        </x:is>
      </x:c>
      <x:c r="C32" s="8" t="inlineStr">
        <x:is>
          <x:t xml:space="preserve">DOC-015</x:t>
        </x:is>
      </x:c>
      <x:c r="D32" s="8" t="inlineStr">
        <x:is>
          <x:t xml:space="preserve">Ngành và kỹ năng cấu hình, ẩn kỹ năng cũ</x:t>
        </x:is>
      </x:c>
      <x:c r="E32" s="8" t="inlineStr">
        <x:is>
          <x:t xml:space="preserve">Rà soát khi chức năng đổi</x:t>
        </x:is>
      </x:c>
      <x:c r="F32" s="8" t="inlineStr">
        <x:is>
          <x:t xml:space="preserve">Sửa nguồn; tái tạo bản xuất; đọc lại và ghi bằng chứng</x:t>
        </x:is>
      </x:c>
    </x:row>
    <x:row r="33" ht="38" customHeight="1">
      <x:c r="A33" s="8" t="inlineStr">
        <x:is>
          <x:t xml:space="preserve">F02</x:t>
        </x:is>
      </x:c>
      <x:c r="B33" s="8" t="inlineStr">
        <x:is>
          <x:t xml:space="preserve">Danh mục / kỹ năng đa ngành</x:t>
        </x:is>
      </x:c>
      <x:c r="C33" s="8" t="inlineStr">
        <x:is>
          <x:t xml:space="preserve">DOC-016</x:t>
        </x:is>
      </x:c>
      <x:c r="D33" s="8" t="inlineStr">
        <x:is>
          <x:t xml:space="preserve">Ngành và kỹ năng cấu hình, ẩn kỹ năng cũ</x:t>
        </x:is>
      </x:c>
      <x:c r="E33" s="8" t="inlineStr">
        <x:is>
          <x:t xml:space="preserve">Rà soát khi chức năng đổi</x:t>
        </x:is>
      </x:c>
      <x:c r="F33" s="8" t="inlineStr">
        <x:is>
          <x:t xml:space="preserve">Sửa nguồn; tái tạo bản xuất; đọc lại và ghi bằng chứng</x:t>
        </x:is>
      </x:c>
    </x:row>
    <x:row r="34" ht="38" customHeight="1">
      <x:c r="A34" s="8" t="inlineStr">
        <x:is>
          <x:t xml:space="preserve">F02</x:t>
        </x:is>
      </x:c>
      <x:c r="B34" s="8" t="inlineStr">
        <x:is>
          <x:t xml:space="preserve">Danh mục / kỹ năng đa ngành</x:t>
        </x:is>
      </x:c>
      <x:c r="C34" s="8" t="inlineStr">
        <x:is>
          <x:t xml:space="preserve">DOC-017</x:t>
        </x:is>
      </x:c>
      <x:c r="D34" s="8" t="inlineStr">
        <x:is>
          <x:t xml:space="preserve">Ngành và kỹ năng cấu hình, ẩn kỹ năng cũ</x:t>
        </x:is>
      </x:c>
      <x:c r="E34" s="8" t="inlineStr">
        <x:is>
          <x:t xml:space="preserve">Rà soát khi chức năng đổi</x:t>
        </x:is>
      </x:c>
      <x:c r="F34" s="8" t="inlineStr">
        <x:is>
          <x:t xml:space="preserve">Sửa nguồn; tái tạo bản xuất; đọc lại và ghi bằng chứng</x:t>
        </x:is>
      </x:c>
    </x:row>
    <x:row r="35" ht="38" customHeight="1">
      <x:c r="A35" s="8" t="inlineStr">
        <x:is>
          <x:t xml:space="preserve">F02</x:t>
        </x:is>
      </x:c>
      <x:c r="B35" s="8" t="inlineStr">
        <x:is>
          <x:t xml:space="preserve">Danh mục / kỹ năng đa ngành</x:t>
        </x:is>
      </x:c>
      <x:c r="C35" s="8" t="inlineStr">
        <x:is>
          <x:t xml:space="preserve">DOC-018</x:t>
        </x:is>
      </x:c>
      <x:c r="D35" s="8" t="inlineStr">
        <x:is>
          <x:t xml:space="preserve">Ngành và kỹ năng cấu hình, ẩn kỹ năng cũ</x:t>
        </x:is>
      </x:c>
      <x:c r="E35" s="8" t="inlineStr">
        <x:is>
          <x:t xml:space="preserve">Rà soát khi chức năng đổi</x:t>
        </x:is>
      </x:c>
      <x:c r="F35" s="8" t="inlineStr">
        <x:is>
          <x:t xml:space="preserve">Sửa nguồn; tái tạo bản xuất; đọc lại và ghi bằng chứng</x:t>
        </x:is>
      </x:c>
    </x:row>
    <x:row r="36" ht="38" customHeight="1">
      <x:c r="A36" s="8" t="inlineStr">
        <x:is>
          <x:t xml:space="preserve">F02</x:t>
        </x:is>
      </x:c>
      <x:c r="B36" s="8" t="inlineStr">
        <x:is>
          <x:t xml:space="preserve">Danh mục / kỹ năng đa ngành</x:t>
        </x:is>
      </x:c>
      <x:c r="C36" s="8" t="inlineStr">
        <x:is>
          <x:t xml:space="preserve">DOC-025</x:t>
        </x:is>
      </x:c>
      <x:c r="D36" s="8" t="inlineStr">
        <x:is>
          <x:t xml:space="preserve">Ngành và kỹ năng cấu hình, ẩn kỹ năng cũ</x:t>
        </x:is>
      </x:c>
      <x:c r="E36" s="8" t="inlineStr">
        <x:is>
          <x:t xml:space="preserve">Rà soát khi chức năng đổi</x:t>
        </x:is>
      </x:c>
      <x:c r="F36" s="8" t="inlineStr">
        <x:is>
          <x:t xml:space="preserve">Sửa nguồn; tái tạo bản xuất; đọc lại và ghi bằng chứng</x:t>
        </x:is>
      </x:c>
    </x:row>
    <x:row r="37" ht="38" customHeight="1">
      <x:c r="A37" s="8" t="inlineStr">
        <x:is>
          <x:t xml:space="preserve">F02</x:t>
        </x:is>
      </x:c>
      <x:c r="B37" s="8" t="inlineStr">
        <x:is>
          <x:t xml:space="preserve">Danh mục / kỹ năng đa ngành</x:t>
        </x:is>
      </x:c>
      <x:c r="C37" s="8" t="inlineStr">
        <x:is>
          <x:t xml:space="preserve">DOC-026</x:t>
        </x:is>
      </x:c>
      <x:c r="D37" s="8" t="inlineStr">
        <x:is>
          <x:t xml:space="preserve">Ngành và kỹ năng cấu hình, ẩn kỹ năng cũ</x:t>
        </x:is>
      </x:c>
      <x:c r="E37" s="8" t="inlineStr">
        <x:is>
          <x:t xml:space="preserve">Rà soát khi chức năng đổi</x:t>
        </x:is>
      </x:c>
      <x:c r="F37" s="8" t="inlineStr">
        <x:is>
          <x:t xml:space="preserve">Sửa nguồn; tái tạo bản xuất; đọc lại và ghi bằng chứng</x:t>
        </x:is>
      </x:c>
    </x:row>
    <x:row r="38" ht="38" customHeight="1">
      <x:c r="A38" s="8" t="inlineStr">
        <x:is>
          <x:t xml:space="preserve">F02</x:t>
        </x:is>
      </x:c>
      <x:c r="B38" s="8" t="inlineStr">
        <x:is>
          <x:t xml:space="preserve">Danh mục / kỹ năng đa ngành</x:t>
        </x:is>
      </x:c>
      <x:c r="C38" s="8" t="inlineStr">
        <x:is>
          <x:t xml:space="preserve">DOC-027</x:t>
        </x:is>
      </x:c>
      <x:c r="D38" s="8" t="inlineStr">
        <x:is>
          <x:t xml:space="preserve">Ngành và kỹ năng cấu hình, ẩn kỹ năng cũ</x:t>
        </x:is>
      </x:c>
      <x:c r="E38" s="8" t="inlineStr">
        <x:is>
          <x:t xml:space="preserve">Rà soát khi chức năng đổi</x:t>
        </x:is>
      </x:c>
      <x:c r="F38" s="8" t="inlineStr">
        <x:is>
          <x:t xml:space="preserve">Sửa nguồn; tái tạo bản xuất; đọc lại và ghi bằng chứng</x:t>
        </x:is>
      </x:c>
    </x:row>
    <x:row r="39" ht="38" customHeight="1">
      <x:c r="A39" s="8" t="inlineStr">
        <x:is>
          <x:t xml:space="preserve">F02</x:t>
        </x:is>
      </x:c>
      <x:c r="B39" s="8" t="inlineStr">
        <x:is>
          <x:t xml:space="preserve">Danh mục / kỹ năng đa ngành</x:t>
        </x:is>
      </x:c>
      <x:c r="C39" s="8" t="inlineStr">
        <x:is>
          <x:t xml:space="preserve">DOC-028</x:t>
        </x:is>
      </x:c>
      <x:c r="D39" s="8" t="inlineStr">
        <x:is>
          <x:t xml:space="preserve">Ngành và kỹ năng cấu hình, ẩn kỹ năng cũ</x:t>
        </x:is>
      </x:c>
      <x:c r="E39" s="8" t="inlineStr">
        <x:is>
          <x:t xml:space="preserve">Rà soát khi chức năng đổi</x:t>
        </x:is>
      </x:c>
      <x:c r="F39" s="8" t="inlineStr">
        <x:is>
          <x:t xml:space="preserve">Sửa nguồn; tái tạo bản xuất; đọc lại và ghi bằng chứng</x:t>
        </x:is>
      </x:c>
    </x:row>
    <x:row r="40" ht="38" customHeight="1">
      <x:c r="A40" s="8" t="inlineStr">
        <x:is>
          <x:t xml:space="preserve">F02</x:t>
        </x:is>
      </x:c>
      <x:c r="B40" s="8" t="inlineStr">
        <x:is>
          <x:t xml:space="preserve">Danh mục / kỹ năng đa ngành</x:t>
        </x:is>
      </x:c>
      <x:c r="C40" s="8" t="inlineStr">
        <x:is>
          <x:t xml:space="preserve">DOC-029</x:t>
        </x:is>
      </x:c>
      <x:c r="D40" s="8" t="inlineStr">
        <x:is>
          <x:t xml:space="preserve">Ngành và kỹ năng cấu hình, ẩn kỹ năng cũ</x:t>
        </x:is>
      </x:c>
      <x:c r="E40" s="8" t="inlineStr">
        <x:is>
          <x:t xml:space="preserve">Rà soát khi chức năng đổi</x:t>
        </x:is>
      </x:c>
      <x:c r="F40" s="8" t="inlineStr">
        <x:is>
          <x:t xml:space="preserve">Sửa nguồn; tái tạo bản xuất; đọc lại và ghi bằng chứng</x:t>
        </x:is>
      </x:c>
    </x:row>
    <x:row r="41" ht="38" customHeight="1">
      <x:c r="A41" s="8" t="inlineStr">
        <x:is>
          <x:t xml:space="preserve">F02</x:t>
        </x:is>
      </x:c>
      <x:c r="B41" s="8" t="inlineStr">
        <x:is>
          <x:t xml:space="preserve">Danh mục / kỹ năng đa ngành</x:t>
        </x:is>
      </x:c>
      <x:c r="C41" s="8" t="inlineStr">
        <x:is>
          <x:t xml:space="preserve">DOC-030</x:t>
        </x:is>
      </x:c>
      <x:c r="D41" s="8" t="inlineStr">
        <x:is>
          <x:t xml:space="preserve">Ngành và kỹ năng cấu hình, ẩn kỹ năng cũ</x:t>
        </x:is>
      </x:c>
      <x:c r="E41" s="8" t="inlineStr">
        <x:is>
          <x:t xml:space="preserve">Rà soát khi chức năng đổi</x:t>
        </x:is>
      </x:c>
      <x:c r="F41" s="8" t="inlineStr">
        <x:is>
          <x:t xml:space="preserve">Sửa nguồn; tái tạo bản xuất; đọc lại và ghi bằng chứng</x:t>
        </x:is>
      </x:c>
    </x:row>
    <x:row r="42" ht="38" customHeight="1">
      <x:c r="A42" s="8" t="inlineStr">
        <x:is>
          <x:t xml:space="preserve">F02</x:t>
        </x:is>
      </x:c>
      <x:c r="B42" s="8" t="inlineStr">
        <x:is>
          <x:t xml:space="preserve">Danh mục / kỹ năng đa ngành</x:t>
        </x:is>
      </x:c>
      <x:c r="C42" s="8" t="inlineStr">
        <x:is>
          <x:t xml:space="preserve">DOC-031</x:t>
        </x:is>
      </x:c>
      <x:c r="D42" s="8" t="inlineStr">
        <x:is>
          <x:t xml:space="preserve">Ngành và kỹ năng cấu hình, ẩn kỹ năng cũ</x:t>
        </x:is>
      </x:c>
      <x:c r="E42" s="8" t="inlineStr">
        <x:is>
          <x:t xml:space="preserve">Rà soát khi chức năng đổi</x:t>
        </x:is>
      </x:c>
      <x:c r="F42" s="8" t="inlineStr">
        <x:is>
          <x:t xml:space="preserve">Sửa nguồn; tái tạo bản xuất; đọc lại và ghi bằng chứng</x:t>
        </x:is>
      </x:c>
    </x:row>
    <x:row r="43" ht="38" customHeight="1">
      <x:c r="A43" s="8" t="inlineStr">
        <x:is>
          <x:t xml:space="preserve">F02</x:t>
        </x:is>
      </x:c>
      <x:c r="B43" s="8" t="inlineStr">
        <x:is>
          <x:t xml:space="preserve">Danh mục / kỹ năng đa ngành</x:t>
        </x:is>
      </x:c>
      <x:c r="C43" s="8" t="inlineStr">
        <x:is>
          <x:t xml:space="preserve">DOC-033</x:t>
        </x:is>
      </x:c>
      <x:c r="D43" s="8" t="inlineStr">
        <x:is>
          <x:t xml:space="preserve">Ngành và kỹ năng cấu hình, ẩn kỹ năng cũ</x:t>
        </x:is>
      </x:c>
      <x:c r="E43" s="8" t="inlineStr">
        <x:is>
          <x:t xml:space="preserve">Rà soát khi chức năng đổi</x:t>
        </x:is>
      </x:c>
      <x:c r="F43" s="8" t="inlineStr">
        <x:is>
          <x:t xml:space="preserve">Sửa nguồn; tái tạo bản xuất; đọc lại và ghi bằng chứng</x:t>
        </x:is>
      </x:c>
    </x:row>
    <x:row r="44" ht="38" customHeight="1">
      <x:c r="A44" s="8" t="inlineStr">
        <x:is>
          <x:t xml:space="preserve">F03</x:t>
        </x:is>
      </x:c>
      <x:c r="B44" s="8" t="inlineStr">
        <x:is>
          <x:t xml:space="preserve">Hồ sơ / xác minh partner</x:t>
        </x:is>
      </x:c>
      <x:c r="C44" s="8" t="inlineStr">
        <x:is>
          <x:t xml:space="preserve">DOC-004</x:t>
        </x:is>
      </x:c>
      <x:c r="D44" s="8" t="inlineStr">
        <x:is>
          <x:t xml:space="preserve">Cá nhân, cửa hàng, doanh nghiệp; trạng thái xác minh</x:t>
        </x:is>
      </x:c>
      <x:c r="E44" s="8" t="inlineStr">
        <x:is>
          <x:t xml:space="preserve">Rà soát khi chức năng đổi</x:t>
        </x:is>
      </x:c>
      <x:c r="F44" s="8" t="inlineStr">
        <x:is>
          <x:t xml:space="preserve">Sửa nguồn; tái tạo bản xuất; đọc lại và ghi bằng chứng</x:t>
        </x:is>
      </x:c>
    </x:row>
    <x:row r="45" ht="38" customHeight="1">
      <x:c r="A45" s="8" t="inlineStr">
        <x:is>
          <x:t xml:space="preserve">F03</x:t>
        </x:is>
      </x:c>
      <x:c r="B45" s="8" t="inlineStr">
        <x:is>
          <x:t xml:space="preserve">Hồ sơ / xác minh partner</x:t>
        </x:is>
      </x:c>
      <x:c r="C45" s="8" t="inlineStr">
        <x:is>
          <x:t xml:space="preserve">DOC-005</x:t>
        </x:is>
      </x:c>
      <x:c r="D45" s="8" t="inlineStr">
        <x:is>
          <x:t xml:space="preserve">Cá nhân, cửa hàng, doanh nghiệp; trạng thái xác minh</x:t>
        </x:is>
      </x:c>
      <x:c r="E45" s="8" t="inlineStr">
        <x:is>
          <x:t xml:space="preserve">Rà soát khi chức năng đổi</x:t>
        </x:is>
      </x:c>
      <x:c r="F45" s="8" t="inlineStr">
        <x:is>
          <x:t xml:space="preserve">Sửa nguồn; tái tạo bản xuất; đọc lại và ghi bằng chứng</x:t>
        </x:is>
      </x:c>
    </x:row>
    <x:row r="46" ht="38" customHeight="1">
      <x:c r="A46" s="8" t="inlineStr">
        <x:is>
          <x:t xml:space="preserve">F03</x:t>
        </x:is>
      </x:c>
      <x:c r="B46" s="8" t="inlineStr">
        <x:is>
          <x:t xml:space="preserve">Hồ sơ / xác minh partner</x:t>
        </x:is>
      </x:c>
      <x:c r="C46" s="8" t="inlineStr">
        <x:is>
          <x:t xml:space="preserve">DOC-006</x:t>
        </x:is>
      </x:c>
      <x:c r="D46" s="8" t="inlineStr">
        <x:is>
          <x:t xml:space="preserve">Cá nhân, cửa hàng, doanh nghiệp; trạng thái xác minh</x:t>
        </x:is>
      </x:c>
      <x:c r="E46" s="8" t="inlineStr">
        <x:is>
          <x:t xml:space="preserve">Rà soát khi chức năng đổi</x:t>
        </x:is>
      </x:c>
      <x:c r="F46" s="8" t="inlineStr">
        <x:is>
          <x:t xml:space="preserve">Sửa nguồn; tái tạo bản xuất; đọc lại và ghi bằng chứng</x:t>
        </x:is>
      </x:c>
    </x:row>
    <x:row r="47" ht="38" customHeight="1">
      <x:c r="A47" s="8" t="inlineStr">
        <x:is>
          <x:t xml:space="preserve">F03</x:t>
        </x:is>
      </x:c>
      <x:c r="B47" s="8" t="inlineStr">
        <x:is>
          <x:t xml:space="preserve">Hồ sơ / xác minh partner</x:t>
        </x:is>
      </x:c>
      <x:c r="C47" s="8" t="inlineStr">
        <x:is>
          <x:t xml:space="preserve">DOC-007</x:t>
        </x:is>
      </x:c>
      <x:c r="D47" s="8" t="inlineStr">
        <x:is>
          <x:t xml:space="preserve">Cá nhân, cửa hàng, doanh nghiệp; trạng thái xác minh</x:t>
        </x:is>
      </x:c>
      <x:c r="E47" s="8" t="inlineStr">
        <x:is>
          <x:t xml:space="preserve">Rà soát khi chức năng đổi</x:t>
        </x:is>
      </x:c>
      <x:c r="F47" s="8" t="inlineStr">
        <x:is>
          <x:t xml:space="preserve">Sửa nguồn; tái tạo bản xuất; đọc lại và ghi bằng chứng</x:t>
        </x:is>
      </x:c>
    </x:row>
    <x:row r="48" ht="38" customHeight="1">
      <x:c r="A48" s="8" t="inlineStr">
        <x:is>
          <x:t xml:space="preserve">F03</x:t>
        </x:is>
      </x:c>
      <x:c r="B48" s="8" t="inlineStr">
        <x:is>
          <x:t xml:space="preserve">Hồ sơ / xác minh partner</x:t>
        </x:is>
      </x:c>
      <x:c r="C48" s="8" t="inlineStr">
        <x:is>
          <x:t xml:space="preserve">DOC-008</x:t>
        </x:is>
      </x:c>
      <x:c r="D48" s="8" t="inlineStr">
        <x:is>
          <x:t xml:space="preserve">Cá nhân, cửa hàng, doanh nghiệp; trạng thái xác minh</x:t>
        </x:is>
      </x:c>
      <x:c r="E48" s="8" t="inlineStr">
        <x:is>
          <x:t xml:space="preserve">Rà soát khi chức năng đổi</x:t>
        </x:is>
      </x:c>
      <x:c r="F48" s="8" t="inlineStr">
        <x:is>
          <x:t xml:space="preserve">Sửa nguồn; tái tạo bản xuất; đọc lại và ghi bằng chứng</x:t>
        </x:is>
      </x:c>
    </x:row>
    <x:row r="49" ht="38" customHeight="1">
      <x:c r="A49" s="8" t="inlineStr">
        <x:is>
          <x:t xml:space="preserve">F03</x:t>
        </x:is>
      </x:c>
      <x:c r="B49" s="8" t="inlineStr">
        <x:is>
          <x:t xml:space="preserve">Hồ sơ / xác minh partner</x:t>
        </x:is>
      </x:c>
      <x:c r="C49" s="8" t="inlineStr">
        <x:is>
          <x:t xml:space="preserve">DOC-012</x:t>
        </x:is>
      </x:c>
      <x:c r="D49" s="8" t="inlineStr">
        <x:is>
          <x:t xml:space="preserve">Cá nhân, cửa hàng, doanh nghiệp; trạng thái xác minh</x:t>
        </x:is>
      </x:c>
      <x:c r="E49" s="8" t="inlineStr">
        <x:is>
          <x:t xml:space="preserve">Rà soát khi chức năng đổi</x:t>
        </x:is>
      </x:c>
      <x:c r="F49" s="8" t="inlineStr">
        <x:is>
          <x:t xml:space="preserve">Sửa nguồn; tái tạo bản xuất; đọc lại và ghi bằng chứng</x:t>
        </x:is>
      </x:c>
    </x:row>
    <x:row r="50" ht="38" customHeight="1">
      <x:c r="A50" s="8" t="inlineStr">
        <x:is>
          <x:t xml:space="preserve">F03</x:t>
        </x:is>
      </x:c>
      <x:c r="B50" s="8" t="inlineStr">
        <x:is>
          <x:t xml:space="preserve">Hồ sơ / xác minh partner</x:t>
        </x:is>
      </x:c>
      <x:c r="C50" s="8" t="inlineStr">
        <x:is>
          <x:t xml:space="preserve">DOC-013</x:t>
        </x:is>
      </x:c>
      <x:c r="D50" s="8" t="inlineStr">
        <x:is>
          <x:t xml:space="preserve">Cá nhân, cửa hàng, doanh nghiệp; trạng thái xác minh</x:t>
        </x:is>
      </x:c>
      <x:c r="E50" s="8" t="inlineStr">
        <x:is>
          <x:t xml:space="preserve">Rà soát khi chức năng đổi</x:t>
        </x:is>
      </x:c>
      <x:c r="F50" s="8" t="inlineStr">
        <x:is>
          <x:t xml:space="preserve">Sửa nguồn; tái tạo bản xuất; đọc lại và ghi bằng chứng</x:t>
        </x:is>
      </x:c>
    </x:row>
    <x:row r="51" ht="38" customHeight="1">
      <x:c r="A51" s="8" t="inlineStr">
        <x:is>
          <x:t xml:space="preserve">F03</x:t>
        </x:is>
      </x:c>
      <x:c r="B51" s="8" t="inlineStr">
        <x:is>
          <x:t xml:space="preserve">Hồ sơ / xác minh partner</x:t>
        </x:is>
      </x:c>
      <x:c r="C51" s="8" t="inlineStr">
        <x:is>
          <x:t xml:space="preserve">DOC-015</x:t>
        </x:is>
      </x:c>
      <x:c r="D51" s="8" t="inlineStr">
        <x:is>
          <x:t xml:space="preserve">Cá nhân, cửa hàng, doanh nghiệp; trạng thái xác minh</x:t>
        </x:is>
      </x:c>
      <x:c r="E51" s="8" t="inlineStr">
        <x:is>
          <x:t xml:space="preserve">Rà soát khi chức năng đổi</x:t>
        </x:is>
      </x:c>
      <x:c r="F51" s="8" t="inlineStr">
        <x:is>
          <x:t xml:space="preserve">Sửa nguồn; tái tạo bản xuất; đọc lại và ghi bằng chứng</x:t>
        </x:is>
      </x:c>
    </x:row>
    <x:row r="52" ht="38" customHeight="1">
      <x:c r="A52" s="8" t="inlineStr">
        <x:is>
          <x:t xml:space="preserve">F03</x:t>
        </x:is>
      </x:c>
      <x:c r="B52" s="8" t="inlineStr">
        <x:is>
          <x:t xml:space="preserve">Hồ sơ / xác minh partner</x:t>
        </x:is>
      </x:c>
      <x:c r="C52" s="8" t="inlineStr">
        <x:is>
          <x:t xml:space="preserve">DOC-016</x:t>
        </x:is>
      </x:c>
      <x:c r="D52" s="8" t="inlineStr">
        <x:is>
          <x:t xml:space="preserve">Cá nhân, cửa hàng, doanh nghiệp; trạng thái xác minh</x:t>
        </x:is>
      </x:c>
      <x:c r="E52" s="8" t="inlineStr">
        <x:is>
          <x:t xml:space="preserve">Rà soát khi chức năng đổi</x:t>
        </x:is>
      </x:c>
      <x:c r="F52" s="8" t="inlineStr">
        <x:is>
          <x:t xml:space="preserve">Sửa nguồn; tái tạo bản xuất; đọc lại và ghi bằng chứng</x:t>
        </x:is>
      </x:c>
    </x:row>
    <x:row r="53" ht="38" customHeight="1">
      <x:c r="A53" s="8" t="inlineStr">
        <x:is>
          <x:t xml:space="preserve">F03</x:t>
        </x:is>
      </x:c>
      <x:c r="B53" s="8" t="inlineStr">
        <x:is>
          <x:t xml:space="preserve">Hồ sơ / xác minh partner</x:t>
        </x:is>
      </x:c>
      <x:c r="C53" s="8" t="inlineStr">
        <x:is>
          <x:t xml:space="preserve">DOC-017</x:t>
        </x:is>
      </x:c>
      <x:c r="D53" s="8" t="inlineStr">
        <x:is>
          <x:t xml:space="preserve">Cá nhân, cửa hàng, doanh nghiệp; trạng thái xác minh</x:t>
        </x:is>
      </x:c>
      <x:c r="E53" s="8" t="inlineStr">
        <x:is>
          <x:t xml:space="preserve">Rà soát khi chức năng đổi</x:t>
        </x:is>
      </x:c>
      <x:c r="F53" s="8" t="inlineStr">
        <x:is>
          <x:t xml:space="preserve">Sửa nguồn; tái tạo bản xuất; đọc lại và ghi bằng chứng</x:t>
        </x:is>
      </x:c>
    </x:row>
    <x:row r="54" ht="38" customHeight="1">
      <x:c r="A54" s="8" t="inlineStr">
        <x:is>
          <x:t xml:space="preserve">F03</x:t>
        </x:is>
      </x:c>
      <x:c r="B54" s="8" t="inlineStr">
        <x:is>
          <x:t xml:space="preserve">Hồ sơ / xác minh partner</x:t>
        </x:is>
      </x:c>
      <x:c r="C54" s="8" t="inlineStr">
        <x:is>
          <x:t xml:space="preserve">DOC-018</x:t>
        </x:is>
      </x:c>
      <x:c r="D54" s="8" t="inlineStr">
        <x:is>
          <x:t xml:space="preserve">Cá nhân, cửa hàng, doanh nghiệp; trạng thái xác minh</x:t>
        </x:is>
      </x:c>
      <x:c r="E54" s="8" t="inlineStr">
        <x:is>
          <x:t xml:space="preserve">Rà soát khi chức năng đổi</x:t>
        </x:is>
      </x:c>
      <x:c r="F54" s="8" t="inlineStr">
        <x:is>
          <x:t xml:space="preserve">Sửa nguồn; tái tạo bản xuất; đọc lại và ghi bằng chứng</x:t>
        </x:is>
      </x:c>
    </x:row>
    <x:row r="55" ht="38" customHeight="1">
      <x:c r="A55" s="8" t="inlineStr">
        <x:is>
          <x:t xml:space="preserve">F03</x:t>
        </x:is>
      </x:c>
      <x:c r="B55" s="8" t="inlineStr">
        <x:is>
          <x:t xml:space="preserve">Hồ sơ / xác minh partner</x:t>
        </x:is>
      </x:c>
      <x:c r="C55" s="8" t="inlineStr">
        <x:is>
          <x:t xml:space="preserve">DOC-025</x:t>
        </x:is>
      </x:c>
      <x:c r="D55" s="8" t="inlineStr">
        <x:is>
          <x:t xml:space="preserve">Cá nhân, cửa hàng, doanh nghiệp; trạng thái xác minh</x:t>
        </x:is>
      </x:c>
      <x:c r="E55" s="8" t="inlineStr">
        <x:is>
          <x:t xml:space="preserve">Rà soát khi chức năng đổi</x:t>
        </x:is>
      </x:c>
      <x:c r="F55" s="8" t="inlineStr">
        <x:is>
          <x:t xml:space="preserve">Sửa nguồn; tái tạo bản xuất; đọc lại và ghi bằng chứng</x:t>
        </x:is>
      </x:c>
    </x:row>
    <x:row r="56" ht="38" customHeight="1">
      <x:c r="A56" s="8" t="inlineStr">
        <x:is>
          <x:t xml:space="preserve">F03</x:t>
        </x:is>
      </x:c>
      <x:c r="B56" s="8" t="inlineStr">
        <x:is>
          <x:t xml:space="preserve">Hồ sơ / xác minh partner</x:t>
        </x:is>
      </x:c>
      <x:c r="C56" s="8" t="inlineStr">
        <x:is>
          <x:t xml:space="preserve">DOC-026</x:t>
        </x:is>
      </x:c>
      <x:c r="D56" s="8" t="inlineStr">
        <x:is>
          <x:t xml:space="preserve">Cá nhân, cửa hàng, doanh nghiệp; trạng thái xác minh</x:t>
        </x:is>
      </x:c>
      <x:c r="E56" s="8" t="inlineStr">
        <x:is>
          <x:t xml:space="preserve">Rà soát khi chức năng đổi</x:t>
        </x:is>
      </x:c>
      <x:c r="F56" s="8" t="inlineStr">
        <x:is>
          <x:t xml:space="preserve">Sửa nguồn; tái tạo bản xuất; đọc lại và ghi bằng chứng</x:t>
        </x:is>
      </x:c>
    </x:row>
    <x:row r="57" ht="38" customHeight="1">
      <x:c r="A57" s="8" t="inlineStr">
        <x:is>
          <x:t xml:space="preserve">F03</x:t>
        </x:is>
      </x:c>
      <x:c r="B57" s="8" t="inlineStr">
        <x:is>
          <x:t xml:space="preserve">Hồ sơ / xác minh partner</x:t>
        </x:is>
      </x:c>
      <x:c r="C57" s="8" t="inlineStr">
        <x:is>
          <x:t xml:space="preserve">DOC-027</x:t>
        </x:is>
      </x:c>
      <x:c r="D57" s="8" t="inlineStr">
        <x:is>
          <x:t xml:space="preserve">Cá nhân, cửa hàng, doanh nghiệp; trạng thái xác minh</x:t>
        </x:is>
      </x:c>
      <x:c r="E57" s="8" t="inlineStr">
        <x:is>
          <x:t xml:space="preserve">Rà soát khi chức năng đổi</x:t>
        </x:is>
      </x:c>
      <x:c r="F57" s="8" t="inlineStr">
        <x:is>
          <x:t xml:space="preserve">Sửa nguồn; tái tạo bản xuất; đọc lại và ghi bằng chứng</x:t>
        </x:is>
      </x:c>
    </x:row>
    <x:row r="58" ht="38" customHeight="1">
      <x:c r="A58" s="8" t="inlineStr">
        <x:is>
          <x:t xml:space="preserve">F03</x:t>
        </x:is>
      </x:c>
      <x:c r="B58" s="8" t="inlineStr">
        <x:is>
          <x:t xml:space="preserve">Hồ sơ / xác minh partner</x:t>
        </x:is>
      </x:c>
      <x:c r="C58" s="8" t="inlineStr">
        <x:is>
          <x:t xml:space="preserve">DOC-028</x:t>
        </x:is>
      </x:c>
      <x:c r="D58" s="8" t="inlineStr">
        <x:is>
          <x:t xml:space="preserve">Cá nhân, cửa hàng, doanh nghiệp; trạng thái xác minh</x:t>
        </x:is>
      </x:c>
      <x:c r="E58" s="8" t="inlineStr">
        <x:is>
          <x:t xml:space="preserve">Rà soát khi chức năng đổi</x:t>
        </x:is>
      </x:c>
      <x:c r="F58" s="8" t="inlineStr">
        <x:is>
          <x:t xml:space="preserve">Sửa nguồn; tái tạo bản xuất; đọc lại và ghi bằng chứng</x:t>
        </x:is>
      </x:c>
    </x:row>
    <x:row r="59" ht="38" customHeight="1">
      <x:c r="A59" s="8" t="inlineStr">
        <x:is>
          <x:t xml:space="preserve">F03</x:t>
        </x:is>
      </x:c>
      <x:c r="B59" s="8" t="inlineStr">
        <x:is>
          <x:t xml:space="preserve">Hồ sơ / xác minh partner</x:t>
        </x:is>
      </x:c>
      <x:c r="C59" s="8" t="inlineStr">
        <x:is>
          <x:t xml:space="preserve">DOC-029</x:t>
        </x:is>
      </x:c>
      <x:c r="D59" s="8" t="inlineStr">
        <x:is>
          <x:t xml:space="preserve">Cá nhân, cửa hàng, doanh nghiệp; trạng thái xác minh</x:t>
        </x:is>
      </x:c>
      <x:c r="E59" s="8" t="inlineStr">
        <x:is>
          <x:t xml:space="preserve">Rà soát khi chức năng đổi</x:t>
        </x:is>
      </x:c>
      <x:c r="F59" s="8" t="inlineStr">
        <x:is>
          <x:t xml:space="preserve">Sửa nguồn; tái tạo bản xuất; đọc lại và ghi bằng chứng</x:t>
        </x:is>
      </x:c>
    </x:row>
    <x:row r="60" ht="38" customHeight="1">
      <x:c r="A60" s="8" t="inlineStr">
        <x:is>
          <x:t xml:space="preserve">F03</x:t>
        </x:is>
      </x:c>
      <x:c r="B60" s="8" t="inlineStr">
        <x:is>
          <x:t xml:space="preserve">Hồ sơ / xác minh partner</x:t>
        </x:is>
      </x:c>
      <x:c r="C60" s="8" t="inlineStr">
        <x:is>
          <x:t xml:space="preserve">DOC-030</x:t>
        </x:is>
      </x:c>
      <x:c r="D60" s="8" t="inlineStr">
        <x:is>
          <x:t xml:space="preserve">Cá nhân, cửa hàng, doanh nghiệp; trạng thái xác minh</x:t>
        </x:is>
      </x:c>
      <x:c r="E60" s="8" t="inlineStr">
        <x:is>
          <x:t xml:space="preserve">Rà soát khi chức năng đổi</x:t>
        </x:is>
      </x:c>
      <x:c r="F60" s="8" t="inlineStr">
        <x:is>
          <x:t xml:space="preserve">Sửa nguồn; tái tạo bản xuất; đọc lại và ghi bằng chứng</x:t>
        </x:is>
      </x:c>
    </x:row>
    <x:row r="61" ht="38" customHeight="1">
      <x:c r="A61" s="8" t="inlineStr">
        <x:is>
          <x:t xml:space="preserve">F03</x:t>
        </x:is>
      </x:c>
      <x:c r="B61" s="8" t="inlineStr">
        <x:is>
          <x:t xml:space="preserve">Hồ sơ / xác minh partner</x:t>
        </x:is>
      </x:c>
      <x:c r="C61" s="8" t="inlineStr">
        <x:is>
          <x:t xml:space="preserve">DOC-031</x:t>
        </x:is>
      </x:c>
      <x:c r="D61" s="8" t="inlineStr">
        <x:is>
          <x:t xml:space="preserve">Cá nhân, cửa hàng, doanh nghiệp; trạng thái xác minh</x:t>
        </x:is>
      </x:c>
      <x:c r="E61" s="8" t="inlineStr">
        <x:is>
          <x:t xml:space="preserve">Rà soát khi chức năng đổi</x:t>
        </x:is>
      </x:c>
      <x:c r="F61" s="8" t="inlineStr">
        <x:is>
          <x:t xml:space="preserve">Sửa nguồn; tái tạo bản xuất; đọc lại và ghi bằng chứng</x:t>
        </x:is>
      </x:c>
    </x:row>
    <x:row r="62" ht="38" customHeight="1">
      <x:c r="A62" s="8" t="inlineStr">
        <x:is>
          <x:t xml:space="preserve">F03</x:t>
        </x:is>
      </x:c>
      <x:c r="B62" s="8" t="inlineStr">
        <x:is>
          <x:t xml:space="preserve">Hồ sơ / xác minh partner</x:t>
        </x:is>
      </x:c>
      <x:c r="C62" s="8" t="inlineStr">
        <x:is>
          <x:t xml:space="preserve">DOC-033</x:t>
        </x:is>
      </x:c>
      <x:c r="D62" s="8" t="inlineStr">
        <x:is>
          <x:t xml:space="preserve">Cá nhân, cửa hàng, doanh nghiệp; trạng thái xác minh</x:t>
        </x:is>
      </x:c>
      <x:c r="E62" s="8" t="inlineStr">
        <x:is>
          <x:t xml:space="preserve">Rà soát khi chức năng đổi</x:t>
        </x:is>
      </x:c>
      <x:c r="F62" s="8" t="inlineStr">
        <x:is>
          <x:t xml:space="preserve">Sửa nguồn; tái tạo bản xuất; đọc lại và ghi bằng chứng</x:t>
        </x:is>
      </x:c>
    </x:row>
    <x:row r="63" ht="38" customHeight="1">
      <x:c r="A63" s="8" t="inlineStr">
        <x:is>
          <x:t xml:space="preserve">F04</x:t>
        </x:is>
      </x:c>
      <x:c r="B63" s="8" t="inlineStr">
        <x:is>
          <x:t xml:space="preserve">Tìm kiếm / bản đồ / vùng phục vụ</x:t>
        </x:is>
      </x:c>
      <x:c r="C63" s="8" t="inlineStr">
        <x:is>
          <x:t xml:space="preserve">DOC-004</x:t>
        </x:is>
      </x:c>
      <x:c r="D63" s="8" t="inlineStr">
        <x:is>
          <x:t xml:space="preserve">Mặc định 10km, mở rộng, vị trí khách hoặc cửa hàng</x:t>
        </x:is>
      </x:c>
      <x:c r="E63" s="8" t="inlineStr">
        <x:is>
          <x:t xml:space="preserve">Rà soát khi chức năng đổi</x:t>
        </x:is>
      </x:c>
      <x:c r="F63" s="8" t="inlineStr">
        <x:is>
          <x:t xml:space="preserve">Sửa nguồn; tái tạo bản xuất; đọc lại và ghi bằng chứng</x:t>
        </x:is>
      </x:c>
    </x:row>
    <x:row r="64" ht="38" customHeight="1">
      <x:c r="A64" s="8" t="inlineStr">
        <x:is>
          <x:t xml:space="preserve">F04</x:t>
        </x:is>
      </x:c>
      <x:c r="B64" s="8" t="inlineStr">
        <x:is>
          <x:t xml:space="preserve">Tìm kiếm / bản đồ / vùng phục vụ</x:t>
        </x:is>
      </x:c>
      <x:c r="C64" s="8" t="inlineStr">
        <x:is>
          <x:t xml:space="preserve">DOC-005</x:t>
        </x:is>
      </x:c>
      <x:c r="D64" s="8" t="inlineStr">
        <x:is>
          <x:t xml:space="preserve">Mặc định 10km, mở rộng, vị trí khách hoặc cửa hàng</x:t>
        </x:is>
      </x:c>
      <x:c r="E64" s="8" t="inlineStr">
        <x:is>
          <x:t xml:space="preserve">Rà soát khi chức năng đổi</x:t>
        </x:is>
      </x:c>
      <x:c r="F64" s="8" t="inlineStr">
        <x:is>
          <x:t xml:space="preserve">Sửa nguồn; tái tạo bản xuất; đọc lại và ghi bằng chứng</x:t>
        </x:is>
      </x:c>
    </x:row>
    <x:row r="65" ht="38" customHeight="1">
      <x:c r="A65" s="8" t="inlineStr">
        <x:is>
          <x:t xml:space="preserve">F04</x:t>
        </x:is>
      </x:c>
      <x:c r="B65" s="8" t="inlineStr">
        <x:is>
          <x:t xml:space="preserve">Tìm kiếm / bản đồ / vùng phục vụ</x:t>
        </x:is>
      </x:c>
      <x:c r="C65" s="8" t="inlineStr">
        <x:is>
          <x:t xml:space="preserve">DOC-006</x:t>
        </x:is>
      </x:c>
      <x:c r="D65" s="8" t="inlineStr">
        <x:is>
          <x:t xml:space="preserve">Mặc định 10km, mở rộng, vị trí khách hoặc cửa hàng</x:t>
        </x:is>
      </x:c>
      <x:c r="E65" s="8" t="inlineStr">
        <x:is>
          <x:t xml:space="preserve">Rà soát khi chức năng đổi</x:t>
        </x:is>
      </x:c>
      <x:c r="F65" s="8" t="inlineStr">
        <x:is>
          <x:t xml:space="preserve">Sửa nguồn; tái tạo bản xuất; đọc lại và ghi bằng chứng</x:t>
        </x:is>
      </x:c>
    </x:row>
    <x:row r="66" ht="38" customHeight="1">
      <x:c r="A66" s="8" t="inlineStr">
        <x:is>
          <x:t xml:space="preserve">F04</x:t>
        </x:is>
      </x:c>
      <x:c r="B66" s="8" t="inlineStr">
        <x:is>
          <x:t xml:space="preserve">Tìm kiếm / bản đồ / vùng phục vụ</x:t>
        </x:is>
      </x:c>
      <x:c r="C66" s="8" t="inlineStr">
        <x:is>
          <x:t xml:space="preserve">DOC-007</x:t>
        </x:is>
      </x:c>
      <x:c r="D66" s="8" t="inlineStr">
        <x:is>
          <x:t xml:space="preserve">Mặc định 10km, mở rộng, vị trí khách hoặc cửa hàng</x:t>
        </x:is>
      </x:c>
      <x:c r="E66" s="8" t="inlineStr">
        <x:is>
          <x:t xml:space="preserve">Rà soát khi chức năng đổi</x:t>
        </x:is>
      </x:c>
      <x:c r="F66" s="8" t="inlineStr">
        <x:is>
          <x:t xml:space="preserve">Sửa nguồn; tái tạo bản xuất; đọc lại và ghi bằng chứng</x:t>
        </x:is>
      </x:c>
    </x:row>
    <x:row r="67" ht="38" customHeight="1">
      <x:c r="A67" s="8" t="inlineStr">
        <x:is>
          <x:t xml:space="preserve">F04</x:t>
        </x:is>
      </x:c>
      <x:c r="B67" s="8" t="inlineStr">
        <x:is>
          <x:t xml:space="preserve">Tìm kiếm / bản đồ / vùng phục vụ</x:t>
        </x:is>
      </x:c>
      <x:c r="C67" s="8" t="inlineStr">
        <x:is>
          <x:t xml:space="preserve">DOC-008</x:t>
        </x:is>
      </x:c>
      <x:c r="D67" s="8" t="inlineStr">
        <x:is>
          <x:t xml:space="preserve">Mặc định 10km, mở rộng, vị trí khách hoặc cửa hàng</x:t>
        </x:is>
      </x:c>
      <x:c r="E67" s="8" t="inlineStr">
        <x:is>
          <x:t xml:space="preserve">Rà soát khi chức năng đổi</x:t>
        </x:is>
      </x:c>
      <x:c r="F67" s="8" t="inlineStr">
        <x:is>
          <x:t xml:space="preserve">Sửa nguồn; tái tạo bản xuất; đọc lại và ghi bằng chứng</x:t>
        </x:is>
      </x:c>
    </x:row>
    <x:row r="68" ht="38" customHeight="1">
      <x:c r="A68" s="8" t="inlineStr">
        <x:is>
          <x:t xml:space="preserve">F04</x:t>
        </x:is>
      </x:c>
      <x:c r="B68" s="8" t="inlineStr">
        <x:is>
          <x:t xml:space="preserve">Tìm kiếm / bản đồ / vùng phục vụ</x:t>
        </x:is>
      </x:c>
      <x:c r="C68" s="8" t="inlineStr">
        <x:is>
          <x:t xml:space="preserve">DOC-012</x:t>
        </x:is>
      </x:c>
      <x:c r="D68" s="8" t="inlineStr">
        <x:is>
          <x:t xml:space="preserve">Mặc định 10km, mở rộng, vị trí khách hoặc cửa hàng</x:t>
        </x:is>
      </x:c>
      <x:c r="E68" s="8" t="inlineStr">
        <x:is>
          <x:t xml:space="preserve">Rà soát khi chức năng đổi</x:t>
        </x:is>
      </x:c>
      <x:c r="F68" s="8" t="inlineStr">
        <x:is>
          <x:t xml:space="preserve">Sửa nguồn; tái tạo bản xuất; đọc lại và ghi bằng chứng</x:t>
        </x:is>
      </x:c>
    </x:row>
    <x:row r="69" ht="38" customHeight="1">
      <x:c r="A69" s="8" t="inlineStr">
        <x:is>
          <x:t xml:space="preserve">F04</x:t>
        </x:is>
      </x:c>
      <x:c r="B69" s="8" t="inlineStr">
        <x:is>
          <x:t xml:space="preserve">Tìm kiếm / bản đồ / vùng phục vụ</x:t>
        </x:is>
      </x:c>
      <x:c r="C69" s="8" t="inlineStr">
        <x:is>
          <x:t xml:space="preserve">DOC-013</x:t>
        </x:is>
      </x:c>
      <x:c r="D69" s="8" t="inlineStr">
        <x:is>
          <x:t xml:space="preserve">Mặc định 10km, mở rộng, vị trí khách hoặc cửa hàng</x:t>
        </x:is>
      </x:c>
      <x:c r="E69" s="8" t="inlineStr">
        <x:is>
          <x:t xml:space="preserve">Rà soát khi chức năng đổi</x:t>
        </x:is>
      </x:c>
      <x:c r="F69" s="8" t="inlineStr">
        <x:is>
          <x:t xml:space="preserve">Sửa nguồn; tái tạo bản xuất; đọc lại và ghi bằng chứng</x:t>
        </x:is>
      </x:c>
    </x:row>
    <x:row r="70" ht="38" customHeight="1">
      <x:c r="A70" s="8" t="inlineStr">
        <x:is>
          <x:t xml:space="preserve">F04</x:t>
        </x:is>
      </x:c>
      <x:c r="B70" s="8" t="inlineStr">
        <x:is>
          <x:t xml:space="preserve">Tìm kiếm / bản đồ / vùng phục vụ</x:t>
        </x:is>
      </x:c>
      <x:c r="C70" s="8" t="inlineStr">
        <x:is>
          <x:t xml:space="preserve">DOC-015</x:t>
        </x:is>
      </x:c>
      <x:c r="D70" s="8" t="inlineStr">
        <x:is>
          <x:t xml:space="preserve">Mặc định 10km, mở rộng, vị trí khách hoặc cửa hàng</x:t>
        </x:is>
      </x:c>
      <x:c r="E70" s="8" t="inlineStr">
        <x:is>
          <x:t xml:space="preserve">Rà soát khi chức năng đổi</x:t>
        </x:is>
      </x:c>
      <x:c r="F70" s="8" t="inlineStr">
        <x:is>
          <x:t xml:space="preserve">Sửa nguồn; tái tạo bản xuất; đọc lại và ghi bằng chứng</x:t>
        </x:is>
      </x:c>
    </x:row>
    <x:row r="71" ht="38" customHeight="1">
      <x:c r="A71" s="8" t="inlineStr">
        <x:is>
          <x:t xml:space="preserve">F04</x:t>
        </x:is>
      </x:c>
      <x:c r="B71" s="8" t="inlineStr">
        <x:is>
          <x:t xml:space="preserve">Tìm kiếm / bản đồ / vùng phục vụ</x:t>
        </x:is>
      </x:c>
      <x:c r="C71" s="8" t="inlineStr">
        <x:is>
          <x:t xml:space="preserve">DOC-016</x:t>
        </x:is>
      </x:c>
      <x:c r="D71" s="8" t="inlineStr">
        <x:is>
          <x:t xml:space="preserve">Mặc định 10km, mở rộng, vị trí khách hoặc cửa hàng</x:t>
        </x:is>
      </x:c>
      <x:c r="E71" s="8" t="inlineStr">
        <x:is>
          <x:t xml:space="preserve">Rà soát khi chức năng đổi</x:t>
        </x:is>
      </x:c>
      <x:c r="F71" s="8" t="inlineStr">
        <x:is>
          <x:t xml:space="preserve">Sửa nguồn; tái tạo bản xuất; đọc lại và ghi bằng chứng</x:t>
        </x:is>
      </x:c>
    </x:row>
    <x:row r="72" ht="38" customHeight="1">
      <x:c r="A72" s="8" t="inlineStr">
        <x:is>
          <x:t xml:space="preserve">F04</x:t>
        </x:is>
      </x:c>
      <x:c r="B72" s="8" t="inlineStr">
        <x:is>
          <x:t xml:space="preserve">Tìm kiếm / bản đồ / vùng phục vụ</x:t>
        </x:is>
      </x:c>
      <x:c r="C72" s="8" t="inlineStr">
        <x:is>
          <x:t xml:space="preserve">DOC-017</x:t>
        </x:is>
      </x:c>
      <x:c r="D72" s="8" t="inlineStr">
        <x:is>
          <x:t xml:space="preserve">Mặc định 10km, mở rộng, vị trí khách hoặc cửa hàng</x:t>
        </x:is>
      </x:c>
      <x:c r="E72" s="8" t="inlineStr">
        <x:is>
          <x:t xml:space="preserve">Rà soát khi chức năng đổi</x:t>
        </x:is>
      </x:c>
      <x:c r="F72" s="8" t="inlineStr">
        <x:is>
          <x:t xml:space="preserve">Sửa nguồn; tái tạo bản xuất; đọc lại và ghi bằng chứng</x:t>
        </x:is>
      </x:c>
    </x:row>
    <x:row r="73" ht="38" customHeight="1">
      <x:c r="A73" s="8" t="inlineStr">
        <x:is>
          <x:t xml:space="preserve">F04</x:t>
        </x:is>
      </x:c>
      <x:c r="B73" s="8" t="inlineStr">
        <x:is>
          <x:t xml:space="preserve">Tìm kiếm / bản đồ / vùng phục vụ</x:t>
        </x:is>
      </x:c>
      <x:c r="C73" s="8" t="inlineStr">
        <x:is>
          <x:t xml:space="preserve">DOC-018</x:t>
        </x:is>
      </x:c>
      <x:c r="D73" s="8" t="inlineStr">
        <x:is>
          <x:t xml:space="preserve">Mặc định 10km, mở rộng, vị trí khách hoặc cửa hàng</x:t>
        </x:is>
      </x:c>
      <x:c r="E73" s="8" t="inlineStr">
        <x:is>
          <x:t xml:space="preserve">Rà soát khi chức năng đổi</x:t>
        </x:is>
      </x:c>
      <x:c r="F73" s="8" t="inlineStr">
        <x:is>
          <x:t xml:space="preserve">Sửa nguồn; tái tạo bản xuất; đọc lại và ghi bằng chứng</x:t>
        </x:is>
      </x:c>
    </x:row>
    <x:row r="74" ht="38" customHeight="1">
      <x:c r="A74" s="8" t="inlineStr">
        <x:is>
          <x:t xml:space="preserve">F04</x:t>
        </x:is>
      </x:c>
      <x:c r="B74" s="8" t="inlineStr">
        <x:is>
          <x:t xml:space="preserve">Tìm kiếm / bản đồ / vùng phục vụ</x:t>
        </x:is>
      </x:c>
      <x:c r="C74" s="8" t="inlineStr">
        <x:is>
          <x:t xml:space="preserve">DOC-025</x:t>
        </x:is>
      </x:c>
      <x:c r="D74" s="8" t="inlineStr">
        <x:is>
          <x:t xml:space="preserve">Mặc định 10km, mở rộng, vị trí khách hoặc cửa hàng</x:t>
        </x:is>
      </x:c>
      <x:c r="E74" s="8" t="inlineStr">
        <x:is>
          <x:t xml:space="preserve">Rà soát khi chức năng đổi</x:t>
        </x:is>
      </x:c>
      <x:c r="F74" s="8" t="inlineStr">
        <x:is>
          <x:t xml:space="preserve">Sửa nguồn; tái tạo bản xuất; đọc lại và ghi bằng chứng</x:t>
        </x:is>
      </x:c>
    </x:row>
    <x:row r="75" ht="38" customHeight="1">
      <x:c r="A75" s="8" t="inlineStr">
        <x:is>
          <x:t xml:space="preserve">F04</x:t>
        </x:is>
      </x:c>
      <x:c r="B75" s="8" t="inlineStr">
        <x:is>
          <x:t xml:space="preserve">Tìm kiếm / bản đồ / vùng phục vụ</x:t>
        </x:is>
      </x:c>
      <x:c r="C75" s="8" t="inlineStr">
        <x:is>
          <x:t xml:space="preserve">DOC-026</x:t>
        </x:is>
      </x:c>
      <x:c r="D75" s="8" t="inlineStr">
        <x:is>
          <x:t xml:space="preserve">Mặc định 10km, mở rộng, vị trí khách hoặc cửa hàng</x:t>
        </x:is>
      </x:c>
      <x:c r="E75" s="8" t="inlineStr">
        <x:is>
          <x:t xml:space="preserve">Rà soát khi chức năng đổi</x:t>
        </x:is>
      </x:c>
      <x:c r="F75" s="8" t="inlineStr">
        <x:is>
          <x:t xml:space="preserve">Sửa nguồn; tái tạo bản xuất; đọc lại và ghi bằng chứng</x:t>
        </x:is>
      </x:c>
    </x:row>
    <x:row r="76" ht="38" customHeight="1">
      <x:c r="A76" s="8" t="inlineStr">
        <x:is>
          <x:t xml:space="preserve">F04</x:t>
        </x:is>
      </x:c>
      <x:c r="B76" s="8" t="inlineStr">
        <x:is>
          <x:t xml:space="preserve">Tìm kiếm / bản đồ / vùng phục vụ</x:t>
        </x:is>
      </x:c>
      <x:c r="C76" s="8" t="inlineStr">
        <x:is>
          <x:t xml:space="preserve">DOC-027</x:t>
        </x:is>
      </x:c>
      <x:c r="D76" s="8" t="inlineStr">
        <x:is>
          <x:t xml:space="preserve">Mặc định 10km, mở rộng, vị trí khách hoặc cửa hàng</x:t>
        </x:is>
      </x:c>
      <x:c r="E76" s="8" t="inlineStr">
        <x:is>
          <x:t xml:space="preserve">Rà soát khi chức năng đổi</x:t>
        </x:is>
      </x:c>
      <x:c r="F76" s="8" t="inlineStr">
        <x:is>
          <x:t xml:space="preserve">Sửa nguồn; tái tạo bản xuất; đọc lại và ghi bằng chứng</x:t>
        </x:is>
      </x:c>
    </x:row>
    <x:row r="77" ht="38" customHeight="1">
      <x:c r="A77" s="8" t="inlineStr">
        <x:is>
          <x:t xml:space="preserve">F04</x:t>
        </x:is>
      </x:c>
      <x:c r="B77" s="8" t="inlineStr">
        <x:is>
          <x:t xml:space="preserve">Tìm kiếm / bản đồ / vùng phục vụ</x:t>
        </x:is>
      </x:c>
      <x:c r="C77" s="8" t="inlineStr">
        <x:is>
          <x:t xml:space="preserve">DOC-028</x:t>
        </x:is>
      </x:c>
      <x:c r="D77" s="8" t="inlineStr">
        <x:is>
          <x:t xml:space="preserve">Mặc định 10km, mở rộng, vị trí khách hoặc cửa hàng</x:t>
        </x:is>
      </x:c>
      <x:c r="E77" s="8" t="inlineStr">
        <x:is>
          <x:t xml:space="preserve">Rà soát khi chức năng đổi</x:t>
        </x:is>
      </x:c>
      <x:c r="F77" s="8" t="inlineStr">
        <x:is>
          <x:t xml:space="preserve">Sửa nguồn; tái tạo bản xuất; đọc lại và ghi bằng chứng</x:t>
        </x:is>
      </x:c>
    </x:row>
    <x:row r="78" ht="38" customHeight="1">
      <x:c r="A78" s="8" t="inlineStr">
        <x:is>
          <x:t xml:space="preserve">F04</x:t>
        </x:is>
      </x:c>
      <x:c r="B78" s="8" t="inlineStr">
        <x:is>
          <x:t xml:space="preserve">Tìm kiếm / bản đồ / vùng phục vụ</x:t>
        </x:is>
      </x:c>
      <x:c r="C78" s="8" t="inlineStr">
        <x:is>
          <x:t xml:space="preserve">DOC-029</x:t>
        </x:is>
      </x:c>
      <x:c r="D78" s="8" t="inlineStr">
        <x:is>
          <x:t xml:space="preserve">Mặc định 10km, mở rộng, vị trí khách hoặc cửa hàng</x:t>
        </x:is>
      </x:c>
      <x:c r="E78" s="8" t="inlineStr">
        <x:is>
          <x:t xml:space="preserve">Rà soát khi chức năng đổi</x:t>
        </x:is>
      </x:c>
      <x:c r="F78" s="8" t="inlineStr">
        <x:is>
          <x:t xml:space="preserve">Sửa nguồn; tái tạo bản xuất; đọc lại và ghi bằng chứng</x:t>
        </x:is>
      </x:c>
    </x:row>
    <x:row r="79" ht="38" customHeight="1">
      <x:c r="A79" s="8" t="inlineStr">
        <x:is>
          <x:t xml:space="preserve">F04</x:t>
        </x:is>
      </x:c>
      <x:c r="B79" s="8" t="inlineStr">
        <x:is>
          <x:t xml:space="preserve">Tìm kiếm / bản đồ / vùng phục vụ</x:t>
        </x:is>
      </x:c>
      <x:c r="C79" s="8" t="inlineStr">
        <x:is>
          <x:t xml:space="preserve">DOC-030</x:t>
        </x:is>
      </x:c>
      <x:c r="D79" s="8" t="inlineStr">
        <x:is>
          <x:t xml:space="preserve">Mặc định 10km, mở rộng, vị trí khách hoặc cửa hàng</x:t>
        </x:is>
      </x:c>
      <x:c r="E79" s="8" t="inlineStr">
        <x:is>
          <x:t xml:space="preserve">Rà soát khi chức năng đổi</x:t>
        </x:is>
      </x:c>
      <x:c r="F79" s="8" t="inlineStr">
        <x:is>
          <x:t xml:space="preserve">Sửa nguồn; tái tạo bản xuất; đọc lại và ghi bằng chứng</x:t>
        </x:is>
      </x:c>
    </x:row>
    <x:row r="80" ht="38" customHeight="1">
      <x:c r="A80" s="8" t="inlineStr">
        <x:is>
          <x:t xml:space="preserve">F04</x:t>
        </x:is>
      </x:c>
      <x:c r="B80" s="8" t="inlineStr">
        <x:is>
          <x:t xml:space="preserve">Tìm kiếm / bản đồ / vùng phục vụ</x:t>
        </x:is>
      </x:c>
      <x:c r="C80" s="8" t="inlineStr">
        <x:is>
          <x:t xml:space="preserve">DOC-031</x:t>
        </x:is>
      </x:c>
      <x:c r="D80" s="8" t="inlineStr">
        <x:is>
          <x:t xml:space="preserve">Mặc định 10km, mở rộng, vị trí khách hoặc cửa hàng</x:t>
        </x:is>
      </x:c>
      <x:c r="E80" s="8" t="inlineStr">
        <x:is>
          <x:t xml:space="preserve">Rà soát khi chức năng đổi</x:t>
        </x:is>
      </x:c>
      <x:c r="F80" s="8" t="inlineStr">
        <x:is>
          <x:t xml:space="preserve">Sửa nguồn; tái tạo bản xuất; đọc lại và ghi bằng chứng</x:t>
        </x:is>
      </x:c>
    </x:row>
    <x:row r="81" ht="38" customHeight="1">
      <x:c r="A81" s="8" t="inlineStr">
        <x:is>
          <x:t xml:space="preserve">F04</x:t>
        </x:is>
      </x:c>
      <x:c r="B81" s="8" t="inlineStr">
        <x:is>
          <x:t xml:space="preserve">Tìm kiếm / bản đồ / vùng phục vụ</x:t>
        </x:is>
      </x:c>
      <x:c r="C81" s="8" t="inlineStr">
        <x:is>
          <x:t xml:space="preserve">DOC-033</x:t>
        </x:is>
      </x:c>
      <x:c r="D81" s="8" t="inlineStr">
        <x:is>
          <x:t xml:space="preserve">Mặc định 10km, mở rộng, vị trí khách hoặc cửa hàng</x:t>
        </x:is>
      </x:c>
      <x:c r="E81" s="8" t="inlineStr">
        <x:is>
          <x:t xml:space="preserve">Rà soát khi chức năng đổi</x:t>
        </x:is>
      </x:c>
      <x:c r="F81" s="8" t="inlineStr">
        <x:is>
          <x:t xml:space="preserve">Sửa nguồn; tái tạo bản xuất; đọc lại và ghi bằng chứng</x:t>
        </x:is>
      </x:c>
    </x:row>
    <x:row r="82" ht="38" customHeight="1">
      <x:c r="A82" s="8" t="inlineStr">
        <x:is>
          <x:t xml:space="preserve">F05</x:t>
        </x:is>
      </x:c>
      <x:c r="B82" s="8" t="inlineStr">
        <x:is>
          <x:t xml:space="preserve">Bật / tắt nhận việc</x:t>
        </x:is>
      </x:c>
      <x:c r="C82" s="8" t="inlineStr">
        <x:is>
          <x:t xml:space="preserve">DOC-004</x:t>
        </x:is>
      </x:c>
      <x:c r="D82" s="8" t="inlineStr">
        <x:is>
          <x:t xml:space="preserve">Tắt ẩn tìm kiếm và chặn yêu cầu mới; giữ việc cũ</x:t>
        </x:is>
      </x:c>
      <x:c r="E82" s="8" t="inlineStr">
        <x:is>
          <x:t xml:space="preserve">Rà soát khi chức năng đổi</x:t>
        </x:is>
      </x:c>
      <x:c r="F82" s="8" t="inlineStr">
        <x:is>
          <x:t xml:space="preserve">Sửa nguồn; tái tạo bản xuất; đọc lại và ghi bằng chứng</x:t>
        </x:is>
      </x:c>
    </x:row>
    <x:row r="83" ht="38" customHeight="1">
      <x:c r="A83" s="8" t="inlineStr">
        <x:is>
          <x:t xml:space="preserve">F05</x:t>
        </x:is>
      </x:c>
      <x:c r="B83" s="8" t="inlineStr">
        <x:is>
          <x:t xml:space="preserve">Bật / tắt nhận việc</x:t>
        </x:is>
      </x:c>
      <x:c r="C83" s="8" t="inlineStr">
        <x:is>
          <x:t xml:space="preserve">DOC-005</x:t>
        </x:is>
      </x:c>
      <x:c r="D83" s="8" t="inlineStr">
        <x:is>
          <x:t xml:space="preserve">Tắt ẩn tìm kiếm và chặn yêu cầu mới; giữ việc cũ</x:t>
        </x:is>
      </x:c>
      <x:c r="E83" s="8" t="inlineStr">
        <x:is>
          <x:t xml:space="preserve">Rà soát khi chức năng đổi</x:t>
        </x:is>
      </x:c>
      <x:c r="F83" s="8" t="inlineStr">
        <x:is>
          <x:t xml:space="preserve">Sửa nguồn; tái tạo bản xuất; đọc lại và ghi bằng chứng</x:t>
        </x:is>
      </x:c>
    </x:row>
    <x:row r="84" ht="38" customHeight="1">
      <x:c r="A84" s="8" t="inlineStr">
        <x:is>
          <x:t xml:space="preserve">F05</x:t>
        </x:is>
      </x:c>
      <x:c r="B84" s="8" t="inlineStr">
        <x:is>
          <x:t xml:space="preserve">Bật / tắt nhận việc</x:t>
        </x:is>
      </x:c>
      <x:c r="C84" s="8" t="inlineStr">
        <x:is>
          <x:t xml:space="preserve">DOC-006</x:t>
        </x:is>
      </x:c>
      <x:c r="D84" s="8" t="inlineStr">
        <x:is>
          <x:t xml:space="preserve">Tắt ẩn tìm kiếm và chặn yêu cầu mới; giữ việc cũ</x:t>
        </x:is>
      </x:c>
      <x:c r="E84" s="8" t="inlineStr">
        <x:is>
          <x:t xml:space="preserve">Rà soát khi chức năng đổi</x:t>
        </x:is>
      </x:c>
      <x:c r="F84" s="8" t="inlineStr">
        <x:is>
          <x:t xml:space="preserve">Sửa nguồn; tái tạo bản xuất; đọc lại và ghi bằng chứng</x:t>
        </x:is>
      </x:c>
    </x:row>
    <x:row r="85" ht="38" customHeight="1">
      <x:c r="A85" s="8" t="inlineStr">
        <x:is>
          <x:t xml:space="preserve">F05</x:t>
        </x:is>
      </x:c>
      <x:c r="B85" s="8" t="inlineStr">
        <x:is>
          <x:t xml:space="preserve">Bật / tắt nhận việc</x:t>
        </x:is>
      </x:c>
      <x:c r="C85" s="8" t="inlineStr">
        <x:is>
          <x:t xml:space="preserve">DOC-007</x:t>
        </x:is>
      </x:c>
      <x:c r="D85" s="8" t="inlineStr">
        <x:is>
          <x:t xml:space="preserve">Tắt ẩn tìm kiếm và chặn yêu cầu mới; giữ việc cũ</x:t>
        </x:is>
      </x:c>
      <x:c r="E85" s="8" t="inlineStr">
        <x:is>
          <x:t xml:space="preserve">Rà soát khi chức năng đổi</x:t>
        </x:is>
      </x:c>
      <x:c r="F85" s="8" t="inlineStr">
        <x:is>
          <x:t xml:space="preserve">Sửa nguồn; tái tạo bản xuất; đọc lại và ghi bằng chứng</x:t>
        </x:is>
      </x:c>
    </x:row>
    <x:row r="86" ht="38" customHeight="1">
      <x:c r="A86" s="8" t="inlineStr">
        <x:is>
          <x:t xml:space="preserve">F05</x:t>
        </x:is>
      </x:c>
      <x:c r="B86" s="8" t="inlineStr">
        <x:is>
          <x:t xml:space="preserve">Bật / tắt nhận việc</x:t>
        </x:is>
      </x:c>
      <x:c r="C86" s="8" t="inlineStr">
        <x:is>
          <x:t xml:space="preserve">DOC-008</x:t>
        </x:is>
      </x:c>
      <x:c r="D86" s="8" t="inlineStr">
        <x:is>
          <x:t xml:space="preserve">Tắt ẩn tìm kiếm và chặn yêu cầu mới; giữ việc cũ</x:t>
        </x:is>
      </x:c>
      <x:c r="E86" s="8" t="inlineStr">
        <x:is>
          <x:t xml:space="preserve">Rà soát khi chức năng đổi</x:t>
        </x:is>
      </x:c>
      <x:c r="F86" s="8" t="inlineStr">
        <x:is>
          <x:t xml:space="preserve">Sửa nguồn; tái tạo bản xuất; đọc lại và ghi bằng chứng</x:t>
        </x:is>
      </x:c>
    </x:row>
    <x:row r="87" ht="38" customHeight="1">
      <x:c r="A87" s="8" t="inlineStr">
        <x:is>
          <x:t xml:space="preserve">F05</x:t>
        </x:is>
      </x:c>
      <x:c r="B87" s="8" t="inlineStr">
        <x:is>
          <x:t xml:space="preserve">Bật / tắt nhận việc</x:t>
        </x:is>
      </x:c>
      <x:c r="C87" s="8" t="inlineStr">
        <x:is>
          <x:t xml:space="preserve">DOC-012</x:t>
        </x:is>
      </x:c>
      <x:c r="D87" s="8" t="inlineStr">
        <x:is>
          <x:t xml:space="preserve">Tắt ẩn tìm kiếm và chặn yêu cầu mới; giữ việc cũ</x:t>
        </x:is>
      </x:c>
      <x:c r="E87" s="8" t="inlineStr">
        <x:is>
          <x:t xml:space="preserve">Rà soát khi chức năng đổi</x:t>
        </x:is>
      </x:c>
      <x:c r="F87" s="8" t="inlineStr">
        <x:is>
          <x:t xml:space="preserve">Sửa nguồn; tái tạo bản xuất; đọc lại và ghi bằng chứng</x:t>
        </x:is>
      </x:c>
    </x:row>
    <x:row r="88" ht="38" customHeight="1">
      <x:c r="A88" s="8" t="inlineStr">
        <x:is>
          <x:t xml:space="preserve">F05</x:t>
        </x:is>
      </x:c>
      <x:c r="B88" s="8" t="inlineStr">
        <x:is>
          <x:t xml:space="preserve">Bật / tắt nhận việc</x:t>
        </x:is>
      </x:c>
      <x:c r="C88" s="8" t="inlineStr">
        <x:is>
          <x:t xml:space="preserve">DOC-013</x:t>
        </x:is>
      </x:c>
      <x:c r="D88" s="8" t="inlineStr">
        <x:is>
          <x:t xml:space="preserve">Tắt ẩn tìm kiếm và chặn yêu cầu mới; giữ việc cũ</x:t>
        </x:is>
      </x:c>
      <x:c r="E88" s="8" t="inlineStr">
        <x:is>
          <x:t xml:space="preserve">Rà soát khi chức năng đổi</x:t>
        </x:is>
      </x:c>
      <x:c r="F88" s="8" t="inlineStr">
        <x:is>
          <x:t xml:space="preserve">Sửa nguồn; tái tạo bản xuất; đọc lại và ghi bằng chứng</x:t>
        </x:is>
      </x:c>
    </x:row>
    <x:row r="89" ht="38" customHeight="1">
      <x:c r="A89" s="8" t="inlineStr">
        <x:is>
          <x:t xml:space="preserve">F05</x:t>
        </x:is>
      </x:c>
      <x:c r="B89" s="8" t="inlineStr">
        <x:is>
          <x:t xml:space="preserve">Bật / tắt nhận việc</x:t>
        </x:is>
      </x:c>
      <x:c r="C89" s="8" t="inlineStr">
        <x:is>
          <x:t xml:space="preserve">DOC-015</x:t>
        </x:is>
      </x:c>
      <x:c r="D89" s="8" t="inlineStr">
        <x:is>
          <x:t xml:space="preserve">Tắt ẩn tìm kiếm và chặn yêu cầu mới; giữ việc cũ</x:t>
        </x:is>
      </x:c>
      <x:c r="E89" s="8" t="inlineStr">
        <x:is>
          <x:t xml:space="preserve">Rà soát khi chức năng đổi</x:t>
        </x:is>
      </x:c>
      <x:c r="F89" s="8" t="inlineStr">
        <x:is>
          <x:t xml:space="preserve">Sửa nguồn; tái tạo bản xuất; đọc lại và ghi bằng chứng</x:t>
        </x:is>
      </x:c>
    </x:row>
    <x:row r="90" ht="38" customHeight="1">
      <x:c r="A90" s="8" t="inlineStr">
        <x:is>
          <x:t xml:space="preserve">F05</x:t>
        </x:is>
      </x:c>
      <x:c r="B90" s="8" t="inlineStr">
        <x:is>
          <x:t xml:space="preserve">Bật / tắt nhận việc</x:t>
        </x:is>
      </x:c>
      <x:c r="C90" s="8" t="inlineStr">
        <x:is>
          <x:t xml:space="preserve">DOC-016</x:t>
        </x:is>
      </x:c>
      <x:c r="D90" s="8" t="inlineStr">
        <x:is>
          <x:t xml:space="preserve">Tắt ẩn tìm kiếm và chặn yêu cầu mới; giữ việc cũ</x:t>
        </x:is>
      </x:c>
      <x:c r="E90" s="8" t="inlineStr">
        <x:is>
          <x:t xml:space="preserve">Rà soát khi chức năng đổi</x:t>
        </x:is>
      </x:c>
      <x:c r="F90" s="8" t="inlineStr">
        <x:is>
          <x:t xml:space="preserve">Sửa nguồn; tái tạo bản xuất; đọc lại và ghi bằng chứng</x:t>
        </x:is>
      </x:c>
    </x:row>
    <x:row r="91" ht="38" customHeight="1">
      <x:c r="A91" s="8" t="inlineStr">
        <x:is>
          <x:t xml:space="preserve">F05</x:t>
        </x:is>
      </x:c>
      <x:c r="B91" s="8" t="inlineStr">
        <x:is>
          <x:t xml:space="preserve">Bật / tắt nhận việc</x:t>
        </x:is>
      </x:c>
      <x:c r="C91" s="8" t="inlineStr">
        <x:is>
          <x:t xml:space="preserve">DOC-017</x:t>
        </x:is>
      </x:c>
      <x:c r="D91" s="8" t="inlineStr">
        <x:is>
          <x:t xml:space="preserve">Tắt ẩn tìm kiếm và chặn yêu cầu mới; giữ việc cũ</x:t>
        </x:is>
      </x:c>
      <x:c r="E91" s="8" t="inlineStr">
        <x:is>
          <x:t xml:space="preserve">Rà soát khi chức năng đổi</x:t>
        </x:is>
      </x:c>
      <x:c r="F91" s="8" t="inlineStr">
        <x:is>
          <x:t xml:space="preserve">Sửa nguồn; tái tạo bản xuất; đọc lại và ghi bằng chứng</x:t>
        </x:is>
      </x:c>
    </x:row>
    <x:row r="92" ht="38" customHeight="1">
      <x:c r="A92" s="8" t="inlineStr">
        <x:is>
          <x:t xml:space="preserve">F05</x:t>
        </x:is>
      </x:c>
      <x:c r="B92" s="8" t="inlineStr">
        <x:is>
          <x:t xml:space="preserve">Bật / tắt nhận việc</x:t>
        </x:is>
      </x:c>
      <x:c r="C92" s="8" t="inlineStr">
        <x:is>
          <x:t xml:space="preserve">DOC-018</x:t>
        </x:is>
      </x:c>
      <x:c r="D92" s="8" t="inlineStr">
        <x:is>
          <x:t xml:space="preserve">Tắt ẩn tìm kiếm và chặn yêu cầu mới; giữ việc cũ</x:t>
        </x:is>
      </x:c>
      <x:c r="E92" s="8" t="inlineStr">
        <x:is>
          <x:t xml:space="preserve">Rà soát khi chức năng đổi</x:t>
        </x:is>
      </x:c>
      <x:c r="F92" s="8" t="inlineStr">
        <x:is>
          <x:t xml:space="preserve">Sửa nguồn; tái tạo bản xuất; đọc lại và ghi bằng chứng</x:t>
        </x:is>
      </x:c>
    </x:row>
    <x:row r="93" ht="38" customHeight="1">
      <x:c r="A93" s="8" t="inlineStr">
        <x:is>
          <x:t xml:space="preserve">F05</x:t>
        </x:is>
      </x:c>
      <x:c r="B93" s="8" t="inlineStr">
        <x:is>
          <x:t xml:space="preserve">Bật / tắt nhận việc</x:t>
        </x:is>
      </x:c>
      <x:c r="C93" s="8" t="inlineStr">
        <x:is>
          <x:t xml:space="preserve">DOC-025</x:t>
        </x:is>
      </x:c>
      <x:c r="D93" s="8" t="inlineStr">
        <x:is>
          <x:t xml:space="preserve">Tắt ẩn tìm kiếm và chặn yêu cầu mới; giữ việc cũ</x:t>
        </x:is>
      </x:c>
      <x:c r="E93" s="8" t="inlineStr">
        <x:is>
          <x:t xml:space="preserve">Rà soát khi chức năng đổi</x:t>
        </x:is>
      </x:c>
      <x:c r="F93" s="8" t="inlineStr">
        <x:is>
          <x:t xml:space="preserve">Sửa nguồn; tái tạo bản xuất; đọc lại và ghi bằng chứng</x:t>
        </x:is>
      </x:c>
    </x:row>
    <x:row r="94" ht="38" customHeight="1">
      <x:c r="A94" s="8" t="inlineStr">
        <x:is>
          <x:t xml:space="preserve">F05</x:t>
        </x:is>
      </x:c>
      <x:c r="B94" s="8" t="inlineStr">
        <x:is>
          <x:t xml:space="preserve">Bật / tắt nhận việc</x:t>
        </x:is>
      </x:c>
      <x:c r="C94" s="8" t="inlineStr">
        <x:is>
          <x:t xml:space="preserve">DOC-026</x:t>
        </x:is>
      </x:c>
      <x:c r="D94" s="8" t="inlineStr">
        <x:is>
          <x:t xml:space="preserve">Tắt ẩn tìm kiếm và chặn yêu cầu mới; giữ việc cũ</x:t>
        </x:is>
      </x:c>
      <x:c r="E94" s="8" t="inlineStr">
        <x:is>
          <x:t xml:space="preserve">Rà soát khi chức năng đổi</x:t>
        </x:is>
      </x:c>
      <x:c r="F94" s="8" t="inlineStr">
        <x:is>
          <x:t xml:space="preserve">Sửa nguồn; tái tạo bản xuất; đọc lại và ghi bằng chứng</x:t>
        </x:is>
      </x:c>
    </x:row>
    <x:row r="95" ht="38" customHeight="1">
      <x:c r="A95" s="8" t="inlineStr">
        <x:is>
          <x:t xml:space="preserve">F05</x:t>
        </x:is>
      </x:c>
      <x:c r="B95" s="8" t="inlineStr">
        <x:is>
          <x:t xml:space="preserve">Bật / tắt nhận việc</x:t>
        </x:is>
      </x:c>
      <x:c r="C95" s="8" t="inlineStr">
        <x:is>
          <x:t xml:space="preserve">DOC-027</x:t>
        </x:is>
      </x:c>
      <x:c r="D95" s="8" t="inlineStr">
        <x:is>
          <x:t xml:space="preserve">Tắt ẩn tìm kiếm và chặn yêu cầu mới; giữ việc cũ</x:t>
        </x:is>
      </x:c>
      <x:c r="E95" s="8" t="inlineStr">
        <x:is>
          <x:t xml:space="preserve">Rà soát khi chức năng đổi</x:t>
        </x:is>
      </x:c>
      <x:c r="F95" s="8" t="inlineStr">
        <x:is>
          <x:t xml:space="preserve">Sửa nguồn; tái tạo bản xuất; đọc lại và ghi bằng chứng</x:t>
        </x:is>
      </x:c>
    </x:row>
    <x:row r="96" ht="38" customHeight="1">
      <x:c r="A96" s="8" t="inlineStr">
        <x:is>
          <x:t xml:space="preserve">F05</x:t>
        </x:is>
      </x:c>
      <x:c r="B96" s="8" t="inlineStr">
        <x:is>
          <x:t xml:space="preserve">Bật / tắt nhận việc</x:t>
        </x:is>
      </x:c>
      <x:c r="C96" s="8" t="inlineStr">
        <x:is>
          <x:t xml:space="preserve">DOC-028</x:t>
        </x:is>
      </x:c>
      <x:c r="D96" s="8" t="inlineStr">
        <x:is>
          <x:t xml:space="preserve">Tắt ẩn tìm kiếm và chặn yêu cầu mới; giữ việc cũ</x:t>
        </x:is>
      </x:c>
      <x:c r="E96" s="8" t="inlineStr">
        <x:is>
          <x:t xml:space="preserve">Rà soát khi chức năng đổi</x:t>
        </x:is>
      </x:c>
      <x:c r="F96" s="8" t="inlineStr">
        <x:is>
          <x:t xml:space="preserve">Sửa nguồn; tái tạo bản xuất; đọc lại và ghi bằng chứng</x:t>
        </x:is>
      </x:c>
    </x:row>
    <x:row r="97" ht="38" customHeight="1">
      <x:c r="A97" s="8" t="inlineStr">
        <x:is>
          <x:t xml:space="preserve">F05</x:t>
        </x:is>
      </x:c>
      <x:c r="B97" s="8" t="inlineStr">
        <x:is>
          <x:t xml:space="preserve">Bật / tắt nhận việc</x:t>
        </x:is>
      </x:c>
      <x:c r="C97" s="8" t="inlineStr">
        <x:is>
          <x:t xml:space="preserve">DOC-029</x:t>
        </x:is>
      </x:c>
      <x:c r="D97" s="8" t="inlineStr">
        <x:is>
          <x:t xml:space="preserve">Tắt ẩn tìm kiếm và chặn yêu cầu mới; giữ việc cũ</x:t>
        </x:is>
      </x:c>
      <x:c r="E97" s="8" t="inlineStr">
        <x:is>
          <x:t xml:space="preserve">Rà soát khi chức năng đổi</x:t>
        </x:is>
      </x:c>
      <x:c r="F97" s="8" t="inlineStr">
        <x:is>
          <x:t xml:space="preserve">Sửa nguồn; tái tạo bản xuất; đọc lại và ghi bằng chứng</x:t>
        </x:is>
      </x:c>
    </x:row>
    <x:row r="98" ht="38" customHeight="1">
      <x:c r="A98" s="8" t="inlineStr">
        <x:is>
          <x:t xml:space="preserve">F05</x:t>
        </x:is>
      </x:c>
      <x:c r="B98" s="8" t="inlineStr">
        <x:is>
          <x:t xml:space="preserve">Bật / tắt nhận việc</x:t>
        </x:is>
      </x:c>
      <x:c r="C98" s="8" t="inlineStr">
        <x:is>
          <x:t xml:space="preserve">DOC-030</x:t>
        </x:is>
      </x:c>
      <x:c r="D98" s="8" t="inlineStr">
        <x:is>
          <x:t xml:space="preserve">Tắt ẩn tìm kiếm và chặn yêu cầu mới; giữ việc cũ</x:t>
        </x:is>
      </x:c>
      <x:c r="E98" s="8" t="inlineStr">
        <x:is>
          <x:t xml:space="preserve">Rà soát khi chức năng đổi</x:t>
        </x:is>
      </x:c>
      <x:c r="F98" s="8" t="inlineStr">
        <x:is>
          <x:t xml:space="preserve">Sửa nguồn; tái tạo bản xuất; đọc lại và ghi bằng chứng</x:t>
        </x:is>
      </x:c>
    </x:row>
    <x:row r="99" ht="38" customHeight="1">
      <x:c r="A99" s="8" t="inlineStr">
        <x:is>
          <x:t xml:space="preserve">F05</x:t>
        </x:is>
      </x:c>
      <x:c r="B99" s="8" t="inlineStr">
        <x:is>
          <x:t xml:space="preserve">Bật / tắt nhận việc</x:t>
        </x:is>
      </x:c>
      <x:c r="C99" s="8" t="inlineStr">
        <x:is>
          <x:t xml:space="preserve">DOC-031</x:t>
        </x:is>
      </x:c>
      <x:c r="D99" s="8" t="inlineStr">
        <x:is>
          <x:t xml:space="preserve">Tắt ẩn tìm kiếm và chặn yêu cầu mới; giữ việc cũ</x:t>
        </x:is>
      </x:c>
      <x:c r="E99" s="8" t="inlineStr">
        <x:is>
          <x:t xml:space="preserve">Rà soát khi chức năng đổi</x:t>
        </x:is>
      </x:c>
      <x:c r="F99" s="8" t="inlineStr">
        <x:is>
          <x:t xml:space="preserve">Sửa nguồn; tái tạo bản xuất; đọc lại và ghi bằng chứng</x:t>
        </x:is>
      </x:c>
    </x:row>
    <x:row r="100" ht="38" customHeight="1">
      <x:c r="A100" s="8" t="inlineStr">
        <x:is>
          <x:t xml:space="preserve">F05</x:t>
        </x:is>
      </x:c>
      <x:c r="B100" s="8" t="inlineStr">
        <x:is>
          <x:t xml:space="preserve">Bật / tắt nhận việc</x:t>
        </x:is>
      </x:c>
      <x:c r="C100" s="8" t="inlineStr">
        <x:is>
          <x:t xml:space="preserve">DOC-033</x:t>
        </x:is>
      </x:c>
      <x:c r="D100" s="8" t="inlineStr">
        <x:is>
          <x:t xml:space="preserve">Tắt ẩn tìm kiếm và chặn yêu cầu mới; giữ việc cũ</x:t>
        </x:is>
      </x:c>
      <x:c r="E100" s="8" t="inlineStr">
        <x:is>
          <x:t xml:space="preserve">Rà soát khi chức năng đổi</x:t>
        </x:is>
      </x:c>
      <x:c r="F100" s="8" t="inlineStr">
        <x:is>
          <x:t xml:space="preserve">Sửa nguồn; tái tạo bản xuất; đọc lại và ghi bằng chứng</x:t>
        </x:is>
      </x:c>
    </x:row>
    <x:row r="101" ht="38" customHeight="1">
      <x:c r="A101" s="8" t="inlineStr">
        <x:is>
          <x:t xml:space="preserve">F06</x:t>
        </x:is>
      </x:c>
      <x:c r="B101" s="8" t="inlineStr">
        <x:is>
          <x:t xml:space="preserve">Thuê ngay / hẹn trước</x:t>
        </x:is>
      </x:c>
      <x:c r="C101" s="8" t="inlineStr">
        <x:is>
          <x:t xml:space="preserve">DOC-004</x:t>
        </x:is>
      </x:c>
      <x:c r="D101" s="8" t="inlineStr">
        <x:is>
          <x:t xml:space="preserve">Nhận, từ chối, ETA và yêu cầu nhẹ</x:t>
        </x:is>
      </x:c>
      <x:c r="E101" s="8" t="inlineStr">
        <x:is>
          <x:t xml:space="preserve">Rà soát khi chức năng đổi</x:t>
        </x:is>
      </x:c>
      <x:c r="F101" s="8" t="inlineStr">
        <x:is>
          <x:t xml:space="preserve">Sửa nguồn; tái tạo bản xuất; đọc lại và ghi bằng chứng</x:t>
        </x:is>
      </x:c>
    </x:row>
    <x:row r="102" ht="38" customHeight="1">
      <x:c r="A102" s="8" t="inlineStr">
        <x:is>
          <x:t xml:space="preserve">F06</x:t>
        </x:is>
      </x:c>
      <x:c r="B102" s="8" t="inlineStr">
        <x:is>
          <x:t xml:space="preserve">Thuê ngay / hẹn trước</x:t>
        </x:is>
      </x:c>
      <x:c r="C102" s="8" t="inlineStr">
        <x:is>
          <x:t xml:space="preserve">DOC-005</x:t>
        </x:is>
      </x:c>
      <x:c r="D102" s="8" t="inlineStr">
        <x:is>
          <x:t xml:space="preserve">Nhận, từ chối, ETA và yêu cầu nhẹ</x:t>
        </x:is>
      </x:c>
      <x:c r="E102" s="8" t="inlineStr">
        <x:is>
          <x:t xml:space="preserve">Rà soát khi chức năng đổi</x:t>
        </x:is>
      </x:c>
      <x:c r="F102" s="8" t="inlineStr">
        <x:is>
          <x:t xml:space="preserve">Sửa nguồn; tái tạo bản xuất; đọc lại và ghi bằng chứng</x:t>
        </x:is>
      </x:c>
    </x:row>
    <x:row r="103" ht="38" customHeight="1">
      <x:c r="A103" s="8" t="inlineStr">
        <x:is>
          <x:t xml:space="preserve">F06</x:t>
        </x:is>
      </x:c>
      <x:c r="B103" s="8" t="inlineStr">
        <x:is>
          <x:t xml:space="preserve">Thuê ngay / hẹn trước</x:t>
        </x:is>
      </x:c>
      <x:c r="C103" s="8" t="inlineStr">
        <x:is>
          <x:t xml:space="preserve">DOC-006</x:t>
        </x:is>
      </x:c>
      <x:c r="D103" s="8" t="inlineStr">
        <x:is>
          <x:t xml:space="preserve">Nhận, từ chối, ETA và yêu cầu nhẹ</x:t>
        </x:is>
      </x:c>
      <x:c r="E103" s="8" t="inlineStr">
        <x:is>
          <x:t xml:space="preserve">Rà soát khi chức năng đổi</x:t>
        </x:is>
      </x:c>
      <x:c r="F103" s="8" t="inlineStr">
        <x:is>
          <x:t xml:space="preserve">Sửa nguồn; tái tạo bản xuất; đọc lại và ghi bằng chứng</x:t>
        </x:is>
      </x:c>
    </x:row>
    <x:row r="104" ht="38" customHeight="1">
      <x:c r="A104" s="8" t="inlineStr">
        <x:is>
          <x:t xml:space="preserve">F06</x:t>
        </x:is>
      </x:c>
      <x:c r="B104" s="8" t="inlineStr">
        <x:is>
          <x:t xml:space="preserve">Thuê ngay / hẹn trước</x:t>
        </x:is>
      </x:c>
      <x:c r="C104" s="8" t="inlineStr">
        <x:is>
          <x:t xml:space="preserve">DOC-007</x:t>
        </x:is>
      </x:c>
      <x:c r="D104" s="8" t="inlineStr">
        <x:is>
          <x:t xml:space="preserve">Nhận, từ chối, ETA và yêu cầu nhẹ</x:t>
        </x:is>
      </x:c>
      <x:c r="E104" s="8" t="inlineStr">
        <x:is>
          <x:t xml:space="preserve">Rà soát khi chức năng đổi</x:t>
        </x:is>
      </x:c>
      <x:c r="F104" s="8" t="inlineStr">
        <x:is>
          <x:t xml:space="preserve">Sửa nguồn; tái tạo bản xuất; đọc lại và ghi bằng chứng</x:t>
        </x:is>
      </x:c>
    </x:row>
    <x:row r="105" ht="38" customHeight="1">
      <x:c r="A105" s="8" t="inlineStr">
        <x:is>
          <x:t xml:space="preserve">F06</x:t>
        </x:is>
      </x:c>
      <x:c r="B105" s="8" t="inlineStr">
        <x:is>
          <x:t xml:space="preserve">Thuê ngay / hẹn trước</x:t>
        </x:is>
      </x:c>
      <x:c r="C105" s="8" t="inlineStr">
        <x:is>
          <x:t xml:space="preserve">DOC-008</x:t>
        </x:is>
      </x:c>
      <x:c r="D105" s="8" t="inlineStr">
        <x:is>
          <x:t xml:space="preserve">Nhận, từ chối, ETA và yêu cầu nhẹ</x:t>
        </x:is>
      </x:c>
      <x:c r="E105" s="8" t="inlineStr">
        <x:is>
          <x:t xml:space="preserve">Rà soát khi chức năng đổi</x:t>
        </x:is>
      </x:c>
      <x:c r="F105" s="8" t="inlineStr">
        <x:is>
          <x:t xml:space="preserve">Sửa nguồn; tái tạo bản xuất; đọc lại và ghi bằng chứng</x:t>
        </x:is>
      </x:c>
    </x:row>
    <x:row r="106" ht="38" customHeight="1">
      <x:c r="A106" s="8" t="inlineStr">
        <x:is>
          <x:t xml:space="preserve">F06</x:t>
        </x:is>
      </x:c>
      <x:c r="B106" s="8" t="inlineStr">
        <x:is>
          <x:t xml:space="preserve">Thuê ngay / hẹn trước</x:t>
        </x:is>
      </x:c>
      <x:c r="C106" s="8" t="inlineStr">
        <x:is>
          <x:t xml:space="preserve">DOC-012</x:t>
        </x:is>
      </x:c>
      <x:c r="D106" s="8" t="inlineStr">
        <x:is>
          <x:t xml:space="preserve">Nhận, từ chối, ETA và yêu cầu nhẹ</x:t>
        </x:is>
      </x:c>
      <x:c r="E106" s="8" t="inlineStr">
        <x:is>
          <x:t xml:space="preserve">Rà soát khi chức năng đổi</x:t>
        </x:is>
      </x:c>
      <x:c r="F106" s="8" t="inlineStr">
        <x:is>
          <x:t xml:space="preserve">Sửa nguồn; tái tạo bản xuất; đọc lại và ghi bằng chứng</x:t>
        </x:is>
      </x:c>
    </x:row>
    <x:row r="107" ht="38" customHeight="1">
      <x:c r="A107" s="8" t="inlineStr">
        <x:is>
          <x:t xml:space="preserve">F06</x:t>
        </x:is>
      </x:c>
      <x:c r="B107" s="8" t="inlineStr">
        <x:is>
          <x:t xml:space="preserve">Thuê ngay / hẹn trước</x:t>
        </x:is>
      </x:c>
      <x:c r="C107" s="8" t="inlineStr">
        <x:is>
          <x:t xml:space="preserve">DOC-013</x:t>
        </x:is>
      </x:c>
      <x:c r="D107" s="8" t="inlineStr">
        <x:is>
          <x:t xml:space="preserve">Nhận, từ chối, ETA và yêu cầu nhẹ</x:t>
        </x:is>
      </x:c>
      <x:c r="E107" s="8" t="inlineStr">
        <x:is>
          <x:t xml:space="preserve">Rà soát khi chức năng đổi</x:t>
        </x:is>
      </x:c>
      <x:c r="F107" s="8" t="inlineStr">
        <x:is>
          <x:t xml:space="preserve">Sửa nguồn; tái tạo bản xuất; đọc lại và ghi bằng chứng</x:t>
        </x:is>
      </x:c>
    </x:row>
    <x:row r="108" ht="38" customHeight="1">
      <x:c r="A108" s="8" t="inlineStr">
        <x:is>
          <x:t xml:space="preserve">F06</x:t>
        </x:is>
      </x:c>
      <x:c r="B108" s="8" t="inlineStr">
        <x:is>
          <x:t xml:space="preserve">Thuê ngay / hẹn trước</x:t>
        </x:is>
      </x:c>
      <x:c r="C108" s="8" t="inlineStr">
        <x:is>
          <x:t xml:space="preserve">DOC-015</x:t>
        </x:is>
      </x:c>
      <x:c r="D108" s="8" t="inlineStr">
        <x:is>
          <x:t xml:space="preserve">Nhận, từ chối, ETA và yêu cầu nhẹ</x:t>
        </x:is>
      </x:c>
      <x:c r="E108" s="8" t="inlineStr">
        <x:is>
          <x:t xml:space="preserve">Rà soát khi chức năng đổi</x:t>
        </x:is>
      </x:c>
      <x:c r="F108" s="8" t="inlineStr">
        <x:is>
          <x:t xml:space="preserve">Sửa nguồn; tái tạo bản xuất; đọc lại và ghi bằng chứng</x:t>
        </x:is>
      </x:c>
    </x:row>
    <x:row r="109" ht="38" customHeight="1">
      <x:c r="A109" s="8" t="inlineStr">
        <x:is>
          <x:t xml:space="preserve">F06</x:t>
        </x:is>
      </x:c>
      <x:c r="B109" s="8" t="inlineStr">
        <x:is>
          <x:t xml:space="preserve">Thuê ngay / hẹn trước</x:t>
        </x:is>
      </x:c>
      <x:c r="C109" s="8" t="inlineStr">
        <x:is>
          <x:t xml:space="preserve">DOC-014</x:t>
        </x:is>
      </x:c>
      <x:c r="D109" s="8" t="inlineStr">
        <x:is>
          <x:t xml:space="preserve">Nhận, từ chối, ETA và yêu cầu nhẹ</x:t>
        </x:is>
      </x:c>
      <x:c r="E109" s="8" t="inlineStr">
        <x:is>
          <x:t xml:space="preserve">Rà soát khi chức năng đổi</x:t>
        </x:is>
      </x:c>
      <x:c r="F109" s="8" t="inlineStr">
        <x:is>
          <x:t xml:space="preserve">Sửa nguồn; tái tạo bản xuất; đọc lại và ghi bằng chứng</x:t>
        </x:is>
      </x:c>
    </x:row>
    <x:row r="110" ht="38" customHeight="1">
      <x:c r="A110" s="8" t="inlineStr">
        <x:is>
          <x:t xml:space="preserve">F06</x:t>
        </x:is>
      </x:c>
      <x:c r="B110" s="8" t="inlineStr">
        <x:is>
          <x:t xml:space="preserve">Thuê ngay / hẹn trước</x:t>
        </x:is>
      </x:c>
      <x:c r="C110" s="8" t="inlineStr">
        <x:is>
          <x:t xml:space="preserve">DOC-016</x:t>
        </x:is>
      </x:c>
      <x:c r="D110" s="8" t="inlineStr">
        <x:is>
          <x:t xml:space="preserve">Nhận, từ chối, ETA và yêu cầu nhẹ</x:t>
        </x:is>
      </x:c>
      <x:c r="E110" s="8" t="inlineStr">
        <x:is>
          <x:t xml:space="preserve">Rà soát khi chức năng đổi</x:t>
        </x:is>
      </x:c>
      <x:c r="F110" s="8" t="inlineStr">
        <x:is>
          <x:t xml:space="preserve">Sửa nguồn; tái tạo bản xuất; đọc lại và ghi bằng chứng</x:t>
        </x:is>
      </x:c>
    </x:row>
    <x:row r="111" ht="38" customHeight="1">
      <x:c r="A111" s="8" t="inlineStr">
        <x:is>
          <x:t xml:space="preserve">F06</x:t>
        </x:is>
      </x:c>
      <x:c r="B111" s="8" t="inlineStr">
        <x:is>
          <x:t xml:space="preserve">Thuê ngay / hẹn trước</x:t>
        </x:is>
      </x:c>
      <x:c r="C111" s="8" t="inlineStr">
        <x:is>
          <x:t xml:space="preserve">DOC-017</x:t>
        </x:is>
      </x:c>
      <x:c r="D111" s="8" t="inlineStr">
        <x:is>
          <x:t xml:space="preserve">Nhận, từ chối, ETA và yêu cầu nhẹ</x:t>
        </x:is>
      </x:c>
      <x:c r="E111" s="8" t="inlineStr">
        <x:is>
          <x:t xml:space="preserve">Rà soát khi chức năng đổi</x:t>
        </x:is>
      </x:c>
      <x:c r="F111" s="8" t="inlineStr">
        <x:is>
          <x:t xml:space="preserve">Sửa nguồn; tái tạo bản xuất; đọc lại và ghi bằng chứng</x:t>
        </x:is>
      </x:c>
    </x:row>
    <x:row r="112" ht="38" customHeight="1">
      <x:c r="A112" s="8" t="inlineStr">
        <x:is>
          <x:t xml:space="preserve">F06</x:t>
        </x:is>
      </x:c>
      <x:c r="B112" s="8" t="inlineStr">
        <x:is>
          <x:t xml:space="preserve">Thuê ngay / hẹn trước</x:t>
        </x:is>
      </x:c>
      <x:c r="C112" s="8" t="inlineStr">
        <x:is>
          <x:t xml:space="preserve">DOC-018</x:t>
        </x:is>
      </x:c>
      <x:c r="D112" s="8" t="inlineStr">
        <x:is>
          <x:t xml:space="preserve">Nhận, từ chối, ETA và yêu cầu nhẹ</x:t>
        </x:is>
      </x:c>
      <x:c r="E112" s="8" t="inlineStr">
        <x:is>
          <x:t xml:space="preserve">Rà soát khi chức năng đổi</x:t>
        </x:is>
      </x:c>
      <x:c r="F112" s="8" t="inlineStr">
        <x:is>
          <x:t xml:space="preserve">Sửa nguồn; tái tạo bản xuất; đọc lại và ghi bằng chứng</x:t>
        </x:is>
      </x:c>
    </x:row>
    <x:row r="113" ht="38" customHeight="1">
      <x:c r="A113" s="8" t="inlineStr">
        <x:is>
          <x:t xml:space="preserve">F06</x:t>
        </x:is>
      </x:c>
      <x:c r="B113" s="8" t="inlineStr">
        <x:is>
          <x:t xml:space="preserve">Thuê ngay / hẹn trước</x:t>
        </x:is>
      </x:c>
      <x:c r="C113" s="8" t="inlineStr">
        <x:is>
          <x:t xml:space="preserve">DOC-025</x:t>
        </x:is>
      </x:c>
      <x:c r="D113" s="8" t="inlineStr">
        <x:is>
          <x:t xml:space="preserve">Nhận, từ chối, ETA và yêu cầu nhẹ</x:t>
        </x:is>
      </x:c>
      <x:c r="E113" s="8" t="inlineStr">
        <x:is>
          <x:t xml:space="preserve">Rà soát khi chức năng đổi</x:t>
        </x:is>
      </x:c>
      <x:c r="F113" s="8" t="inlineStr">
        <x:is>
          <x:t xml:space="preserve">Sửa nguồn; tái tạo bản xuất; đọc lại và ghi bằng chứng</x:t>
        </x:is>
      </x:c>
    </x:row>
    <x:row r="114" ht="38" customHeight="1">
      <x:c r="A114" s="8" t="inlineStr">
        <x:is>
          <x:t xml:space="preserve">F06</x:t>
        </x:is>
      </x:c>
      <x:c r="B114" s="8" t="inlineStr">
        <x:is>
          <x:t xml:space="preserve">Thuê ngay / hẹn trước</x:t>
        </x:is>
      </x:c>
      <x:c r="C114" s="8" t="inlineStr">
        <x:is>
          <x:t xml:space="preserve">DOC-026</x:t>
        </x:is>
      </x:c>
      <x:c r="D114" s="8" t="inlineStr">
        <x:is>
          <x:t xml:space="preserve">Nhận, từ chối, ETA và yêu cầu nhẹ</x:t>
        </x:is>
      </x:c>
      <x:c r="E114" s="8" t="inlineStr">
        <x:is>
          <x:t xml:space="preserve">Rà soát khi chức năng đổi</x:t>
        </x:is>
      </x:c>
      <x:c r="F114" s="8" t="inlineStr">
        <x:is>
          <x:t xml:space="preserve">Sửa nguồn; tái tạo bản xuất; đọc lại và ghi bằng chứng</x:t>
        </x:is>
      </x:c>
    </x:row>
    <x:row r="115" ht="38" customHeight="1">
      <x:c r="A115" s="8" t="inlineStr">
        <x:is>
          <x:t xml:space="preserve">F06</x:t>
        </x:is>
      </x:c>
      <x:c r="B115" s="8" t="inlineStr">
        <x:is>
          <x:t xml:space="preserve">Thuê ngay / hẹn trước</x:t>
        </x:is>
      </x:c>
      <x:c r="C115" s="8" t="inlineStr">
        <x:is>
          <x:t xml:space="preserve">DOC-027</x:t>
        </x:is>
      </x:c>
      <x:c r="D115" s="8" t="inlineStr">
        <x:is>
          <x:t xml:space="preserve">Nhận, từ chối, ETA và yêu cầu nhẹ</x:t>
        </x:is>
      </x:c>
      <x:c r="E115" s="8" t="inlineStr">
        <x:is>
          <x:t xml:space="preserve">Rà soát khi chức năng đổi</x:t>
        </x:is>
      </x:c>
      <x:c r="F115" s="8" t="inlineStr">
        <x:is>
          <x:t xml:space="preserve">Sửa nguồn; tái tạo bản xuất; đọc lại và ghi bằng chứng</x:t>
        </x:is>
      </x:c>
    </x:row>
    <x:row r="116" ht="38" customHeight="1">
      <x:c r="A116" s="8" t="inlineStr">
        <x:is>
          <x:t xml:space="preserve">F06</x:t>
        </x:is>
      </x:c>
      <x:c r="B116" s="8" t="inlineStr">
        <x:is>
          <x:t xml:space="preserve">Thuê ngay / hẹn trước</x:t>
        </x:is>
      </x:c>
      <x:c r="C116" s="8" t="inlineStr">
        <x:is>
          <x:t xml:space="preserve">DOC-028</x:t>
        </x:is>
      </x:c>
      <x:c r="D116" s="8" t="inlineStr">
        <x:is>
          <x:t xml:space="preserve">Nhận, từ chối, ETA và yêu cầu nhẹ</x:t>
        </x:is>
      </x:c>
      <x:c r="E116" s="8" t="inlineStr">
        <x:is>
          <x:t xml:space="preserve">Rà soát khi chức năng đổi</x:t>
        </x:is>
      </x:c>
      <x:c r="F116" s="8" t="inlineStr">
        <x:is>
          <x:t xml:space="preserve">Sửa nguồn; tái tạo bản xuất; đọc lại và ghi bằng chứng</x:t>
        </x:is>
      </x:c>
    </x:row>
    <x:row r="117" ht="38" customHeight="1">
      <x:c r="A117" s="8" t="inlineStr">
        <x:is>
          <x:t xml:space="preserve">F06</x:t>
        </x:is>
      </x:c>
      <x:c r="B117" s="8" t="inlineStr">
        <x:is>
          <x:t xml:space="preserve">Thuê ngay / hẹn trước</x:t>
        </x:is>
      </x:c>
      <x:c r="C117" s="8" t="inlineStr">
        <x:is>
          <x:t xml:space="preserve">DOC-029</x:t>
        </x:is>
      </x:c>
      <x:c r="D117" s="8" t="inlineStr">
        <x:is>
          <x:t xml:space="preserve">Nhận, từ chối, ETA và yêu cầu nhẹ</x:t>
        </x:is>
      </x:c>
      <x:c r="E117" s="8" t="inlineStr">
        <x:is>
          <x:t xml:space="preserve">Rà soát khi chức năng đổi</x:t>
        </x:is>
      </x:c>
      <x:c r="F117" s="8" t="inlineStr">
        <x:is>
          <x:t xml:space="preserve">Sửa nguồn; tái tạo bản xuất; đọc lại và ghi bằng chứng</x:t>
        </x:is>
      </x:c>
    </x:row>
    <x:row r="118" ht="38" customHeight="1">
      <x:c r="A118" s="8" t="inlineStr">
        <x:is>
          <x:t xml:space="preserve">F06</x:t>
        </x:is>
      </x:c>
      <x:c r="B118" s="8" t="inlineStr">
        <x:is>
          <x:t xml:space="preserve">Thuê ngay / hẹn trước</x:t>
        </x:is>
      </x:c>
      <x:c r="C118" s="8" t="inlineStr">
        <x:is>
          <x:t xml:space="preserve">DOC-030</x:t>
        </x:is>
      </x:c>
      <x:c r="D118" s="8" t="inlineStr">
        <x:is>
          <x:t xml:space="preserve">Nhận, từ chối, ETA và yêu cầu nhẹ</x:t>
        </x:is>
      </x:c>
      <x:c r="E118" s="8" t="inlineStr">
        <x:is>
          <x:t xml:space="preserve">Rà soát khi chức năng đổi</x:t>
        </x:is>
      </x:c>
      <x:c r="F118" s="8" t="inlineStr">
        <x:is>
          <x:t xml:space="preserve">Sửa nguồn; tái tạo bản xuất; đọc lại và ghi bằng chứng</x:t>
        </x:is>
      </x:c>
    </x:row>
    <x:row r="119" ht="38" customHeight="1">
      <x:c r="A119" s="8" t="inlineStr">
        <x:is>
          <x:t xml:space="preserve">F06</x:t>
        </x:is>
      </x:c>
      <x:c r="B119" s="8" t="inlineStr">
        <x:is>
          <x:t xml:space="preserve">Thuê ngay / hẹn trước</x:t>
        </x:is>
      </x:c>
      <x:c r="C119" s="8" t="inlineStr">
        <x:is>
          <x:t xml:space="preserve">DOC-031</x:t>
        </x:is>
      </x:c>
      <x:c r="D119" s="8" t="inlineStr">
        <x:is>
          <x:t xml:space="preserve">Nhận, từ chối, ETA và yêu cầu nhẹ</x:t>
        </x:is>
      </x:c>
      <x:c r="E119" s="8" t="inlineStr">
        <x:is>
          <x:t xml:space="preserve">Rà soát khi chức năng đổi</x:t>
        </x:is>
      </x:c>
      <x:c r="F119" s="8" t="inlineStr">
        <x:is>
          <x:t xml:space="preserve">Sửa nguồn; tái tạo bản xuất; đọc lại và ghi bằng chứng</x:t>
        </x:is>
      </x:c>
    </x:row>
    <x:row r="120" ht="38" customHeight="1">
      <x:c r="A120" s="8" t="inlineStr">
        <x:is>
          <x:t xml:space="preserve">F06</x:t>
        </x:is>
      </x:c>
      <x:c r="B120" s="8" t="inlineStr">
        <x:is>
          <x:t xml:space="preserve">Thuê ngay / hẹn trước</x:t>
        </x:is>
      </x:c>
      <x:c r="C120" s="8" t="inlineStr">
        <x:is>
          <x:t xml:space="preserve">DOC-033</x:t>
        </x:is>
      </x:c>
      <x:c r="D120" s="8" t="inlineStr">
        <x:is>
          <x:t xml:space="preserve">Nhận, từ chối, ETA và yêu cầu nhẹ</x:t>
        </x:is>
      </x:c>
      <x:c r="E120" s="8" t="inlineStr">
        <x:is>
          <x:t xml:space="preserve">Rà soát khi chức năng đổi</x:t>
        </x:is>
      </x:c>
      <x:c r="F120" s="8" t="inlineStr">
        <x:is>
          <x:t xml:space="preserve">Sửa nguồn; tái tạo bản xuất; đọc lại và ghi bằng chứng</x:t>
        </x:is>
      </x:c>
    </x:row>
    <x:row r="121" ht="38" customHeight="1">
      <x:c r="A121" s="8" t="inlineStr">
        <x:is>
          <x:t xml:space="preserve">F07</x:t>
        </x:is>
      </x:c>
      <x:c r="B121" s="8" t="inlineStr">
        <x:is>
          <x:t xml:space="preserve">Đổi lịch / dừng việc</x:t>
        </x:is>
      </x:c>
      <x:c r="C121" s="8" t="inlineStr">
        <x:is>
          <x:t xml:space="preserve">DOC-004</x:t>
        </x:is>
      </x:c>
      <x:c r="D121" s="8" t="inlineStr">
        <x:is>
          <x:t xml:space="preserve">Không cần bên kia xác nhận lịch; nhắc 24h/1h</x:t>
        </x:is>
      </x:c>
      <x:c r="E121" s="8" t="inlineStr">
        <x:is>
          <x:t xml:space="preserve">Rà soát khi chức năng đổi</x:t>
        </x:is>
      </x:c>
      <x:c r="F121" s="8" t="inlineStr">
        <x:is>
          <x:t xml:space="preserve">Sửa nguồn; tái tạo bản xuất; đọc lại và ghi bằng chứng</x:t>
        </x:is>
      </x:c>
    </x:row>
    <x:row r="122" ht="38" customHeight="1">
      <x:c r="A122" s="8" t="inlineStr">
        <x:is>
          <x:t xml:space="preserve">F07</x:t>
        </x:is>
      </x:c>
      <x:c r="B122" s="8" t="inlineStr">
        <x:is>
          <x:t xml:space="preserve">Đổi lịch / dừng việc</x:t>
        </x:is>
      </x:c>
      <x:c r="C122" s="8" t="inlineStr">
        <x:is>
          <x:t xml:space="preserve">DOC-005</x:t>
        </x:is>
      </x:c>
      <x:c r="D122" s="8" t="inlineStr">
        <x:is>
          <x:t xml:space="preserve">Không cần bên kia xác nhận lịch; nhắc 24h/1h</x:t>
        </x:is>
      </x:c>
      <x:c r="E122" s="8" t="inlineStr">
        <x:is>
          <x:t xml:space="preserve">Rà soát khi chức năng đổi</x:t>
        </x:is>
      </x:c>
      <x:c r="F122" s="8" t="inlineStr">
        <x:is>
          <x:t xml:space="preserve">Sửa nguồn; tái tạo bản xuất; đọc lại và ghi bằng chứng</x:t>
        </x:is>
      </x:c>
    </x:row>
    <x:row r="123" ht="38" customHeight="1">
      <x:c r="A123" s="8" t="inlineStr">
        <x:is>
          <x:t xml:space="preserve">F07</x:t>
        </x:is>
      </x:c>
      <x:c r="B123" s="8" t="inlineStr">
        <x:is>
          <x:t xml:space="preserve">Đổi lịch / dừng việc</x:t>
        </x:is>
      </x:c>
      <x:c r="C123" s="8" t="inlineStr">
        <x:is>
          <x:t xml:space="preserve">DOC-006</x:t>
        </x:is>
      </x:c>
      <x:c r="D123" s="8" t="inlineStr">
        <x:is>
          <x:t xml:space="preserve">Không cần bên kia xác nhận lịch; nhắc 24h/1h</x:t>
        </x:is>
      </x:c>
      <x:c r="E123" s="8" t="inlineStr">
        <x:is>
          <x:t xml:space="preserve">Rà soát khi chức năng đổi</x:t>
        </x:is>
      </x:c>
      <x:c r="F123" s="8" t="inlineStr">
        <x:is>
          <x:t xml:space="preserve">Sửa nguồn; tái tạo bản xuất; đọc lại và ghi bằng chứng</x:t>
        </x:is>
      </x:c>
    </x:row>
    <x:row r="124" ht="38" customHeight="1">
      <x:c r="A124" s="8" t="inlineStr">
        <x:is>
          <x:t xml:space="preserve">F07</x:t>
        </x:is>
      </x:c>
      <x:c r="B124" s="8" t="inlineStr">
        <x:is>
          <x:t xml:space="preserve">Đổi lịch / dừng việc</x:t>
        </x:is>
      </x:c>
      <x:c r="C124" s="8" t="inlineStr">
        <x:is>
          <x:t xml:space="preserve">DOC-007</x:t>
        </x:is>
      </x:c>
      <x:c r="D124" s="8" t="inlineStr">
        <x:is>
          <x:t xml:space="preserve">Không cần bên kia xác nhận lịch; nhắc 24h/1h</x:t>
        </x:is>
      </x:c>
      <x:c r="E124" s="8" t="inlineStr">
        <x:is>
          <x:t xml:space="preserve">Rà soát khi chức năng đổi</x:t>
        </x:is>
      </x:c>
      <x:c r="F124" s="8" t="inlineStr">
        <x:is>
          <x:t xml:space="preserve">Sửa nguồn; tái tạo bản xuất; đọc lại và ghi bằng chứng</x:t>
        </x:is>
      </x:c>
    </x:row>
    <x:row r="125" ht="38" customHeight="1">
      <x:c r="A125" s="8" t="inlineStr">
        <x:is>
          <x:t xml:space="preserve">F07</x:t>
        </x:is>
      </x:c>
      <x:c r="B125" s="8" t="inlineStr">
        <x:is>
          <x:t xml:space="preserve">Đổi lịch / dừng việc</x:t>
        </x:is>
      </x:c>
      <x:c r="C125" s="8" t="inlineStr">
        <x:is>
          <x:t xml:space="preserve">DOC-008</x:t>
        </x:is>
      </x:c>
      <x:c r="D125" s="8" t="inlineStr">
        <x:is>
          <x:t xml:space="preserve">Không cần bên kia xác nhận lịch; nhắc 24h/1h</x:t>
        </x:is>
      </x:c>
      <x:c r="E125" s="8" t="inlineStr">
        <x:is>
          <x:t xml:space="preserve">Rà soát khi chức năng đổi</x:t>
        </x:is>
      </x:c>
      <x:c r="F125" s="8" t="inlineStr">
        <x:is>
          <x:t xml:space="preserve">Sửa nguồn; tái tạo bản xuất; đọc lại và ghi bằng chứng</x:t>
        </x:is>
      </x:c>
    </x:row>
    <x:row r="126" ht="38" customHeight="1">
      <x:c r="A126" s="8" t="inlineStr">
        <x:is>
          <x:t xml:space="preserve">F07</x:t>
        </x:is>
      </x:c>
      <x:c r="B126" s="8" t="inlineStr">
        <x:is>
          <x:t xml:space="preserve">Đổi lịch / dừng việc</x:t>
        </x:is>
      </x:c>
      <x:c r="C126" s="8" t="inlineStr">
        <x:is>
          <x:t xml:space="preserve">DOC-012</x:t>
        </x:is>
      </x:c>
      <x:c r="D126" s="8" t="inlineStr">
        <x:is>
          <x:t xml:space="preserve">Không cần bên kia xác nhận lịch; nhắc 24h/1h</x:t>
        </x:is>
      </x:c>
      <x:c r="E126" s="8" t="inlineStr">
        <x:is>
          <x:t xml:space="preserve">Rà soát khi chức năng đổi</x:t>
        </x:is>
      </x:c>
      <x:c r="F126" s="8" t="inlineStr">
        <x:is>
          <x:t xml:space="preserve">Sửa nguồn; tái tạo bản xuất; đọc lại và ghi bằng chứng</x:t>
        </x:is>
      </x:c>
    </x:row>
    <x:row r="127" ht="38" customHeight="1">
      <x:c r="A127" s="8" t="inlineStr">
        <x:is>
          <x:t xml:space="preserve">F07</x:t>
        </x:is>
      </x:c>
      <x:c r="B127" s="8" t="inlineStr">
        <x:is>
          <x:t xml:space="preserve">Đổi lịch / dừng việc</x:t>
        </x:is>
      </x:c>
      <x:c r="C127" s="8" t="inlineStr">
        <x:is>
          <x:t xml:space="preserve">DOC-013</x:t>
        </x:is>
      </x:c>
      <x:c r="D127" s="8" t="inlineStr">
        <x:is>
          <x:t xml:space="preserve">Không cần bên kia xác nhận lịch; nhắc 24h/1h</x:t>
        </x:is>
      </x:c>
      <x:c r="E127" s="8" t="inlineStr">
        <x:is>
          <x:t xml:space="preserve">Rà soát khi chức năng đổi</x:t>
        </x:is>
      </x:c>
      <x:c r="F127" s="8" t="inlineStr">
        <x:is>
          <x:t xml:space="preserve">Sửa nguồn; tái tạo bản xuất; đọc lại và ghi bằng chứng</x:t>
        </x:is>
      </x:c>
    </x:row>
    <x:row r="128" ht="38" customHeight="1">
      <x:c r="A128" s="8" t="inlineStr">
        <x:is>
          <x:t xml:space="preserve">F07</x:t>
        </x:is>
      </x:c>
      <x:c r="B128" s="8" t="inlineStr">
        <x:is>
          <x:t xml:space="preserve">Đổi lịch / dừng việc</x:t>
        </x:is>
      </x:c>
      <x:c r="C128" s="8" t="inlineStr">
        <x:is>
          <x:t xml:space="preserve">DOC-015</x:t>
        </x:is>
      </x:c>
      <x:c r="D128" s="8" t="inlineStr">
        <x:is>
          <x:t xml:space="preserve">Không cần bên kia xác nhận lịch; nhắc 24h/1h</x:t>
        </x:is>
      </x:c>
      <x:c r="E128" s="8" t="inlineStr">
        <x:is>
          <x:t xml:space="preserve">Rà soát khi chức năng đổi</x:t>
        </x:is>
      </x:c>
      <x:c r="F128" s="8" t="inlineStr">
        <x:is>
          <x:t xml:space="preserve">Sửa nguồn; tái tạo bản xuất; đọc lại và ghi bằng chứng</x:t>
        </x:is>
      </x:c>
    </x:row>
    <x:row r="129" ht="38" customHeight="1">
      <x:c r="A129" s="8" t="inlineStr">
        <x:is>
          <x:t xml:space="preserve">F07</x:t>
        </x:is>
      </x:c>
      <x:c r="B129" s="8" t="inlineStr">
        <x:is>
          <x:t xml:space="preserve">Đổi lịch / dừng việc</x:t>
        </x:is>
      </x:c>
      <x:c r="C129" s="8" t="inlineStr">
        <x:is>
          <x:t xml:space="preserve">DOC-014</x:t>
        </x:is>
      </x:c>
      <x:c r="D129" s="8" t="inlineStr">
        <x:is>
          <x:t xml:space="preserve">Không cần bên kia xác nhận lịch; nhắc 24h/1h</x:t>
        </x:is>
      </x:c>
      <x:c r="E129" s="8" t="inlineStr">
        <x:is>
          <x:t xml:space="preserve">Rà soát khi chức năng đổi</x:t>
        </x:is>
      </x:c>
      <x:c r="F129" s="8" t="inlineStr">
        <x:is>
          <x:t xml:space="preserve">Sửa nguồn; tái tạo bản xuất; đọc lại và ghi bằng chứng</x:t>
        </x:is>
      </x:c>
    </x:row>
    <x:row r="130" ht="38" customHeight="1">
      <x:c r="A130" s="8" t="inlineStr">
        <x:is>
          <x:t xml:space="preserve">F07</x:t>
        </x:is>
      </x:c>
      <x:c r="B130" s="8" t="inlineStr">
        <x:is>
          <x:t xml:space="preserve">Đổi lịch / dừng việc</x:t>
        </x:is>
      </x:c>
      <x:c r="C130" s="8" t="inlineStr">
        <x:is>
          <x:t xml:space="preserve">DOC-016</x:t>
        </x:is>
      </x:c>
      <x:c r="D130" s="8" t="inlineStr">
        <x:is>
          <x:t xml:space="preserve">Không cần bên kia xác nhận lịch; nhắc 24h/1h</x:t>
        </x:is>
      </x:c>
      <x:c r="E130" s="8" t="inlineStr">
        <x:is>
          <x:t xml:space="preserve">Rà soát khi chức năng đổi</x:t>
        </x:is>
      </x:c>
      <x:c r="F130" s="8" t="inlineStr">
        <x:is>
          <x:t xml:space="preserve">Sửa nguồn; tái tạo bản xuất; đọc lại và ghi bằng chứng</x:t>
        </x:is>
      </x:c>
    </x:row>
    <x:row r="131" ht="38" customHeight="1">
      <x:c r="A131" s="8" t="inlineStr">
        <x:is>
          <x:t xml:space="preserve">F07</x:t>
        </x:is>
      </x:c>
      <x:c r="B131" s="8" t="inlineStr">
        <x:is>
          <x:t xml:space="preserve">Đổi lịch / dừng việc</x:t>
        </x:is>
      </x:c>
      <x:c r="C131" s="8" t="inlineStr">
        <x:is>
          <x:t xml:space="preserve">DOC-017</x:t>
        </x:is>
      </x:c>
      <x:c r="D131" s="8" t="inlineStr">
        <x:is>
          <x:t xml:space="preserve">Không cần bên kia xác nhận lịch; nhắc 24h/1h</x:t>
        </x:is>
      </x:c>
      <x:c r="E131" s="8" t="inlineStr">
        <x:is>
          <x:t xml:space="preserve">Rà soát khi chức năng đổi</x:t>
        </x:is>
      </x:c>
      <x:c r="F131" s="8" t="inlineStr">
        <x:is>
          <x:t xml:space="preserve">Sửa nguồn; tái tạo bản xuất; đọc lại và ghi bằng chứng</x:t>
        </x:is>
      </x:c>
    </x:row>
    <x:row r="132" ht="38" customHeight="1">
      <x:c r="A132" s="8" t="inlineStr">
        <x:is>
          <x:t xml:space="preserve">F07</x:t>
        </x:is>
      </x:c>
      <x:c r="B132" s="8" t="inlineStr">
        <x:is>
          <x:t xml:space="preserve">Đổi lịch / dừng việc</x:t>
        </x:is>
      </x:c>
      <x:c r="C132" s="8" t="inlineStr">
        <x:is>
          <x:t xml:space="preserve">DOC-018</x:t>
        </x:is>
      </x:c>
      <x:c r="D132" s="8" t="inlineStr">
        <x:is>
          <x:t xml:space="preserve">Không cần bên kia xác nhận lịch; nhắc 24h/1h</x:t>
        </x:is>
      </x:c>
      <x:c r="E132" s="8" t="inlineStr">
        <x:is>
          <x:t xml:space="preserve">Rà soát khi chức năng đổi</x:t>
        </x:is>
      </x:c>
      <x:c r="F132" s="8" t="inlineStr">
        <x:is>
          <x:t xml:space="preserve">Sửa nguồn; tái tạo bản xuất; đọc lại và ghi bằng chứng</x:t>
        </x:is>
      </x:c>
    </x:row>
    <x:row r="133" ht="38" customHeight="1">
      <x:c r="A133" s="8" t="inlineStr">
        <x:is>
          <x:t xml:space="preserve">F07</x:t>
        </x:is>
      </x:c>
      <x:c r="B133" s="8" t="inlineStr">
        <x:is>
          <x:t xml:space="preserve">Đổi lịch / dừng việc</x:t>
        </x:is>
      </x:c>
      <x:c r="C133" s="8" t="inlineStr">
        <x:is>
          <x:t xml:space="preserve">DOC-025</x:t>
        </x:is>
      </x:c>
      <x:c r="D133" s="8" t="inlineStr">
        <x:is>
          <x:t xml:space="preserve">Không cần bên kia xác nhận lịch; nhắc 24h/1h</x:t>
        </x:is>
      </x:c>
      <x:c r="E133" s="8" t="inlineStr">
        <x:is>
          <x:t xml:space="preserve">Rà soát khi chức năng đổi</x:t>
        </x:is>
      </x:c>
      <x:c r="F133" s="8" t="inlineStr">
        <x:is>
          <x:t xml:space="preserve">Sửa nguồn; tái tạo bản xuất; đọc lại và ghi bằng chứng</x:t>
        </x:is>
      </x:c>
    </x:row>
    <x:row r="134" ht="38" customHeight="1">
      <x:c r="A134" s="8" t="inlineStr">
        <x:is>
          <x:t xml:space="preserve">F07</x:t>
        </x:is>
      </x:c>
      <x:c r="B134" s="8" t="inlineStr">
        <x:is>
          <x:t xml:space="preserve">Đổi lịch / dừng việc</x:t>
        </x:is>
      </x:c>
      <x:c r="C134" s="8" t="inlineStr">
        <x:is>
          <x:t xml:space="preserve">DOC-026</x:t>
        </x:is>
      </x:c>
      <x:c r="D134" s="8" t="inlineStr">
        <x:is>
          <x:t xml:space="preserve">Không cần bên kia xác nhận lịch; nhắc 24h/1h</x:t>
        </x:is>
      </x:c>
      <x:c r="E134" s="8" t="inlineStr">
        <x:is>
          <x:t xml:space="preserve">Rà soát khi chức năng đổi</x:t>
        </x:is>
      </x:c>
      <x:c r="F134" s="8" t="inlineStr">
        <x:is>
          <x:t xml:space="preserve">Sửa nguồn; tái tạo bản xuất; đọc lại và ghi bằng chứng</x:t>
        </x:is>
      </x:c>
    </x:row>
    <x:row r="135" ht="38" customHeight="1">
      <x:c r="A135" s="8" t="inlineStr">
        <x:is>
          <x:t xml:space="preserve">F07</x:t>
        </x:is>
      </x:c>
      <x:c r="B135" s="8" t="inlineStr">
        <x:is>
          <x:t xml:space="preserve">Đổi lịch / dừng việc</x:t>
        </x:is>
      </x:c>
      <x:c r="C135" s="8" t="inlineStr">
        <x:is>
          <x:t xml:space="preserve">DOC-027</x:t>
        </x:is>
      </x:c>
      <x:c r="D135" s="8" t="inlineStr">
        <x:is>
          <x:t xml:space="preserve">Không cần bên kia xác nhận lịch; nhắc 24h/1h</x:t>
        </x:is>
      </x:c>
      <x:c r="E135" s="8" t="inlineStr">
        <x:is>
          <x:t xml:space="preserve">Rà soát khi chức năng đổi</x:t>
        </x:is>
      </x:c>
      <x:c r="F135" s="8" t="inlineStr">
        <x:is>
          <x:t xml:space="preserve">Sửa nguồn; tái tạo bản xuất; đọc lại và ghi bằng chứng</x:t>
        </x:is>
      </x:c>
    </x:row>
    <x:row r="136" ht="38" customHeight="1">
      <x:c r="A136" s="8" t="inlineStr">
        <x:is>
          <x:t xml:space="preserve">F07</x:t>
        </x:is>
      </x:c>
      <x:c r="B136" s="8" t="inlineStr">
        <x:is>
          <x:t xml:space="preserve">Đổi lịch / dừng việc</x:t>
        </x:is>
      </x:c>
      <x:c r="C136" s="8" t="inlineStr">
        <x:is>
          <x:t xml:space="preserve">DOC-028</x:t>
        </x:is>
      </x:c>
      <x:c r="D136" s="8" t="inlineStr">
        <x:is>
          <x:t xml:space="preserve">Không cần bên kia xác nhận lịch; nhắc 24h/1h</x:t>
        </x:is>
      </x:c>
      <x:c r="E136" s="8" t="inlineStr">
        <x:is>
          <x:t xml:space="preserve">Rà soát khi chức năng đổi</x:t>
        </x:is>
      </x:c>
      <x:c r="F136" s="8" t="inlineStr">
        <x:is>
          <x:t xml:space="preserve">Sửa nguồn; tái tạo bản xuất; đọc lại và ghi bằng chứng</x:t>
        </x:is>
      </x:c>
    </x:row>
    <x:row r="137" ht="38" customHeight="1">
      <x:c r="A137" s="8" t="inlineStr">
        <x:is>
          <x:t xml:space="preserve">F07</x:t>
        </x:is>
      </x:c>
      <x:c r="B137" s="8" t="inlineStr">
        <x:is>
          <x:t xml:space="preserve">Đổi lịch / dừng việc</x:t>
        </x:is>
      </x:c>
      <x:c r="C137" s="8" t="inlineStr">
        <x:is>
          <x:t xml:space="preserve">DOC-029</x:t>
        </x:is>
      </x:c>
      <x:c r="D137" s="8" t="inlineStr">
        <x:is>
          <x:t xml:space="preserve">Không cần bên kia xác nhận lịch; nhắc 24h/1h</x:t>
        </x:is>
      </x:c>
      <x:c r="E137" s="8" t="inlineStr">
        <x:is>
          <x:t xml:space="preserve">Rà soát khi chức năng đổi</x:t>
        </x:is>
      </x:c>
      <x:c r="F137" s="8" t="inlineStr">
        <x:is>
          <x:t xml:space="preserve">Sửa nguồn; tái tạo bản xuất; đọc lại và ghi bằng chứng</x:t>
        </x:is>
      </x:c>
    </x:row>
    <x:row r="138" ht="38" customHeight="1">
      <x:c r="A138" s="8" t="inlineStr">
        <x:is>
          <x:t xml:space="preserve">F07</x:t>
        </x:is>
      </x:c>
      <x:c r="B138" s="8" t="inlineStr">
        <x:is>
          <x:t xml:space="preserve">Đổi lịch / dừng việc</x:t>
        </x:is>
      </x:c>
      <x:c r="C138" s="8" t="inlineStr">
        <x:is>
          <x:t xml:space="preserve">DOC-030</x:t>
        </x:is>
      </x:c>
      <x:c r="D138" s="8" t="inlineStr">
        <x:is>
          <x:t xml:space="preserve">Không cần bên kia xác nhận lịch; nhắc 24h/1h</x:t>
        </x:is>
      </x:c>
      <x:c r="E138" s="8" t="inlineStr">
        <x:is>
          <x:t xml:space="preserve">Rà soát khi chức năng đổi</x:t>
        </x:is>
      </x:c>
      <x:c r="F138" s="8" t="inlineStr">
        <x:is>
          <x:t xml:space="preserve">Sửa nguồn; tái tạo bản xuất; đọc lại và ghi bằng chứng</x:t>
        </x:is>
      </x:c>
    </x:row>
    <x:row r="139" ht="38" customHeight="1">
      <x:c r="A139" s="8" t="inlineStr">
        <x:is>
          <x:t xml:space="preserve">F07</x:t>
        </x:is>
      </x:c>
      <x:c r="B139" s="8" t="inlineStr">
        <x:is>
          <x:t xml:space="preserve">Đổi lịch / dừng việc</x:t>
        </x:is>
      </x:c>
      <x:c r="C139" s="8" t="inlineStr">
        <x:is>
          <x:t xml:space="preserve">DOC-031</x:t>
        </x:is>
      </x:c>
      <x:c r="D139" s="8" t="inlineStr">
        <x:is>
          <x:t xml:space="preserve">Không cần bên kia xác nhận lịch; nhắc 24h/1h</x:t>
        </x:is>
      </x:c>
      <x:c r="E139" s="8" t="inlineStr">
        <x:is>
          <x:t xml:space="preserve">Rà soát khi chức năng đổi</x:t>
        </x:is>
      </x:c>
      <x:c r="F139" s="8" t="inlineStr">
        <x:is>
          <x:t xml:space="preserve">Sửa nguồn; tái tạo bản xuất; đọc lại và ghi bằng chứng</x:t>
        </x:is>
      </x:c>
    </x:row>
    <x:row r="140" ht="38" customHeight="1">
      <x:c r="A140" s="8" t="inlineStr">
        <x:is>
          <x:t xml:space="preserve">F07</x:t>
        </x:is>
      </x:c>
      <x:c r="B140" s="8" t="inlineStr">
        <x:is>
          <x:t xml:space="preserve">Đổi lịch / dừng việc</x:t>
        </x:is>
      </x:c>
      <x:c r="C140" s="8" t="inlineStr">
        <x:is>
          <x:t xml:space="preserve">DOC-033</x:t>
        </x:is>
      </x:c>
      <x:c r="D140" s="8" t="inlineStr">
        <x:is>
          <x:t xml:space="preserve">Không cần bên kia xác nhận lịch; nhắc 24h/1h</x:t>
        </x:is>
      </x:c>
      <x:c r="E140" s="8" t="inlineStr">
        <x:is>
          <x:t xml:space="preserve">Rà soát khi chức năng đổi</x:t>
        </x:is>
      </x:c>
      <x:c r="F140" s="8" t="inlineStr">
        <x:is>
          <x:t xml:space="preserve">Sửa nguồn; tái tạo bản xuất; đọc lại và ghi bằng chứng</x:t>
        </x:is>
      </x:c>
    </x:row>
    <x:row r="141" ht="38" customHeight="1">
      <x:c r="A141" s="8" t="inlineStr">
        <x:is>
          <x:t xml:space="preserve">F08</x:t>
        </x:is>
      </x:c>
      <x:c r="B141" s="8" t="inlineStr">
        <x:is>
          <x:t xml:space="preserve">Doanh nghiệp / quyền / phân công</x:t>
        </x:is>
      </x:c>
      <x:c r="C141" s="8" t="inlineStr">
        <x:is>
          <x:t xml:space="preserve">DOC-004</x:t>
        </x:is>
      </x:c>
      <x:c r="D141" s="8" t="inlineStr">
        <x:is>
          <x:t xml:space="preserve">Quản lý kiêm điều phối, lịch sử phân công</x:t>
        </x:is>
      </x:c>
      <x:c r="E141" s="8" t="inlineStr">
        <x:is>
          <x:t xml:space="preserve">Rà soát khi chức năng đổi</x:t>
        </x:is>
      </x:c>
      <x:c r="F141" s="8" t="inlineStr">
        <x:is>
          <x:t xml:space="preserve">Sửa nguồn; tái tạo bản xuất; đọc lại và ghi bằng chứng</x:t>
        </x:is>
      </x:c>
    </x:row>
    <x:row r="142" ht="38" customHeight="1">
      <x:c r="A142" s="8" t="inlineStr">
        <x:is>
          <x:t xml:space="preserve">F08</x:t>
        </x:is>
      </x:c>
      <x:c r="B142" s="8" t="inlineStr">
        <x:is>
          <x:t xml:space="preserve">Doanh nghiệp / quyền / phân công</x:t>
        </x:is>
      </x:c>
      <x:c r="C142" s="8" t="inlineStr">
        <x:is>
          <x:t xml:space="preserve">DOC-005</x:t>
        </x:is>
      </x:c>
      <x:c r="D142" s="8" t="inlineStr">
        <x:is>
          <x:t xml:space="preserve">Quản lý kiêm điều phối, lịch sử phân công</x:t>
        </x:is>
      </x:c>
      <x:c r="E142" s="8" t="inlineStr">
        <x:is>
          <x:t xml:space="preserve">Rà soát khi chức năng đổi</x:t>
        </x:is>
      </x:c>
      <x:c r="F142" s="8" t="inlineStr">
        <x:is>
          <x:t xml:space="preserve">Sửa nguồn; tái tạo bản xuất; đọc lại và ghi bằng chứng</x:t>
        </x:is>
      </x:c>
    </x:row>
    <x:row r="143" ht="38" customHeight="1">
      <x:c r="A143" s="8" t="inlineStr">
        <x:is>
          <x:t xml:space="preserve">F08</x:t>
        </x:is>
      </x:c>
      <x:c r="B143" s="8" t="inlineStr">
        <x:is>
          <x:t xml:space="preserve">Doanh nghiệp / quyền / phân công</x:t>
        </x:is>
      </x:c>
      <x:c r="C143" s="8" t="inlineStr">
        <x:is>
          <x:t xml:space="preserve">DOC-006</x:t>
        </x:is>
      </x:c>
      <x:c r="D143" s="8" t="inlineStr">
        <x:is>
          <x:t xml:space="preserve">Quản lý kiêm điều phối, lịch sử phân công</x:t>
        </x:is>
      </x:c>
      <x:c r="E143" s="8" t="inlineStr">
        <x:is>
          <x:t xml:space="preserve">Rà soát khi chức năng đổi</x:t>
        </x:is>
      </x:c>
      <x:c r="F143" s="8" t="inlineStr">
        <x:is>
          <x:t xml:space="preserve">Sửa nguồn; tái tạo bản xuất; đọc lại và ghi bằng chứng</x:t>
        </x:is>
      </x:c>
    </x:row>
    <x:row r="144" ht="38" customHeight="1">
      <x:c r="A144" s="8" t="inlineStr">
        <x:is>
          <x:t xml:space="preserve">F08</x:t>
        </x:is>
      </x:c>
      <x:c r="B144" s="8" t="inlineStr">
        <x:is>
          <x:t xml:space="preserve">Doanh nghiệp / quyền / phân công</x:t>
        </x:is>
      </x:c>
      <x:c r="C144" s="8" t="inlineStr">
        <x:is>
          <x:t xml:space="preserve">DOC-007</x:t>
        </x:is>
      </x:c>
      <x:c r="D144" s="8" t="inlineStr">
        <x:is>
          <x:t xml:space="preserve">Quản lý kiêm điều phối, lịch sử phân công</x:t>
        </x:is>
      </x:c>
      <x:c r="E144" s="8" t="inlineStr">
        <x:is>
          <x:t xml:space="preserve">Rà soát khi chức năng đổi</x:t>
        </x:is>
      </x:c>
      <x:c r="F144" s="8" t="inlineStr">
        <x:is>
          <x:t xml:space="preserve">Sửa nguồn; tái tạo bản xuất; đọc lại và ghi bằng chứng</x:t>
        </x:is>
      </x:c>
    </x:row>
    <x:row r="145" ht="38" customHeight="1">
      <x:c r="A145" s="8" t="inlineStr">
        <x:is>
          <x:t xml:space="preserve">F08</x:t>
        </x:is>
      </x:c>
      <x:c r="B145" s="8" t="inlineStr">
        <x:is>
          <x:t xml:space="preserve">Doanh nghiệp / quyền / phân công</x:t>
        </x:is>
      </x:c>
      <x:c r="C145" s="8" t="inlineStr">
        <x:is>
          <x:t xml:space="preserve">DOC-008</x:t>
        </x:is>
      </x:c>
      <x:c r="D145" s="8" t="inlineStr">
        <x:is>
          <x:t xml:space="preserve">Quản lý kiêm điều phối, lịch sử phân công</x:t>
        </x:is>
      </x:c>
      <x:c r="E145" s="8" t="inlineStr">
        <x:is>
          <x:t xml:space="preserve">Rà soát khi chức năng đổi</x:t>
        </x:is>
      </x:c>
      <x:c r="F145" s="8" t="inlineStr">
        <x:is>
          <x:t xml:space="preserve">Sửa nguồn; tái tạo bản xuất; đọc lại và ghi bằng chứng</x:t>
        </x:is>
      </x:c>
    </x:row>
    <x:row r="146" ht="38" customHeight="1">
      <x:c r="A146" s="8" t="inlineStr">
        <x:is>
          <x:t xml:space="preserve">F08</x:t>
        </x:is>
      </x:c>
      <x:c r="B146" s="8" t="inlineStr">
        <x:is>
          <x:t xml:space="preserve">Doanh nghiệp / quyền / phân công</x:t>
        </x:is>
      </x:c>
      <x:c r="C146" s="8" t="inlineStr">
        <x:is>
          <x:t xml:space="preserve">DOC-012</x:t>
        </x:is>
      </x:c>
      <x:c r="D146" s="8" t="inlineStr">
        <x:is>
          <x:t xml:space="preserve">Quản lý kiêm điều phối, lịch sử phân công</x:t>
        </x:is>
      </x:c>
      <x:c r="E146" s="8" t="inlineStr">
        <x:is>
          <x:t xml:space="preserve">Rà soát khi chức năng đổi</x:t>
        </x:is>
      </x:c>
      <x:c r="F146" s="8" t="inlineStr">
        <x:is>
          <x:t xml:space="preserve">Sửa nguồn; tái tạo bản xuất; đọc lại và ghi bằng chứng</x:t>
        </x:is>
      </x:c>
    </x:row>
    <x:row r="147" ht="38" customHeight="1">
      <x:c r="A147" s="8" t="inlineStr">
        <x:is>
          <x:t xml:space="preserve">F08</x:t>
        </x:is>
      </x:c>
      <x:c r="B147" s="8" t="inlineStr">
        <x:is>
          <x:t xml:space="preserve">Doanh nghiệp / quyền / phân công</x:t>
        </x:is>
      </x:c>
      <x:c r="C147" s="8" t="inlineStr">
        <x:is>
          <x:t xml:space="preserve">DOC-013</x:t>
        </x:is>
      </x:c>
      <x:c r="D147" s="8" t="inlineStr">
        <x:is>
          <x:t xml:space="preserve">Quản lý kiêm điều phối, lịch sử phân công</x:t>
        </x:is>
      </x:c>
      <x:c r="E147" s="8" t="inlineStr">
        <x:is>
          <x:t xml:space="preserve">Rà soát khi chức năng đổi</x:t>
        </x:is>
      </x:c>
      <x:c r="F147" s="8" t="inlineStr">
        <x:is>
          <x:t xml:space="preserve">Sửa nguồn; tái tạo bản xuất; đọc lại và ghi bằng chứng</x:t>
        </x:is>
      </x:c>
    </x:row>
    <x:row r="148" ht="38" customHeight="1">
      <x:c r="A148" s="8" t="inlineStr">
        <x:is>
          <x:t xml:space="preserve">F08</x:t>
        </x:is>
      </x:c>
      <x:c r="B148" s="8" t="inlineStr">
        <x:is>
          <x:t xml:space="preserve">Doanh nghiệp / quyền / phân công</x:t>
        </x:is>
      </x:c>
      <x:c r="C148" s="8" t="inlineStr">
        <x:is>
          <x:t xml:space="preserve">DOC-015</x:t>
        </x:is>
      </x:c>
      <x:c r="D148" s="8" t="inlineStr">
        <x:is>
          <x:t xml:space="preserve">Quản lý kiêm điều phối, lịch sử phân công</x:t>
        </x:is>
      </x:c>
      <x:c r="E148" s="8" t="inlineStr">
        <x:is>
          <x:t xml:space="preserve">Rà soát khi chức năng đổi</x:t>
        </x:is>
      </x:c>
      <x:c r="F148" s="8" t="inlineStr">
        <x:is>
          <x:t xml:space="preserve">Sửa nguồn; tái tạo bản xuất; đọc lại và ghi bằng chứng</x:t>
        </x:is>
      </x:c>
    </x:row>
    <x:row r="149" ht="38" customHeight="1">
      <x:c r="A149" s="8" t="inlineStr">
        <x:is>
          <x:t xml:space="preserve">F08</x:t>
        </x:is>
      </x:c>
      <x:c r="B149" s="8" t="inlineStr">
        <x:is>
          <x:t xml:space="preserve">Doanh nghiệp / quyền / phân công</x:t>
        </x:is>
      </x:c>
      <x:c r="C149" s="8" t="inlineStr">
        <x:is>
          <x:t xml:space="preserve">DOC-014</x:t>
        </x:is>
      </x:c>
      <x:c r="D149" s="8" t="inlineStr">
        <x:is>
          <x:t xml:space="preserve">Quản lý kiêm điều phối, lịch sử phân công</x:t>
        </x:is>
      </x:c>
      <x:c r="E149" s="8" t="inlineStr">
        <x:is>
          <x:t xml:space="preserve">Rà soát khi chức năng đổi</x:t>
        </x:is>
      </x:c>
      <x:c r="F149" s="8" t="inlineStr">
        <x:is>
          <x:t xml:space="preserve">Sửa nguồn; tái tạo bản xuất; đọc lại và ghi bằng chứng</x:t>
        </x:is>
      </x:c>
    </x:row>
    <x:row r="150" ht="38" customHeight="1">
      <x:c r="A150" s="8" t="inlineStr">
        <x:is>
          <x:t xml:space="preserve">F08</x:t>
        </x:is>
      </x:c>
      <x:c r="B150" s="8" t="inlineStr">
        <x:is>
          <x:t xml:space="preserve">Doanh nghiệp / quyền / phân công</x:t>
        </x:is>
      </x:c>
      <x:c r="C150" s="8" t="inlineStr">
        <x:is>
          <x:t xml:space="preserve">DOC-016</x:t>
        </x:is>
      </x:c>
      <x:c r="D150" s="8" t="inlineStr">
        <x:is>
          <x:t xml:space="preserve">Quản lý kiêm điều phối, lịch sử phân công</x:t>
        </x:is>
      </x:c>
      <x:c r="E150" s="8" t="inlineStr">
        <x:is>
          <x:t xml:space="preserve">Rà soát khi chức năng đổi</x:t>
        </x:is>
      </x:c>
      <x:c r="F150" s="8" t="inlineStr">
        <x:is>
          <x:t xml:space="preserve">Sửa nguồn; tái tạo bản xuất; đọc lại và ghi bằng chứng</x:t>
        </x:is>
      </x:c>
    </x:row>
    <x:row r="151" ht="38" customHeight="1">
      <x:c r="A151" s="8" t="inlineStr">
        <x:is>
          <x:t xml:space="preserve">F08</x:t>
        </x:is>
      </x:c>
      <x:c r="B151" s="8" t="inlineStr">
        <x:is>
          <x:t xml:space="preserve">Doanh nghiệp / quyền / phân công</x:t>
        </x:is>
      </x:c>
      <x:c r="C151" s="8" t="inlineStr">
        <x:is>
          <x:t xml:space="preserve">DOC-017</x:t>
        </x:is>
      </x:c>
      <x:c r="D151" s="8" t="inlineStr">
        <x:is>
          <x:t xml:space="preserve">Quản lý kiêm điều phối, lịch sử phân công</x:t>
        </x:is>
      </x:c>
      <x:c r="E151" s="8" t="inlineStr">
        <x:is>
          <x:t xml:space="preserve">Rà soát khi chức năng đổi</x:t>
        </x:is>
      </x:c>
      <x:c r="F151" s="8" t="inlineStr">
        <x:is>
          <x:t xml:space="preserve">Sửa nguồn; tái tạo bản xuất; đọc lại và ghi bằng chứng</x:t>
        </x:is>
      </x:c>
    </x:row>
    <x:row r="152" ht="38" customHeight="1">
      <x:c r="A152" s="8" t="inlineStr">
        <x:is>
          <x:t xml:space="preserve">F08</x:t>
        </x:is>
      </x:c>
      <x:c r="B152" s="8" t="inlineStr">
        <x:is>
          <x:t xml:space="preserve">Doanh nghiệp / quyền / phân công</x:t>
        </x:is>
      </x:c>
      <x:c r="C152" s="8" t="inlineStr">
        <x:is>
          <x:t xml:space="preserve">DOC-018</x:t>
        </x:is>
      </x:c>
      <x:c r="D152" s="8" t="inlineStr">
        <x:is>
          <x:t xml:space="preserve">Quản lý kiêm điều phối, lịch sử phân công</x:t>
        </x:is>
      </x:c>
      <x:c r="E152" s="8" t="inlineStr">
        <x:is>
          <x:t xml:space="preserve">Rà soát khi chức năng đổi</x:t>
        </x:is>
      </x:c>
      <x:c r="F152" s="8" t="inlineStr">
        <x:is>
          <x:t xml:space="preserve">Sửa nguồn; tái tạo bản xuất; đọc lại và ghi bằng chứng</x:t>
        </x:is>
      </x:c>
    </x:row>
    <x:row r="153" ht="38" customHeight="1">
      <x:c r="A153" s="8" t="inlineStr">
        <x:is>
          <x:t xml:space="preserve">F08</x:t>
        </x:is>
      </x:c>
      <x:c r="B153" s="8" t="inlineStr">
        <x:is>
          <x:t xml:space="preserve">Doanh nghiệp / quyền / phân công</x:t>
        </x:is>
      </x:c>
      <x:c r="C153" s="8" t="inlineStr">
        <x:is>
          <x:t xml:space="preserve">DOC-025</x:t>
        </x:is>
      </x:c>
      <x:c r="D153" s="8" t="inlineStr">
        <x:is>
          <x:t xml:space="preserve">Quản lý kiêm điều phối, lịch sử phân công</x:t>
        </x:is>
      </x:c>
      <x:c r="E153" s="8" t="inlineStr">
        <x:is>
          <x:t xml:space="preserve">Rà soát khi chức năng đổi</x:t>
        </x:is>
      </x:c>
      <x:c r="F153" s="8" t="inlineStr">
        <x:is>
          <x:t xml:space="preserve">Sửa nguồn; tái tạo bản xuất; đọc lại và ghi bằng chứng</x:t>
        </x:is>
      </x:c>
    </x:row>
    <x:row r="154" ht="38" customHeight="1">
      <x:c r="A154" s="8" t="inlineStr">
        <x:is>
          <x:t xml:space="preserve">F08</x:t>
        </x:is>
      </x:c>
      <x:c r="B154" s="8" t="inlineStr">
        <x:is>
          <x:t xml:space="preserve">Doanh nghiệp / quyền / phân công</x:t>
        </x:is>
      </x:c>
      <x:c r="C154" s="8" t="inlineStr">
        <x:is>
          <x:t xml:space="preserve">DOC-026</x:t>
        </x:is>
      </x:c>
      <x:c r="D154" s="8" t="inlineStr">
        <x:is>
          <x:t xml:space="preserve">Quản lý kiêm điều phối, lịch sử phân công</x:t>
        </x:is>
      </x:c>
      <x:c r="E154" s="8" t="inlineStr">
        <x:is>
          <x:t xml:space="preserve">Rà soát khi chức năng đổi</x:t>
        </x:is>
      </x:c>
      <x:c r="F154" s="8" t="inlineStr">
        <x:is>
          <x:t xml:space="preserve">Sửa nguồn; tái tạo bản xuất; đọc lại và ghi bằng chứng</x:t>
        </x:is>
      </x:c>
    </x:row>
    <x:row r="155" ht="38" customHeight="1">
      <x:c r="A155" s="8" t="inlineStr">
        <x:is>
          <x:t xml:space="preserve">F08</x:t>
        </x:is>
      </x:c>
      <x:c r="B155" s="8" t="inlineStr">
        <x:is>
          <x:t xml:space="preserve">Doanh nghiệp / quyền / phân công</x:t>
        </x:is>
      </x:c>
      <x:c r="C155" s="8" t="inlineStr">
        <x:is>
          <x:t xml:space="preserve">DOC-027</x:t>
        </x:is>
      </x:c>
      <x:c r="D155" s="8" t="inlineStr">
        <x:is>
          <x:t xml:space="preserve">Quản lý kiêm điều phối, lịch sử phân công</x:t>
        </x:is>
      </x:c>
      <x:c r="E155" s="8" t="inlineStr">
        <x:is>
          <x:t xml:space="preserve">Rà soát khi chức năng đổi</x:t>
        </x:is>
      </x:c>
      <x:c r="F155" s="8" t="inlineStr">
        <x:is>
          <x:t xml:space="preserve">Sửa nguồn; tái tạo bản xuất; đọc lại và ghi bằng chứng</x:t>
        </x:is>
      </x:c>
    </x:row>
    <x:row r="156" ht="38" customHeight="1">
      <x:c r="A156" s="8" t="inlineStr">
        <x:is>
          <x:t xml:space="preserve">F08</x:t>
        </x:is>
      </x:c>
      <x:c r="B156" s="8" t="inlineStr">
        <x:is>
          <x:t xml:space="preserve">Doanh nghiệp / quyền / phân công</x:t>
        </x:is>
      </x:c>
      <x:c r="C156" s="8" t="inlineStr">
        <x:is>
          <x:t xml:space="preserve">DOC-028</x:t>
        </x:is>
      </x:c>
      <x:c r="D156" s="8" t="inlineStr">
        <x:is>
          <x:t xml:space="preserve">Quản lý kiêm điều phối, lịch sử phân công</x:t>
        </x:is>
      </x:c>
      <x:c r="E156" s="8" t="inlineStr">
        <x:is>
          <x:t xml:space="preserve">Rà soát khi chức năng đổi</x:t>
        </x:is>
      </x:c>
      <x:c r="F156" s="8" t="inlineStr">
        <x:is>
          <x:t xml:space="preserve">Sửa nguồn; tái tạo bản xuất; đọc lại và ghi bằng chứng</x:t>
        </x:is>
      </x:c>
    </x:row>
    <x:row r="157" ht="38" customHeight="1">
      <x:c r="A157" s="8" t="inlineStr">
        <x:is>
          <x:t xml:space="preserve">F08</x:t>
        </x:is>
      </x:c>
      <x:c r="B157" s="8" t="inlineStr">
        <x:is>
          <x:t xml:space="preserve">Doanh nghiệp / quyền / phân công</x:t>
        </x:is>
      </x:c>
      <x:c r="C157" s="8" t="inlineStr">
        <x:is>
          <x:t xml:space="preserve">DOC-029</x:t>
        </x:is>
      </x:c>
      <x:c r="D157" s="8" t="inlineStr">
        <x:is>
          <x:t xml:space="preserve">Quản lý kiêm điều phối, lịch sử phân công</x:t>
        </x:is>
      </x:c>
      <x:c r="E157" s="8" t="inlineStr">
        <x:is>
          <x:t xml:space="preserve">Rà soát khi chức năng đổi</x:t>
        </x:is>
      </x:c>
      <x:c r="F157" s="8" t="inlineStr">
        <x:is>
          <x:t xml:space="preserve">Sửa nguồn; tái tạo bản xuất; đọc lại và ghi bằng chứng</x:t>
        </x:is>
      </x:c>
    </x:row>
    <x:row r="158" ht="38" customHeight="1">
      <x:c r="A158" s="8" t="inlineStr">
        <x:is>
          <x:t xml:space="preserve">F08</x:t>
        </x:is>
      </x:c>
      <x:c r="B158" s="8" t="inlineStr">
        <x:is>
          <x:t xml:space="preserve">Doanh nghiệp / quyền / phân công</x:t>
        </x:is>
      </x:c>
      <x:c r="C158" s="8" t="inlineStr">
        <x:is>
          <x:t xml:space="preserve">DOC-030</x:t>
        </x:is>
      </x:c>
      <x:c r="D158" s="8" t="inlineStr">
        <x:is>
          <x:t xml:space="preserve">Quản lý kiêm điều phối, lịch sử phân công</x:t>
        </x:is>
      </x:c>
      <x:c r="E158" s="8" t="inlineStr">
        <x:is>
          <x:t xml:space="preserve">Rà soát khi chức năng đổi</x:t>
        </x:is>
      </x:c>
      <x:c r="F158" s="8" t="inlineStr">
        <x:is>
          <x:t xml:space="preserve">Sửa nguồn; tái tạo bản xuất; đọc lại và ghi bằng chứng</x:t>
        </x:is>
      </x:c>
    </x:row>
    <x:row r="159" ht="38" customHeight="1">
      <x:c r="A159" s="8" t="inlineStr">
        <x:is>
          <x:t xml:space="preserve">F08</x:t>
        </x:is>
      </x:c>
      <x:c r="B159" s="8" t="inlineStr">
        <x:is>
          <x:t xml:space="preserve">Doanh nghiệp / quyền / phân công</x:t>
        </x:is>
      </x:c>
      <x:c r="C159" s="8" t="inlineStr">
        <x:is>
          <x:t xml:space="preserve">DOC-031</x:t>
        </x:is>
      </x:c>
      <x:c r="D159" s="8" t="inlineStr">
        <x:is>
          <x:t xml:space="preserve">Quản lý kiêm điều phối, lịch sử phân công</x:t>
        </x:is>
      </x:c>
      <x:c r="E159" s="8" t="inlineStr">
        <x:is>
          <x:t xml:space="preserve">Rà soát khi chức năng đổi</x:t>
        </x:is>
      </x:c>
      <x:c r="F159" s="8" t="inlineStr">
        <x:is>
          <x:t xml:space="preserve">Sửa nguồn; tái tạo bản xuất; đọc lại và ghi bằng chứng</x:t>
        </x:is>
      </x:c>
    </x:row>
    <x:row r="160" ht="38" customHeight="1">
      <x:c r="A160" s="8" t="inlineStr">
        <x:is>
          <x:t xml:space="preserve">F08</x:t>
        </x:is>
      </x:c>
      <x:c r="B160" s="8" t="inlineStr">
        <x:is>
          <x:t xml:space="preserve">Doanh nghiệp / quyền / phân công</x:t>
        </x:is>
      </x:c>
      <x:c r="C160" s="8" t="inlineStr">
        <x:is>
          <x:t xml:space="preserve">DOC-033</x:t>
        </x:is>
      </x:c>
      <x:c r="D160" s="8" t="inlineStr">
        <x:is>
          <x:t xml:space="preserve">Quản lý kiêm điều phối, lịch sử phân công</x:t>
        </x:is>
      </x:c>
      <x:c r="E160" s="8" t="inlineStr">
        <x:is>
          <x:t xml:space="preserve">Rà soát khi chức năng đổi</x:t>
        </x:is>
      </x:c>
      <x:c r="F160" s="8" t="inlineStr">
        <x:is>
          <x:t xml:space="preserve">Sửa nguồn; tái tạo bản xuất; đọc lại và ghi bằng chứng</x:t>
        </x:is>
      </x:c>
    </x:row>
    <x:row r="161" ht="38" customHeight="1">
      <x:c r="A161" s="8" t="inlineStr">
        <x:is>
          <x:t xml:space="preserve">F09</x:t>
        </x:is>
      </x:c>
      <x:c r="B161" s="8" t="inlineStr">
        <x:is>
          <x:t xml:space="preserve">Chat / gọi / thông báo</x:t>
        </x:is>
      </x:c>
      <x:c r="C161" s="8" t="inlineStr">
        <x:is>
          <x:t xml:space="preserve">DOC-004</x:t>
        </x:is>
      </x:c>
      <x:c r="D161" s="8" t="inlineStr">
        <x:is>
          <x:t xml:space="preserve">Chat trước thuê, dùng lại phòng riêng; gọi theo quyền việc</x:t>
        </x:is>
      </x:c>
      <x:c r="E161" s="8" t="inlineStr">
        <x:is>
          <x:t xml:space="preserve">Rà soát khi chức năng đổi</x:t>
        </x:is>
      </x:c>
      <x:c r="F161" s="8" t="inlineStr">
        <x:is>
          <x:t xml:space="preserve">Sửa nguồn; tái tạo bản xuất; đọc lại và ghi bằng chứng</x:t>
        </x:is>
      </x:c>
    </x:row>
    <x:row r="162" ht="38" customHeight="1">
      <x:c r="A162" s="8" t="inlineStr">
        <x:is>
          <x:t xml:space="preserve">F09</x:t>
        </x:is>
      </x:c>
      <x:c r="B162" s="8" t="inlineStr">
        <x:is>
          <x:t xml:space="preserve">Chat / gọi / thông báo</x:t>
        </x:is>
      </x:c>
      <x:c r="C162" s="8" t="inlineStr">
        <x:is>
          <x:t xml:space="preserve">DOC-005</x:t>
        </x:is>
      </x:c>
      <x:c r="D162" s="8" t="inlineStr">
        <x:is>
          <x:t xml:space="preserve">Chat trước thuê, dùng lại phòng riêng; gọi theo quyền việc</x:t>
        </x:is>
      </x:c>
      <x:c r="E162" s="8" t="inlineStr">
        <x:is>
          <x:t xml:space="preserve">Rà soát khi chức năng đổi</x:t>
        </x:is>
      </x:c>
      <x:c r="F162" s="8" t="inlineStr">
        <x:is>
          <x:t xml:space="preserve">Sửa nguồn; tái tạo bản xuất; đọc lại và ghi bằng chứng</x:t>
        </x:is>
      </x:c>
    </x:row>
    <x:row r="163" ht="38" customHeight="1">
      <x:c r="A163" s="8" t="inlineStr">
        <x:is>
          <x:t xml:space="preserve">F09</x:t>
        </x:is>
      </x:c>
      <x:c r="B163" s="8" t="inlineStr">
        <x:is>
          <x:t xml:space="preserve">Chat / gọi / thông báo</x:t>
        </x:is>
      </x:c>
      <x:c r="C163" s="8" t="inlineStr">
        <x:is>
          <x:t xml:space="preserve">DOC-006</x:t>
        </x:is>
      </x:c>
      <x:c r="D163" s="8" t="inlineStr">
        <x:is>
          <x:t xml:space="preserve">Chat trước thuê, dùng lại phòng riêng; gọi theo quyền việc</x:t>
        </x:is>
      </x:c>
      <x:c r="E163" s="8" t="inlineStr">
        <x:is>
          <x:t xml:space="preserve">Rà soát khi chức năng đổi</x:t>
        </x:is>
      </x:c>
      <x:c r="F163" s="8" t="inlineStr">
        <x:is>
          <x:t xml:space="preserve">Sửa nguồn; tái tạo bản xuất; đọc lại và ghi bằng chứng</x:t>
        </x:is>
      </x:c>
    </x:row>
    <x:row r="164" ht="38" customHeight="1">
      <x:c r="A164" s="8" t="inlineStr">
        <x:is>
          <x:t xml:space="preserve">F09</x:t>
        </x:is>
      </x:c>
      <x:c r="B164" s="8" t="inlineStr">
        <x:is>
          <x:t xml:space="preserve">Chat / gọi / thông báo</x:t>
        </x:is>
      </x:c>
      <x:c r="C164" s="8" t="inlineStr">
        <x:is>
          <x:t xml:space="preserve">DOC-007</x:t>
        </x:is>
      </x:c>
      <x:c r="D164" s="8" t="inlineStr">
        <x:is>
          <x:t xml:space="preserve">Chat trước thuê, dùng lại phòng riêng; gọi theo quyền việc</x:t>
        </x:is>
      </x:c>
      <x:c r="E164" s="8" t="inlineStr">
        <x:is>
          <x:t xml:space="preserve">Rà soát khi chức năng đổi</x:t>
        </x:is>
      </x:c>
      <x:c r="F164" s="8" t="inlineStr">
        <x:is>
          <x:t xml:space="preserve">Sửa nguồn; tái tạo bản xuất; đọc lại và ghi bằng chứng</x:t>
        </x:is>
      </x:c>
    </x:row>
    <x:row r="165" ht="38" customHeight="1">
      <x:c r="A165" s="8" t="inlineStr">
        <x:is>
          <x:t xml:space="preserve">F09</x:t>
        </x:is>
      </x:c>
      <x:c r="B165" s="8" t="inlineStr">
        <x:is>
          <x:t xml:space="preserve">Chat / gọi / thông báo</x:t>
        </x:is>
      </x:c>
      <x:c r="C165" s="8" t="inlineStr">
        <x:is>
          <x:t xml:space="preserve">DOC-008</x:t>
        </x:is>
      </x:c>
      <x:c r="D165" s="8" t="inlineStr">
        <x:is>
          <x:t xml:space="preserve">Chat trước thuê, dùng lại phòng riêng; gọi theo quyền việc</x:t>
        </x:is>
      </x:c>
      <x:c r="E165" s="8" t="inlineStr">
        <x:is>
          <x:t xml:space="preserve">Rà soát khi chức năng đổi</x:t>
        </x:is>
      </x:c>
      <x:c r="F165" s="8" t="inlineStr">
        <x:is>
          <x:t xml:space="preserve">Sửa nguồn; tái tạo bản xuất; đọc lại và ghi bằng chứng</x:t>
        </x:is>
      </x:c>
    </x:row>
    <x:row r="166" ht="38" customHeight="1">
      <x:c r="A166" s="8" t="inlineStr">
        <x:is>
          <x:t xml:space="preserve">F09</x:t>
        </x:is>
      </x:c>
      <x:c r="B166" s="8" t="inlineStr">
        <x:is>
          <x:t xml:space="preserve">Chat / gọi / thông báo</x:t>
        </x:is>
      </x:c>
      <x:c r="C166" s="8" t="inlineStr">
        <x:is>
          <x:t xml:space="preserve">DOC-012</x:t>
        </x:is>
      </x:c>
      <x:c r="D166" s="8" t="inlineStr">
        <x:is>
          <x:t xml:space="preserve">Chat trước thuê, dùng lại phòng riêng; gọi theo quyền việc</x:t>
        </x:is>
      </x:c>
      <x:c r="E166" s="8" t="inlineStr">
        <x:is>
          <x:t xml:space="preserve">Rà soát khi chức năng đổi</x:t>
        </x:is>
      </x:c>
      <x:c r="F166" s="8" t="inlineStr">
        <x:is>
          <x:t xml:space="preserve">Sửa nguồn; tái tạo bản xuất; đọc lại và ghi bằng chứng</x:t>
        </x:is>
      </x:c>
    </x:row>
    <x:row r="167" ht="38" customHeight="1">
      <x:c r="A167" s="8" t="inlineStr">
        <x:is>
          <x:t xml:space="preserve">F09</x:t>
        </x:is>
      </x:c>
      <x:c r="B167" s="8" t="inlineStr">
        <x:is>
          <x:t xml:space="preserve">Chat / gọi / thông báo</x:t>
        </x:is>
      </x:c>
      <x:c r="C167" s="8" t="inlineStr">
        <x:is>
          <x:t xml:space="preserve">DOC-013</x:t>
        </x:is>
      </x:c>
      <x:c r="D167" s="8" t="inlineStr">
        <x:is>
          <x:t xml:space="preserve">Chat trước thuê, dùng lại phòng riêng; gọi theo quyền việc</x:t>
        </x:is>
      </x:c>
      <x:c r="E167" s="8" t="inlineStr">
        <x:is>
          <x:t xml:space="preserve">Rà soát khi chức năng đổi</x:t>
        </x:is>
      </x:c>
      <x:c r="F167" s="8" t="inlineStr">
        <x:is>
          <x:t xml:space="preserve">Sửa nguồn; tái tạo bản xuất; đọc lại và ghi bằng chứng</x:t>
        </x:is>
      </x:c>
    </x:row>
    <x:row r="168" ht="38" customHeight="1">
      <x:c r="A168" s="8" t="inlineStr">
        <x:is>
          <x:t xml:space="preserve">F09</x:t>
        </x:is>
      </x:c>
      <x:c r="B168" s="8" t="inlineStr">
        <x:is>
          <x:t xml:space="preserve">Chat / gọi / thông báo</x:t>
        </x:is>
      </x:c>
      <x:c r="C168" s="8" t="inlineStr">
        <x:is>
          <x:t xml:space="preserve">DOC-015</x:t>
        </x:is>
      </x:c>
      <x:c r="D168" s="8" t="inlineStr">
        <x:is>
          <x:t xml:space="preserve">Chat trước thuê, dùng lại phòng riêng; gọi theo quyền việc</x:t>
        </x:is>
      </x:c>
      <x:c r="E168" s="8" t="inlineStr">
        <x:is>
          <x:t xml:space="preserve">Rà soát khi chức năng đổi</x:t>
        </x:is>
      </x:c>
      <x:c r="F168" s="8" t="inlineStr">
        <x:is>
          <x:t xml:space="preserve">Sửa nguồn; tái tạo bản xuất; đọc lại và ghi bằng chứng</x:t>
        </x:is>
      </x:c>
    </x:row>
    <x:row r="169" ht="38" customHeight="1">
      <x:c r="A169" s="8" t="inlineStr">
        <x:is>
          <x:t xml:space="preserve">F09</x:t>
        </x:is>
      </x:c>
      <x:c r="B169" s="8" t="inlineStr">
        <x:is>
          <x:t xml:space="preserve">Chat / gọi / thông báo</x:t>
        </x:is>
      </x:c>
      <x:c r="C169" s="8" t="inlineStr">
        <x:is>
          <x:t xml:space="preserve">DOC-014</x:t>
        </x:is>
      </x:c>
      <x:c r="D169" s="8" t="inlineStr">
        <x:is>
          <x:t xml:space="preserve">Chat trước thuê, dùng lại phòng riêng; gọi theo quyền việc</x:t>
        </x:is>
      </x:c>
      <x:c r="E169" s="8" t="inlineStr">
        <x:is>
          <x:t xml:space="preserve">Rà soát khi chức năng đổi</x:t>
        </x:is>
      </x:c>
      <x:c r="F169" s="8" t="inlineStr">
        <x:is>
          <x:t xml:space="preserve">Sửa nguồn; tái tạo bản xuất; đọc lại và ghi bằng chứng</x:t>
        </x:is>
      </x:c>
    </x:row>
    <x:row r="170" ht="38" customHeight="1">
      <x:c r="A170" s="8" t="inlineStr">
        <x:is>
          <x:t xml:space="preserve">F09</x:t>
        </x:is>
      </x:c>
      <x:c r="B170" s="8" t="inlineStr">
        <x:is>
          <x:t xml:space="preserve">Chat / gọi / thông báo</x:t>
        </x:is>
      </x:c>
      <x:c r="C170" s="8" t="inlineStr">
        <x:is>
          <x:t xml:space="preserve">DOC-016</x:t>
        </x:is>
      </x:c>
      <x:c r="D170" s="8" t="inlineStr">
        <x:is>
          <x:t xml:space="preserve">Chat trước thuê, dùng lại phòng riêng; gọi theo quyền việc</x:t>
        </x:is>
      </x:c>
      <x:c r="E170" s="8" t="inlineStr">
        <x:is>
          <x:t xml:space="preserve">Rà soát khi chức năng đổi</x:t>
        </x:is>
      </x:c>
      <x:c r="F170" s="8" t="inlineStr">
        <x:is>
          <x:t xml:space="preserve">Sửa nguồn; tái tạo bản xuất; đọc lại và ghi bằng chứng</x:t>
        </x:is>
      </x:c>
    </x:row>
    <x:row r="171" ht="38" customHeight="1">
      <x:c r="A171" s="8" t="inlineStr">
        <x:is>
          <x:t xml:space="preserve">F09</x:t>
        </x:is>
      </x:c>
      <x:c r="B171" s="8" t="inlineStr">
        <x:is>
          <x:t xml:space="preserve">Chat / gọi / thông báo</x:t>
        </x:is>
      </x:c>
      <x:c r="C171" s="8" t="inlineStr">
        <x:is>
          <x:t xml:space="preserve">DOC-017</x:t>
        </x:is>
      </x:c>
      <x:c r="D171" s="8" t="inlineStr">
        <x:is>
          <x:t xml:space="preserve">Chat trước thuê, dùng lại phòng riêng; gọi theo quyền việc</x:t>
        </x:is>
      </x:c>
      <x:c r="E171" s="8" t="inlineStr">
        <x:is>
          <x:t xml:space="preserve">Rà soát khi chức năng đổi</x:t>
        </x:is>
      </x:c>
      <x:c r="F171" s="8" t="inlineStr">
        <x:is>
          <x:t xml:space="preserve">Sửa nguồn; tái tạo bản xuất; đọc lại và ghi bằng chứng</x:t>
        </x:is>
      </x:c>
    </x:row>
    <x:row r="172" ht="38" customHeight="1">
      <x:c r="A172" s="8" t="inlineStr">
        <x:is>
          <x:t xml:space="preserve">F09</x:t>
        </x:is>
      </x:c>
      <x:c r="B172" s="8" t="inlineStr">
        <x:is>
          <x:t xml:space="preserve">Chat / gọi / thông báo</x:t>
        </x:is>
      </x:c>
      <x:c r="C172" s="8" t="inlineStr">
        <x:is>
          <x:t xml:space="preserve">DOC-018</x:t>
        </x:is>
      </x:c>
      <x:c r="D172" s="8" t="inlineStr">
        <x:is>
          <x:t xml:space="preserve">Chat trước thuê, dùng lại phòng riêng; gọi theo quyền việc</x:t>
        </x:is>
      </x:c>
      <x:c r="E172" s="8" t="inlineStr">
        <x:is>
          <x:t xml:space="preserve">Rà soát khi chức năng đổi</x:t>
        </x:is>
      </x:c>
      <x:c r="F172" s="8" t="inlineStr">
        <x:is>
          <x:t xml:space="preserve">Sửa nguồn; tái tạo bản xuất; đọc lại và ghi bằng chứng</x:t>
        </x:is>
      </x:c>
    </x:row>
    <x:row r="173" ht="38" customHeight="1">
      <x:c r="A173" s="8" t="inlineStr">
        <x:is>
          <x:t xml:space="preserve">F09</x:t>
        </x:is>
      </x:c>
      <x:c r="B173" s="8" t="inlineStr">
        <x:is>
          <x:t xml:space="preserve">Chat / gọi / thông báo</x:t>
        </x:is>
      </x:c>
      <x:c r="C173" s="8" t="inlineStr">
        <x:is>
          <x:t xml:space="preserve">DOC-025</x:t>
        </x:is>
      </x:c>
      <x:c r="D173" s="8" t="inlineStr">
        <x:is>
          <x:t xml:space="preserve">Chat trước thuê, dùng lại phòng riêng; gọi theo quyền việc</x:t>
        </x:is>
      </x:c>
      <x:c r="E173" s="8" t="inlineStr">
        <x:is>
          <x:t xml:space="preserve">Rà soát khi chức năng đổi</x:t>
        </x:is>
      </x:c>
      <x:c r="F173" s="8" t="inlineStr">
        <x:is>
          <x:t xml:space="preserve">Sửa nguồn; tái tạo bản xuất; đọc lại và ghi bằng chứng</x:t>
        </x:is>
      </x:c>
    </x:row>
    <x:row r="174" ht="38" customHeight="1">
      <x:c r="A174" s="8" t="inlineStr">
        <x:is>
          <x:t xml:space="preserve">F09</x:t>
        </x:is>
      </x:c>
      <x:c r="B174" s="8" t="inlineStr">
        <x:is>
          <x:t xml:space="preserve">Chat / gọi / thông báo</x:t>
        </x:is>
      </x:c>
      <x:c r="C174" s="8" t="inlineStr">
        <x:is>
          <x:t xml:space="preserve">DOC-026</x:t>
        </x:is>
      </x:c>
      <x:c r="D174" s="8" t="inlineStr">
        <x:is>
          <x:t xml:space="preserve">Chat trước thuê, dùng lại phòng riêng; gọi theo quyền việc</x:t>
        </x:is>
      </x:c>
      <x:c r="E174" s="8" t="inlineStr">
        <x:is>
          <x:t xml:space="preserve">Rà soát khi chức năng đổi</x:t>
        </x:is>
      </x:c>
      <x:c r="F174" s="8" t="inlineStr">
        <x:is>
          <x:t xml:space="preserve">Sửa nguồn; tái tạo bản xuất; đọc lại và ghi bằng chứng</x:t>
        </x:is>
      </x:c>
    </x:row>
    <x:row r="175" ht="38" customHeight="1">
      <x:c r="A175" s="8" t="inlineStr">
        <x:is>
          <x:t xml:space="preserve">F09</x:t>
        </x:is>
      </x:c>
      <x:c r="B175" s="8" t="inlineStr">
        <x:is>
          <x:t xml:space="preserve">Chat / gọi / thông báo</x:t>
        </x:is>
      </x:c>
      <x:c r="C175" s="8" t="inlineStr">
        <x:is>
          <x:t xml:space="preserve">DOC-027</x:t>
        </x:is>
      </x:c>
      <x:c r="D175" s="8" t="inlineStr">
        <x:is>
          <x:t xml:space="preserve">Chat trước thuê, dùng lại phòng riêng; gọi theo quyền việc</x:t>
        </x:is>
      </x:c>
      <x:c r="E175" s="8" t="inlineStr">
        <x:is>
          <x:t xml:space="preserve">Rà soát khi chức năng đổi</x:t>
        </x:is>
      </x:c>
      <x:c r="F175" s="8" t="inlineStr">
        <x:is>
          <x:t xml:space="preserve">Sửa nguồn; tái tạo bản xuất; đọc lại và ghi bằng chứng</x:t>
        </x:is>
      </x:c>
    </x:row>
    <x:row r="176" ht="38" customHeight="1">
      <x:c r="A176" s="8" t="inlineStr">
        <x:is>
          <x:t xml:space="preserve">F09</x:t>
        </x:is>
      </x:c>
      <x:c r="B176" s="8" t="inlineStr">
        <x:is>
          <x:t xml:space="preserve">Chat / gọi / thông báo</x:t>
        </x:is>
      </x:c>
      <x:c r="C176" s="8" t="inlineStr">
        <x:is>
          <x:t xml:space="preserve">DOC-028</x:t>
        </x:is>
      </x:c>
      <x:c r="D176" s="8" t="inlineStr">
        <x:is>
          <x:t xml:space="preserve">Chat trước thuê, dùng lại phòng riêng; gọi theo quyền việc</x:t>
        </x:is>
      </x:c>
      <x:c r="E176" s="8" t="inlineStr">
        <x:is>
          <x:t xml:space="preserve">Rà soát khi chức năng đổi</x:t>
        </x:is>
      </x:c>
      <x:c r="F176" s="8" t="inlineStr">
        <x:is>
          <x:t xml:space="preserve">Sửa nguồn; tái tạo bản xuất; đọc lại và ghi bằng chứng</x:t>
        </x:is>
      </x:c>
    </x:row>
    <x:row r="177" ht="38" customHeight="1">
      <x:c r="A177" s="8" t="inlineStr">
        <x:is>
          <x:t xml:space="preserve">F09</x:t>
        </x:is>
      </x:c>
      <x:c r="B177" s="8" t="inlineStr">
        <x:is>
          <x:t xml:space="preserve">Chat / gọi / thông báo</x:t>
        </x:is>
      </x:c>
      <x:c r="C177" s="8" t="inlineStr">
        <x:is>
          <x:t xml:space="preserve">DOC-029</x:t>
        </x:is>
      </x:c>
      <x:c r="D177" s="8" t="inlineStr">
        <x:is>
          <x:t xml:space="preserve">Chat trước thuê, dùng lại phòng riêng; gọi theo quyền việc</x:t>
        </x:is>
      </x:c>
      <x:c r="E177" s="8" t="inlineStr">
        <x:is>
          <x:t xml:space="preserve">Rà soát khi chức năng đổi</x:t>
        </x:is>
      </x:c>
      <x:c r="F177" s="8" t="inlineStr">
        <x:is>
          <x:t xml:space="preserve">Sửa nguồn; tái tạo bản xuất; đọc lại và ghi bằng chứng</x:t>
        </x:is>
      </x:c>
    </x:row>
    <x:row r="178" ht="38" customHeight="1">
      <x:c r="A178" s="8" t="inlineStr">
        <x:is>
          <x:t xml:space="preserve">F09</x:t>
        </x:is>
      </x:c>
      <x:c r="B178" s="8" t="inlineStr">
        <x:is>
          <x:t xml:space="preserve">Chat / gọi / thông báo</x:t>
        </x:is>
      </x:c>
      <x:c r="C178" s="8" t="inlineStr">
        <x:is>
          <x:t xml:space="preserve">DOC-030</x:t>
        </x:is>
      </x:c>
      <x:c r="D178" s="8" t="inlineStr">
        <x:is>
          <x:t xml:space="preserve">Chat trước thuê, dùng lại phòng riêng; gọi theo quyền việc</x:t>
        </x:is>
      </x:c>
      <x:c r="E178" s="8" t="inlineStr">
        <x:is>
          <x:t xml:space="preserve">Rà soát khi chức năng đổi</x:t>
        </x:is>
      </x:c>
      <x:c r="F178" s="8" t="inlineStr">
        <x:is>
          <x:t xml:space="preserve">Sửa nguồn; tái tạo bản xuất; đọc lại và ghi bằng chứng</x:t>
        </x:is>
      </x:c>
    </x:row>
    <x:row r="179" ht="38" customHeight="1">
      <x:c r="A179" s="8" t="inlineStr">
        <x:is>
          <x:t xml:space="preserve">F09</x:t>
        </x:is>
      </x:c>
      <x:c r="B179" s="8" t="inlineStr">
        <x:is>
          <x:t xml:space="preserve">Chat / gọi / thông báo</x:t>
        </x:is>
      </x:c>
      <x:c r="C179" s="8" t="inlineStr">
        <x:is>
          <x:t xml:space="preserve">DOC-031</x:t>
        </x:is>
      </x:c>
      <x:c r="D179" s="8" t="inlineStr">
        <x:is>
          <x:t xml:space="preserve">Chat trước thuê, dùng lại phòng riêng; gọi theo quyền việc</x:t>
        </x:is>
      </x:c>
      <x:c r="E179" s="8" t="inlineStr">
        <x:is>
          <x:t xml:space="preserve">Rà soát khi chức năng đổi</x:t>
        </x:is>
      </x:c>
      <x:c r="F179" s="8" t="inlineStr">
        <x:is>
          <x:t xml:space="preserve">Sửa nguồn; tái tạo bản xuất; đọc lại và ghi bằng chứng</x:t>
        </x:is>
      </x:c>
    </x:row>
    <x:row r="180" ht="38" customHeight="1">
      <x:c r="A180" s="8" t="inlineStr">
        <x:is>
          <x:t xml:space="preserve">F09</x:t>
        </x:is>
      </x:c>
      <x:c r="B180" s="8" t="inlineStr">
        <x:is>
          <x:t xml:space="preserve">Chat / gọi / thông báo</x:t>
        </x:is>
      </x:c>
      <x:c r="C180" s="8" t="inlineStr">
        <x:is>
          <x:t xml:space="preserve">DOC-033</x:t>
        </x:is>
      </x:c>
      <x:c r="D180" s="8" t="inlineStr">
        <x:is>
          <x:t xml:space="preserve">Chat trước thuê, dùng lại phòng riêng; gọi theo quyền việc</x:t>
        </x:is>
      </x:c>
      <x:c r="E180" s="8" t="inlineStr">
        <x:is>
          <x:t xml:space="preserve">Rà soát khi chức năng đổi</x:t>
        </x:is>
      </x:c>
      <x:c r="F180" s="8" t="inlineStr">
        <x:is>
          <x:t xml:space="preserve">Sửa nguồn; tái tạo bản xuất; đọc lại và ghi bằng chứng</x:t>
        </x:is>
      </x:c>
    </x:row>
    <x:row r="181" ht="38" customHeight="1">
      <x:c r="A181" s="8" t="inlineStr">
        <x:is>
          <x:t xml:space="preserve">F10</x:t>
        </x:is>
      </x:c>
      <x:c r="B181" s="8" t="inlineStr">
        <x:is>
          <x:t xml:space="preserve">Hóa đơn / ảnh / phiên bản</x:t>
        </x:is>
      </x:c>
      <x:c r="C181" s="8" t="inlineStr">
        <x:is>
          <x:t xml:space="preserve">DOC-004</x:t>
        </x:is>
      </x:c>
      <x:c r="D181" s="8" t="inlineStr">
        <x:is>
          <x:t xml:space="preserve">Vật tư, công; sửa trước khóa; không duyệt qua quản lý</x:t>
        </x:is>
      </x:c>
      <x:c r="E181" s="8" t="inlineStr">
        <x:is>
          <x:t xml:space="preserve">Rà soát khi chức năng đổi</x:t>
        </x:is>
      </x:c>
      <x:c r="F181" s="8" t="inlineStr">
        <x:is>
          <x:t xml:space="preserve">Sửa nguồn; tái tạo bản xuất; đọc lại và ghi bằng chứng</x:t>
        </x:is>
      </x:c>
    </x:row>
    <x:row r="182" ht="38" customHeight="1">
      <x:c r="A182" s="8" t="inlineStr">
        <x:is>
          <x:t xml:space="preserve">F10</x:t>
        </x:is>
      </x:c>
      <x:c r="B182" s="8" t="inlineStr">
        <x:is>
          <x:t xml:space="preserve">Hóa đơn / ảnh / phiên bản</x:t>
        </x:is>
      </x:c>
      <x:c r="C182" s="8" t="inlineStr">
        <x:is>
          <x:t xml:space="preserve">DOC-005</x:t>
        </x:is>
      </x:c>
      <x:c r="D182" s="8" t="inlineStr">
        <x:is>
          <x:t xml:space="preserve">Vật tư, công; sửa trước khóa; không duyệt qua quản lý</x:t>
        </x:is>
      </x:c>
      <x:c r="E182" s="8" t="inlineStr">
        <x:is>
          <x:t xml:space="preserve">Rà soát khi chức năng đổi</x:t>
        </x:is>
      </x:c>
      <x:c r="F182" s="8" t="inlineStr">
        <x:is>
          <x:t xml:space="preserve">Sửa nguồn; tái tạo bản xuất; đọc lại và ghi bằng chứng</x:t>
        </x:is>
      </x:c>
    </x:row>
    <x:row r="183" ht="38" customHeight="1">
      <x:c r="A183" s="8" t="inlineStr">
        <x:is>
          <x:t xml:space="preserve">F10</x:t>
        </x:is>
      </x:c>
      <x:c r="B183" s="8" t="inlineStr">
        <x:is>
          <x:t xml:space="preserve">Hóa đơn / ảnh / phiên bản</x:t>
        </x:is>
      </x:c>
      <x:c r="C183" s="8" t="inlineStr">
        <x:is>
          <x:t xml:space="preserve">DOC-006</x:t>
        </x:is>
      </x:c>
      <x:c r="D183" s="8" t="inlineStr">
        <x:is>
          <x:t xml:space="preserve">Vật tư, công; sửa trước khóa; không duyệt qua quản lý</x:t>
        </x:is>
      </x:c>
      <x:c r="E183" s="8" t="inlineStr">
        <x:is>
          <x:t xml:space="preserve">Rà soát khi chức năng đổi</x:t>
        </x:is>
      </x:c>
      <x:c r="F183" s="8" t="inlineStr">
        <x:is>
          <x:t xml:space="preserve">Sửa nguồn; tái tạo bản xuất; đọc lại và ghi bằng chứng</x:t>
        </x:is>
      </x:c>
    </x:row>
    <x:row r="184" ht="38" customHeight="1">
      <x:c r="A184" s="8" t="inlineStr">
        <x:is>
          <x:t xml:space="preserve">F10</x:t>
        </x:is>
      </x:c>
      <x:c r="B184" s="8" t="inlineStr">
        <x:is>
          <x:t xml:space="preserve">Hóa đơn / ảnh / phiên bản</x:t>
        </x:is>
      </x:c>
      <x:c r="C184" s="8" t="inlineStr">
        <x:is>
          <x:t xml:space="preserve">DOC-007</x:t>
        </x:is>
      </x:c>
      <x:c r="D184" s="8" t="inlineStr">
        <x:is>
          <x:t xml:space="preserve">Vật tư, công; sửa trước khóa; không duyệt qua quản lý</x:t>
        </x:is>
      </x:c>
      <x:c r="E184" s="8" t="inlineStr">
        <x:is>
          <x:t xml:space="preserve">Rà soát khi chức năng đổi</x:t>
        </x:is>
      </x:c>
      <x:c r="F184" s="8" t="inlineStr">
        <x:is>
          <x:t xml:space="preserve">Sửa nguồn; tái tạo bản xuất; đọc lại và ghi bằng chứng</x:t>
        </x:is>
      </x:c>
    </x:row>
    <x:row r="185" ht="38" customHeight="1">
      <x:c r="A185" s="8" t="inlineStr">
        <x:is>
          <x:t xml:space="preserve">F10</x:t>
        </x:is>
      </x:c>
      <x:c r="B185" s="8" t="inlineStr">
        <x:is>
          <x:t xml:space="preserve">Hóa đơn / ảnh / phiên bản</x:t>
        </x:is>
      </x:c>
      <x:c r="C185" s="8" t="inlineStr">
        <x:is>
          <x:t xml:space="preserve">DOC-008</x:t>
        </x:is>
      </x:c>
      <x:c r="D185" s="8" t="inlineStr">
        <x:is>
          <x:t xml:space="preserve">Vật tư, công; sửa trước khóa; không duyệt qua quản lý</x:t>
        </x:is>
      </x:c>
      <x:c r="E185" s="8" t="inlineStr">
        <x:is>
          <x:t xml:space="preserve">Rà soát khi chức năng đổi</x:t>
        </x:is>
      </x:c>
      <x:c r="F185" s="8" t="inlineStr">
        <x:is>
          <x:t xml:space="preserve">Sửa nguồn; tái tạo bản xuất; đọc lại và ghi bằng chứng</x:t>
        </x:is>
      </x:c>
    </x:row>
    <x:row r="186" ht="38" customHeight="1">
      <x:c r="A186" s="8" t="inlineStr">
        <x:is>
          <x:t xml:space="preserve">F10</x:t>
        </x:is>
      </x:c>
      <x:c r="B186" s="8" t="inlineStr">
        <x:is>
          <x:t xml:space="preserve">Hóa đơn / ảnh / phiên bản</x:t>
        </x:is>
      </x:c>
      <x:c r="C186" s="8" t="inlineStr">
        <x:is>
          <x:t xml:space="preserve">DOC-012</x:t>
        </x:is>
      </x:c>
      <x:c r="D186" s="8" t="inlineStr">
        <x:is>
          <x:t xml:space="preserve">Vật tư, công; sửa trước khóa; không duyệt qua quản lý</x:t>
        </x:is>
      </x:c>
      <x:c r="E186" s="8" t="inlineStr">
        <x:is>
          <x:t xml:space="preserve">Rà soát khi chức năng đổi</x:t>
        </x:is>
      </x:c>
      <x:c r="F186" s="8" t="inlineStr">
        <x:is>
          <x:t xml:space="preserve">Sửa nguồn; tái tạo bản xuất; đọc lại và ghi bằng chứng</x:t>
        </x:is>
      </x:c>
    </x:row>
    <x:row r="187" ht="38" customHeight="1">
      <x:c r="A187" s="8" t="inlineStr">
        <x:is>
          <x:t xml:space="preserve">F10</x:t>
        </x:is>
      </x:c>
      <x:c r="B187" s="8" t="inlineStr">
        <x:is>
          <x:t xml:space="preserve">Hóa đơn / ảnh / phiên bản</x:t>
        </x:is>
      </x:c>
      <x:c r="C187" s="8" t="inlineStr">
        <x:is>
          <x:t xml:space="preserve">DOC-013</x:t>
        </x:is>
      </x:c>
      <x:c r="D187" s="8" t="inlineStr">
        <x:is>
          <x:t xml:space="preserve">Vật tư, công; sửa trước khóa; không duyệt qua quản lý</x:t>
        </x:is>
      </x:c>
      <x:c r="E187" s="8" t="inlineStr">
        <x:is>
          <x:t xml:space="preserve">Rà soát khi chức năng đổi</x:t>
        </x:is>
      </x:c>
      <x:c r="F187" s="8" t="inlineStr">
        <x:is>
          <x:t xml:space="preserve">Sửa nguồn; tái tạo bản xuất; đọc lại và ghi bằng chứng</x:t>
        </x:is>
      </x:c>
    </x:row>
    <x:row r="188" ht="38" customHeight="1">
      <x:c r="A188" s="8" t="inlineStr">
        <x:is>
          <x:t xml:space="preserve">F10</x:t>
        </x:is>
      </x:c>
      <x:c r="B188" s="8" t="inlineStr">
        <x:is>
          <x:t xml:space="preserve">Hóa đơn / ảnh / phiên bản</x:t>
        </x:is>
      </x:c>
      <x:c r="C188" s="8" t="inlineStr">
        <x:is>
          <x:t xml:space="preserve">DOC-015</x:t>
        </x:is>
      </x:c>
      <x:c r="D188" s="8" t="inlineStr">
        <x:is>
          <x:t xml:space="preserve">Vật tư, công; sửa trước khóa; không duyệt qua quản lý</x:t>
        </x:is>
      </x:c>
      <x:c r="E188" s="8" t="inlineStr">
        <x:is>
          <x:t xml:space="preserve">Rà soát khi chức năng đổi</x:t>
        </x:is>
      </x:c>
      <x:c r="F188" s="8" t="inlineStr">
        <x:is>
          <x:t xml:space="preserve">Sửa nguồn; tái tạo bản xuất; đọc lại và ghi bằng chứng</x:t>
        </x:is>
      </x:c>
    </x:row>
    <x:row r="189" ht="38" customHeight="1">
      <x:c r="A189" s="8" t="inlineStr">
        <x:is>
          <x:t xml:space="preserve">F10</x:t>
        </x:is>
      </x:c>
      <x:c r="B189" s="8" t="inlineStr">
        <x:is>
          <x:t xml:space="preserve">Hóa đơn / ảnh / phiên bản</x:t>
        </x:is>
      </x:c>
      <x:c r="C189" s="8" t="inlineStr">
        <x:is>
          <x:t xml:space="preserve">DOC-014</x:t>
        </x:is>
      </x:c>
      <x:c r="D189" s="8" t="inlineStr">
        <x:is>
          <x:t xml:space="preserve">Vật tư, công; sửa trước khóa; không duyệt qua quản lý</x:t>
        </x:is>
      </x:c>
      <x:c r="E189" s="8" t="inlineStr">
        <x:is>
          <x:t xml:space="preserve">Rà soát khi chức năng đổi</x:t>
        </x:is>
      </x:c>
      <x:c r="F189" s="8" t="inlineStr">
        <x:is>
          <x:t xml:space="preserve">Sửa nguồn; tái tạo bản xuất; đọc lại và ghi bằng chứng</x:t>
        </x:is>
      </x:c>
    </x:row>
    <x:row r="190" ht="38" customHeight="1">
      <x:c r="A190" s="8" t="inlineStr">
        <x:is>
          <x:t xml:space="preserve">F10</x:t>
        </x:is>
      </x:c>
      <x:c r="B190" s="8" t="inlineStr">
        <x:is>
          <x:t xml:space="preserve">Hóa đơn / ảnh / phiên bản</x:t>
        </x:is>
      </x:c>
      <x:c r="C190" s="8" t="inlineStr">
        <x:is>
          <x:t xml:space="preserve">DOC-016</x:t>
        </x:is>
      </x:c>
      <x:c r="D190" s="8" t="inlineStr">
        <x:is>
          <x:t xml:space="preserve">Vật tư, công; sửa trước khóa; không duyệt qua quản lý</x:t>
        </x:is>
      </x:c>
      <x:c r="E190" s="8" t="inlineStr">
        <x:is>
          <x:t xml:space="preserve">Rà soát khi chức năng đổi</x:t>
        </x:is>
      </x:c>
      <x:c r="F190" s="8" t="inlineStr">
        <x:is>
          <x:t xml:space="preserve">Sửa nguồn; tái tạo bản xuất; đọc lại và ghi bằng chứng</x:t>
        </x:is>
      </x:c>
    </x:row>
    <x:row r="191" ht="38" customHeight="1">
      <x:c r="A191" s="8" t="inlineStr">
        <x:is>
          <x:t xml:space="preserve">F10</x:t>
        </x:is>
      </x:c>
      <x:c r="B191" s="8" t="inlineStr">
        <x:is>
          <x:t xml:space="preserve">Hóa đơn / ảnh / phiên bản</x:t>
        </x:is>
      </x:c>
      <x:c r="C191" s="8" t="inlineStr">
        <x:is>
          <x:t xml:space="preserve">DOC-017</x:t>
        </x:is>
      </x:c>
      <x:c r="D191" s="8" t="inlineStr">
        <x:is>
          <x:t xml:space="preserve">Vật tư, công; sửa trước khóa; không duyệt qua quản lý</x:t>
        </x:is>
      </x:c>
      <x:c r="E191" s="8" t="inlineStr">
        <x:is>
          <x:t xml:space="preserve">Rà soát khi chức năng đổi</x:t>
        </x:is>
      </x:c>
      <x:c r="F191" s="8" t="inlineStr">
        <x:is>
          <x:t xml:space="preserve">Sửa nguồn; tái tạo bản xuất; đọc lại và ghi bằng chứng</x:t>
        </x:is>
      </x:c>
    </x:row>
    <x:row r="192" ht="38" customHeight="1">
      <x:c r="A192" s="8" t="inlineStr">
        <x:is>
          <x:t xml:space="preserve">F10</x:t>
        </x:is>
      </x:c>
      <x:c r="B192" s="8" t="inlineStr">
        <x:is>
          <x:t xml:space="preserve">Hóa đơn / ảnh / phiên bản</x:t>
        </x:is>
      </x:c>
      <x:c r="C192" s="8" t="inlineStr">
        <x:is>
          <x:t xml:space="preserve">DOC-018</x:t>
        </x:is>
      </x:c>
      <x:c r="D192" s="8" t="inlineStr">
        <x:is>
          <x:t xml:space="preserve">Vật tư, công; sửa trước khóa; không duyệt qua quản lý</x:t>
        </x:is>
      </x:c>
      <x:c r="E192" s="8" t="inlineStr">
        <x:is>
          <x:t xml:space="preserve">Rà soát khi chức năng đổi</x:t>
        </x:is>
      </x:c>
      <x:c r="F192" s="8" t="inlineStr">
        <x:is>
          <x:t xml:space="preserve">Sửa nguồn; tái tạo bản xuất; đọc lại và ghi bằng chứng</x:t>
        </x:is>
      </x:c>
    </x:row>
    <x:row r="193" ht="38" customHeight="1">
      <x:c r="A193" s="8" t="inlineStr">
        <x:is>
          <x:t xml:space="preserve">F10</x:t>
        </x:is>
      </x:c>
      <x:c r="B193" s="8" t="inlineStr">
        <x:is>
          <x:t xml:space="preserve">Hóa đơn / ảnh / phiên bản</x:t>
        </x:is>
      </x:c>
      <x:c r="C193" s="8" t="inlineStr">
        <x:is>
          <x:t xml:space="preserve">DOC-025</x:t>
        </x:is>
      </x:c>
      <x:c r="D193" s="8" t="inlineStr">
        <x:is>
          <x:t xml:space="preserve">Vật tư, công; sửa trước khóa; không duyệt qua quản lý</x:t>
        </x:is>
      </x:c>
      <x:c r="E193" s="8" t="inlineStr">
        <x:is>
          <x:t xml:space="preserve">Rà soát khi chức năng đổi</x:t>
        </x:is>
      </x:c>
      <x:c r="F193" s="8" t="inlineStr">
        <x:is>
          <x:t xml:space="preserve">Sửa nguồn; tái tạo bản xuất; đọc lại và ghi bằng chứng</x:t>
        </x:is>
      </x:c>
    </x:row>
    <x:row r="194" ht="38" customHeight="1">
      <x:c r="A194" s="8" t="inlineStr">
        <x:is>
          <x:t xml:space="preserve">F10</x:t>
        </x:is>
      </x:c>
      <x:c r="B194" s="8" t="inlineStr">
        <x:is>
          <x:t xml:space="preserve">Hóa đơn / ảnh / phiên bản</x:t>
        </x:is>
      </x:c>
      <x:c r="C194" s="8" t="inlineStr">
        <x:is>
          <x:t xml:space="preserve">DOC-026</x:t>
        </x:is>
      </x:c>
      <x:c r="D194" s="8" t="inlineStr">
        <x:is>
          <x:t xml:space="preserve">Vật tư, công; sửa trước khóa; không duyệt qua quản lý</x:t>
        </x:is>
      </x:c>
      <x:c r="E194" s="8" t="inlineStr">
        <x:is>
          <x:t xml:space="preserve">Rà soát khi chức năng đổi</x:t>
        </x:is>
      </x:c>
      <x:c r="F194" s="8" t="inlineStr">
        <x:is>
          <x:t xml:space="preserve">Sửa nguồn; tái tạo bản xuất; đọc lại và ghi bằng chứng</x:t>
        </x:is>
      </x:c>
    </x:row>
    <x:row r="195" ht="38" customHeight="1">
      <x:c r="A195" s="8" t="inlineStr">
        <x:is>
          <x:t xml:space="preserve">F10</x:t>
        </x:is>
      </x:c>
      <x:c r="B195" s="8" t="inlineStr">
        <x:is>
          <x:t xml:space="preserve">Hóa đơn / ảnh / phiên bản</x:t>
        </x:is>
      </x:c>
      <x:c r="C195" s="8" t="inlineStr">
        <x:is>
          <x:t xml:space="preserve">DOC-027</x:t>
        </x:is>
      </x:c>
      <x:c r="D195" s="8" t="inlineStr">
        <x:is>
          <x:t xml:space="preserve">Vật tư, công; sửa trước khóa; không duyệt qua quản lý</x:t>
        </x:is>
      </x:c>
      <x:c r="E195" s="8" t="inlineStr">
        <x:is>
          <x:t xml:space="preserve">Rà soát khi chức năng đổi</x:t>
        </x:is>
      </x:c>
      <x:c r="F195" s="8" t="inlineStr">
        <x:is>
          <x:t xml:space="preserve">Sửa nguồn; tái tạo bản xuất; đọc lại và ghi bằng chứng</x:t>
        </x:is>
      </x:c>
    </x:row>
    <x:row r="196" ht="38" customHeight="1">
      <x:c r="A196" s="8" t="inlineStr">
        <x:is>
          <x:t xml:space="preserve">F10</x:t>
        </x:is>
      </x:c>
      <x:c r="B196" s="8" t="inlineStr">
        <x:is>
          <x:t xml:space="preserve">Hóa đơn / ảnh / phiên bản</x:t>
        </x:is>
      </x:c>
      <x:c r="C196" s="8" t="inlineStr">
        <x:is>
          <x:t xml:space="preserve">DOC-028</x:t>
        </x:is>
      </x:c>
      <x:c r="D196" s="8" t="inlineStr">
        <x:is>
          <x:t xml:space="preserve">Vật tư, công; sửa trước khóa; không duyệt qua quản lý</x:t>
        </x:is>
      </x:c>
      <x:c r="E196" s="8" t="inlineStr">
        <x:is>
          <x:t xml:space="preserve">Rà soát khi chức năng đổi</x:t>
        </x:is>
      </x:c>
      <x:c r="F196" s="8" t="inlineStr">
        <x:is>
          <x:t xml:space="preserve">Sửa nguồn; tái tạo bản xuất; đọc lại và ghi bằng chứng</x:t>
        </x:is>
      </x:c>
    </x:row>
    <x:row r="197" ht="38" customHeight="1">
      <x:c r="A197" s="8" t="inlineStr">
        <x:is>
          <x:t xml:space="preserve">F10</x:t>
        </x:is>
      </x:c>
      <x:c r="B197" s="8" t="inlineStr">
        <x:is>
          <x:t xml:space="preserve">Hóa đơn / ảnh / phiên bản</x:t>
        </x:is>
      </x:c>
      <x:c r="C197" s="8" t="inlineStr">
        <x:is>
          <x:t xml:space="preserve">DOC-029</x:t>
        </x:is>
      </x:c>
      <x:c r="D197" s="8" t="inlineStr">
        <x:is>
          <x:t xml:space="preserve">Vật tư, công; sửa trước khóa; không duyệt qua quản lý</x:t>
        </x:is>
      </x:c>
      <x:c r="E197" s="8" t="inlineStr">
        <x:is>
          <x:t xml:space="preserve">Rà soát khi chức năng đổi</x:t>
        </x:is>
      </x:c>
      <x:c r="F197" s="8" t="inlineStr">
        <x:is>
          <x:t xml:space="preserve">Sửa nguồn; tái tạo bản xuất; đọc lại và ghi bằng chứng</x:t>
        </x:is>
      </x:c>
    </x:row>
    <x:row r="198" ht="38" customHeight="1">
      <x:c r="A198" s="8" t="inlineStr">
        <x:is>
          <x:t xml:space="preserve">F10</x:t>
        </x:is>
      </x:c>
      <x:c r="B198" s="8" t="inlineStr">
        <x:is>
          <x:t xml:space="preserve">Hóa đơn / ảnh / phiên bản</x:t>
        </x:is>
      </x:c>
      <x:c r="C198" s="8" t="inlineStr">
        <x:is>
          <x:t xml:space="preserve">DOC-030</x:t>
        </x:is>
      </x:c>
      <x:c r="D198" s="8" t="inlineStr">
        <x:is>
          <x:t xml:space="preserve">Vật tư, công; sửa trước khóa; không duyệt qua quản lý</x:t>
        </x:is>
      </x:c>
      <x:c r="E198" s="8" t="inlineStr">
        <x:is>
          <x:t xml:space="preserve">Rà soát khi chức năng đổi</x:t>
        </x:is>
      </x:c>
      <x:c r="F198" s="8" t="inlineStr">
        <x:is>
          <x:t xml:space="preserve">Sửa nguồn; tái tạo bản xuất; đọc lại và ghi bằng chứng</x:t>
        </x:is>
      </x:c>
    </x:row>
    <x:row r="199" ht="38" customHeight="1">
      <x:c r="A199" s="8" t="inlineStr">
        <x:is>
          <x:t xml:space="preserve">F10</x:t>
        </x:is>
      </x:c>
      <x:c r="B199" s="8" t="inlineStr">
        <x:is>
          <x:t xml:space="preserve">Hóa đơn / ảnh / phiên bản</x:t>
        </x:is>
      </x:c>
      <x:c r="C199" s="8" t="inlineStr">
        <x:is>
          <x:t xml:space="preserve">DOC-031</x:t>
        </x:is>
      </x:c>
      <x:c r="D199" s="8" t="inlineStr">
        <x:is>
          <x:t xml:space="preserve">Vật tư, công; sửa trước khóa; không duyệt qua quản lý</x:t>
        </x:is>
      </x:c>
      <x:c r="E199" s="8" t="inlineStr">
        <x:is>
          <x:t xml:space="preserve">Rà soát khi chức năng đổi</x:t>
        </x:is>
      </x:c>
      <x:c r="F199" s="8" t="inlineStr">
        <x:is>
          <x:t xml:space="preserve">Sửa nguồn; tái tạo bản xuất; đọc lại và ghi bằng chứng</x:t>
        </x:is>
      </x:c>
    </x:row>
    <x:row r="200" ht="38" customHeight="1">
      <x:c r="A200" s="8" t="inlineStr">
        <x:is>
          <x:t xml:space="preserve">F10</x:t>
        </x:is>
      </x:c>
      <x:c r="B200" s="8" t="inlineStr">
        <x:is>
          <x:t xml:space="preserve">Hóa đơn / ảnh / phiên bản</x:t>
        </x:is>
      </x:c>
      <x:c r="C200" s="8" t="inlineStr">
        <x:is>
          <x:t xml:space="preserve">DOC-033</x:t>
        </x:is>
      </x:c>
      <x:c r="D200" s="8" t="inlineStr">
        <x:is>
          <x:t xml:space="preserve">Vật tư, công; sửa trước khóa; không duyệt qua quản lý</x:t>
        </x:is>
      </x:c>
      <x:c r="E200" s="8" t="inlineStr">
        <x:is>
          <x:t xml:space="preserve">Rà soát khi chức năng đổi</x:t>
        </x:is>
      </x:c>
      <x:c r="F200" s="8" t="inlineStr">
        <x:is>
          <x:t xml:space="preserve">Sửa nguồn; tái tạo bản xuất; đọc lại và ghi bằng chứng</x:t>
        </x:is>
      </x:c>
    </x:row>
    <x:row r="201" ht="38" customHeight="1">
      <x:c r="A201" s="8" t="inlineStr">
        <x:is>
          <x:t xml:space="preserve">F11</x:t>
        </x:is>
      </x:c>
      <x:c r="B201" s="8" t="inlineStr">
        <x:is>
          <x:t xml:space="preserve">Point / giữ phí / quyết toán</x:t>
        </x:is>
      </x:c>
      <x:c r="C201" s="8" t="inlineStr">
        <x:is>
          <x:t xml:space="preserve">DOC-004</x:t>
        </x:is>
      </x:c>
      <x:c r="D201" s="8" t="inlineStr">
        <x:is>
          <x:t xml:space="preserve">Phí 10% công; point 1đ, dùng tổng hóa đơn; chống ghi trùng</x:t>
        </x:is>
      </x:c>
      <x:c r="E201" s="8" t="inlineStr">
        <x:is>
          <x:t xml:space="preserve">Rà soát khi chức năng đổi</x:t>
        </x:is>
      </x:c>
      <x:c r="F201" s="8" t="inlineStr">
        <x:is>
          <x:t xml:space="preserve">Sửa nguồn; tái tạo bản xuất; đọc lại và ghi bằng chứng</x:t>
        </x:is>
      </x:c>
    </x:row>
    <x:row r="202" ht="38" customHeight="1">
      <x:c r="A202" s="8" t="inlineStr">
        <x:is>
          <x:t xml:space="preserve">F11</x:t>
        </x:is>
      </x:c>
      <x:c r="B202" s="8" t="inlineStr">
        <x:is>
          <x:t xml:space="preserve">Point / giữ phí / quyết toán</x:t>
        </x:is>
      </x:c>
      <x:c r="C202" s="8" t="inlineStr">
        <x:is>
          <x:t xml:space="preserve">DOC-005</x:t>
        </x:is>
      </x:c>
      <x:c r="D202" s="8" t="inlineStr">
        <x:is>
          <x:t xml:space="preserve">Phí 10% công; point 1đ, dùng tổng hóa đơn; chống ghi trùng</x:t>
        </x:is>
      </x:c>
      <x:c r="E202" s="8" t="inlineStr">
        <x:is>
          <x:t xml:space="preserve">Rà soát khi chức năng đổi</x:t>
        </x:is>
      </x:c>
      <x:c r="F202" s="8" t="inlineStr">
        <x:is>
          <x:t xml:space="preserve">Sửa nguồn; tái tạo bản xuất; đọc lại và ghi bằng chứng</x:t>
        </x:is>
      </x:c>
    </x:row>
    <x:row r="203" ht="38" customHeight="1">
      <x:c r="A203" s="8" t="inlineStr">
        <x:is>
          <x:t xml:space="preserve">F11</x:t>
        </x:is>
      </x:c>
      <x:c r="B203" s="8" t="inlineStr">
        <x:is>
          <x:t xml:space="preserve">Point / giữ phí / quyết toán</x:t>
        </x:is>
      </x:c>
      <x:c r="C203" s="8" t="inlineStr">
        <x:is>
          <x:t xml:space="preserve">DOC-006</x:t>
        </x:is>
      </x:c>
      <x:c r="D203" s="8" t="inlineStr">
        <x:is>
          <x:t xml:space="preserve">Phí 10% công; point 1đ, dùng tổng hóa đơn; chống ghi trùng</x:t>
        </x:is>
      </x:c>
      <x:c r="E203" s="8" t="inlineStr">
        <x:is>
          <x:t xml:space="preserve">Rà soát khi chức năng đổi</x:t>
        </x:is>
      </x:c>
      <x:c r="F203" s="8" t="inlineStr">
        <x:is>
          <x:t xml:space="preserve">Sửa nguồn; tái tạo bản xuất; đọc lại và ghi bằng chứng</x:t>
        </x:is>
      </x:c>
    </x:row>
    <x:row r="204" ht="38" customHeight="1">
      <x:c r="A204" s="8" t="inlineStr">
        <x:is>
          <x:t xml:space="preserve">F11</x:t>
        </x:is>
      </x:c>
      <x:c r="B204" s="8" t="inlineStr">
        <x:is>
          <x:t xml:space="preserve">Point / giữ phí / quyết toán</x:t>
        </x:is>
      </x:c>
      <x:c r="C204" s="8" t="inlineStr">
        <x:is>
          <x:t xml:space="preserve">DOC-007</x:t>
        </x:is>
      </x:c>
      <x:c r="D204" s="8" t="inlineStr">
        <x:is>
          <x:t xml:space="preserve">Phí 10% công; point 1đ, dùng tổng hóa đơn; chống ghi trùng</x:t>
        </x:is>
      </x:c>
      <x:c r="E204" s="8" t="inlineStr">
        <x:is>
          <x:t xml:space="preserve">Rà soát khi chức năng đổi</x:t>
        </x:is>
      </x:c>
      <x:c r="F204" s="8" t="inlineStr">
        <x:is>
          <x:t xml:space="preserve">Sửa nguồn; tái tạo bản xuất; đọc lại và ghi bằng chứng</x:t>
        </x:is>
      </x:c>
    </x:row>
    <x:row r="205" ht="38" customHeight="1">
      <x:c r="A205" s="8" t="inlineStr">
        <x:is>
          <x:t xml:space="preserve">F11</x:t>
        </x:is>
      </x:c>
      <x:c r="B205" s="8" t="inlineStr">
        <x:is>
          <x:t xml:space="preserve">Point / giữ phí / quyết toán</x:t>
        </x:is>
      </x:c>
      <x:c r="C205" s="8" t="inlineStr">
        <x:is>
          <x:t xml:space="preserve">DOC-008</x:t>
        </x:is>
      </x:c>
      <x:c r="D205" s="8" t="inlineStr">
        <x:is>
          <x:t xml:space="preserve">Phí 10% công; point 1đ, dùng tổng hóa đơn; chống ghi trùng</x:t>
        </x:is>
      </x:c>
      <x:c r="E205" s="8" t="inlineStr">
        <x:is>
          <x:t xml:space="preserve">Rà soát khi chức năng đổi</x:t>
        </x:is>
      </x:c>
      <x:c r="F205" s="8" t="inlineStr">
        <x:is>
          <x:t xml:space="preserve">Sửa nguồn; tái tạo bản xuất; đọc lại và ghi bằng chứng</x:t>
        </x:is>
      </x:c>
    </x:row>
    <x:row r="206" ht="38" customHeight="1">
      <x:c r="A206" s="8" t="inlineStr">
        <x:is>
          <x:t xml:space="preserve">F11</x:t>
        </x:is>
      </x:c>
      <x:c r="B206" s="8" t="inlineStr">
        <x:is>
          <x:t xml:space="preserve">Point / giữ phí / quyết toán</x:t>
        </x:is>
      </x:c>
      <x:c r="C206" s="8" t="inlineStr">
        <x:is>
          <x:t xml:space="preserve">DOC-012</x:t>
        </x:is>
      </x:c>
      <x:c r="D206" s="8" t="inlineStr">
        <x:is>
          <x:t xml:space="preserve">Phí 10% công; point 1đ, dùng tổng hóa đơn; chống ghi trùng</x:t>
        </x:is>
      </x:c>
      <x:c r="E206" s="8" t="inlineStr">
        <x:is>
          <x:t xml:space="preserve">Rà soát khi chức năng đổi</x:t>
        </x:is>
      </x:c>
      <x:c r="F206" s="8" t="inlineStr">
        <x:is>
          <x:t xml:space="preserve">Sửa nguồn; tái tạo bản xuất; đọc lại và ghi bằng chứng</x:t>
        </x:is>
      </x:c>
    </x:row>
    <x:row r="207" ht="38" customHeight="1">
      <x:c r="A207" s="8" t="inlineStr">
        <x:is>
          <x:t xml:space="preserve">F11</x:t>
        </x:is>
      </x:c>
      <x:c r="B207" s="8" t="inlineStr">
        <x:is>
          <x:t xml:space="preserve">Point / giữ phí / quyết toán</x:t>
        </x:is>
      </x:c>
      <x:c r="C207" s="8" t="inlineStr">
        <x:is>
          <x:t xml:space="preserve">DOC-013</x:t>
        </x:is>
      </x:c>
      <x:c r="D207" s="8" t="inlineStr">
        <x:is>
          <x:t xml:space="preserve">Phí 10% công; point 1đ, dùng tổng hóa đơn; chống ghi trùng</x:t>
        </x:is>
      </x:c>
      <x:c r="E207" s="8" t="inlineStr">
        <x:is>
          <x:t xml:space="preserve">Rà soát khi chức năng đổi</x:t>
        </x:is>
      </x:c>
      <x:c r="F207" s="8" t="inlineStr">
        <x:is>
          <x:t xml:space="preserve">Sửa nguồn; tái tạo bản xuất; đọc lại và ghi bằng chứng</x:t>
        </x:is>
      </x:c>
    </x:row>
    <x:row r="208" ht="38" customHeight="1">
      <x:c r="A208" s="8" t="inlineStr">
        <x:is>
          <x:t xml:space="preserve">F11</x:t>
        </x:is>
      </x:c>
      <x:c r="B208" s="8" t="inlineStr">
        <x:is>
          <x:t xml:space="preserve">Point / giữ phí / quyết toán</x:t>
        </x:is>
      </x:c>
      <x:c r="C208" s="8" t="inlineStr">
        <x:is>
          <x:t xml:space="preserve">DOC-015</x:t>
        </x:is>
      </x:c>
      <x:c r="D208" s="8" t="inlineStr">
        <x:is>
          <x:t xml:space="preserve">Phí 10% công; point 1đ, dùng tổng hóa đơn; chống ghi trùng</x:t>
        </x:is>
      </x:c>
      <x:c r="E208" s="8" t="inlineStr">
        <x:is>
          <x:t xml:space="preserve">Rà soát khi chức năng đổi</x:t>
        </x:is>
      </x:c>
      <x:c r="F208" s="8" t="inlineStr">
        <x:is>
          <x:t xml:space="preserve">Sửa nguồn; tái tạo bản xuất; đọc lại và ghi bằng chứng</x:t>
        </x:is>
      </x:c>
    </x:row>
    <x:row r="209" ht="38" customHeight="1">
      <x:c r="A209" s="8" t="inlineStr">
        <x:is>
          <x:t xml:space="preserve">F11</x:t>
        </x:is>
      </x:c>
      <x:c r="B209" s="8" t="inlineStr">
        <x:is>
          <x:t xml:space="preserve">Point / giữ phí / quyết toán</x:t>
        </x:is>
      </x:c>
      <x:c r="C209" s="8" t="inlineStr">
        <x:is>
          <x:t xml:space="preserve">DOC-014</x:t>
        </x:is>
      </x:c>
      <x:c r="D209" s="8" t="inlineStr">
        <x:is>
          <x:t xml:space="preserve">Phí 10% công; point 1đ, dùng tổng hóa đơn; chống ghi trùng</x:t>
        </x:is>
      </x:c>
      <x:c r="E209" s="8" t="inlineStr">
        <x:is>
          <x:t xml:space="preserve">Rà soát khi chức năng đổi</x:t>
        </x:is>
      </x:c>
      <x:c r="F209" s="8" t="inlineStr">
        <x:is>
          <x:t xml:space="preserve">Sửa nguồn; tái tạo bản xuất; đọc lại và ghi bằng chứng</x:t>
        </x:is>
      </x:c>
    </x:row>
    <x:row r="210" ht="38" customHeight="1">
      <x:c r="A210" s="8" t="inlineStr">
        <x:is>
          <x:t xml:space="preserve">F11</x:t>
        </x:is>
      </x:c>
      <x:c r="B210" s="8" t="inlineStr">
        <x:is>
          <x:t xml:space="preserve">Point / giữ phí / quyết toán</x:t>
        </x:is>
      </x:c>
      <x:c r="C210" s="8" t="inlineStr">
        <x:is>
          <x:t xml:space="preserve">DOC-016</x:t>
        </x:is>
      </x:c>
      <x:c r="D210" s="8" t="inlineStr">
        <x:is>
          <x:t xml:space="preserve">Phí 10% công; point 1đ, dùng tổng hóa đơn; chống ghi trùng</x:t>
        </x:is>
      </x:c>
      <x:c r="E210" s="8" t="inlineStr">
        <x:is>
          <x:t xml:space="preserve">Rà soát khi chức năng đổi</x:t>
        </x:is>
      </x:c>
      <x:c r="F210" s="8" t="inlineStr">
        <x:is>
          <x:t xml:space="preserve">Sửa nguồn; tái tạo bản xuất; đọc lại và ghi bằng chứng</x:t>
        </x:is>
      </x:c>
    </x:row>
    <x:row r="211" ht="38" customHeight="1">
      <x:c r="A211" s="8" t="inlineStr">
        <x:is>
          <x:t xml:space="preserve">F11</x:t>
        </x:is>
      </x:c>
      <x:c r="B211" s="8" t="inlineStr">
        <x:is>
          <x:t xml:space="preserve">Point / giữ phí / quyết toán</x:t>
        </x:is>
      </x:c>
      <x:c r="C211" s="8" t="inlineStr">
        <x:is>
          <x:t xml:space="preserve">DOC-017</x:t>
        </x:is>
      </x:c>
      <x:c r="D211" s="8" t="inlineStr">
        <x:is>
          <x:t xml:space="preserve">Phí 10% công; point 1đ, dùng tổng hóa đơn; chống ghi trùng</x:t>
        </x:is>
      </x:c>
      <x:c r="E211" s="8" t="inlineStr">
        <x:is>
          <x:t xml:space="preserve">Rà soát khi chức năng đổi</x:t>
        </x:is>
      </x:c>
      <x:c r="F211" s="8" t="inlineStr">
        <x:is>
          <x:t xml:space="preserve">Sửa nguồn; tái tạo bản xuất; đọc lại và ghi bằng chứng</x:t>
        </x:is>
      </x:c>
    </x:row>
    <x:row r="212" ht="38" customHeight="1">
      <x:c r="A212" s="8" t="inlineStr">
        <x:is>
          <x:t xml:space="preserve">F11</x:t>
        </x:is>
      </x:c>
      <x:c r="B212" s="8" t="inlineStr">
        <x:is>
          <x:t xml:space="preserve">Point / giữ phí / quyết toán</x:t>
        </x:is>
      </x:c>
      <x:c r="C212" s="8" t="inlineStr">
        <x:is>
          <x:t xml:space="preserve">DOC-018</x:t>
        </x:is>
      </x:c>
      <x:c r="D212" s="8" t="inlineStr">
        <x:is>
          <x:t xml:space="preserve">Phí 10% công; point 1đ, dùng tổng hóa đơn; chống ghi trùng</x:t>
        </x:is>
      </x:c>
      <x:c r="E212" s="8" t="inlineStr">
        <x:is>
          <x:t xml:space="preserve">Rà soát khi chức năng đổi</x:t>
        </x:is>
      </x:c>
      <x:c r="F212" s="8" t="inlineStr">
        <x:is>
          <x:t xml:space="preserve">Sửa nguồn; tái tạo bản xuất; đọc lại và ghi bằng chứng</x:t>
        </x:is>
      </x:c>
    </x:row>
    <x:row r="213" ht="38" customHeight="1">
      <x:c r="A213" s="8" t="inlineStr">
        <x:is>
          <x:t xml:space="preserve">F11</x:t>
        </x:is>
      </x:c>
      <x:c r="B213" s="8" t="inlineStr">
        <x:is>
          <x:t xml:space="preserve">Point / giữ phí / quyết toán</x:t>
        </x:is>
      </x:c>
      <x:c r="C213" s="8" t="inlineStr">
        <x:is>
          <x:t xml:space="preserve">DOC-025</x:t>
        </x:is>
      </x:c>
      <x:c r="D213" s="8" t="inlineStr">
        <x:is>
          <x:t xml:space="preserve">Phí 10% công; point 1đ, dùng tổng hóa đơn; chống ghi trùng</x:t>
        </x:is>
      </x:c>
      <x:c r="E213" s="8" t="inlineStr">
        <x:is>
          <x:t xml:space="preserve">Rà soát khi chức năng đổi</x:t>
        </x:is>
      </x:c>
      <x:c r="F213" s="8" t="inlineStr">
        <x:is>
          <x:t xml:space="preserve">Sửa nguồn; tái tạo bản xuất; đọc lại và ghi bằng chứng</x:t>
        </x:is>
      </x:c>
    </x:row>
    <x:row r="214" ht="38" customHeight="1">
      <x:c r="A214" s="8" t="inlineStr">
        <x:is>
          <x:t xml:space="preserve">F11</x:t>
        </x:is>
      </x:c>
      <x:c r="B214" s="8" t="inlineStr">
        <x:is>
          <x:t xml:space="preserve">Point / giữ phí / quyết toán</x:t>
        </x:is>
      </x:c>
      <x:c r="C214" s="8" t="inlineStr">
        <x:is>
          <x:t xml:space="preserve">DOC-026</x:t>
        </x:is>
      </x:c>
      <x:c r="D214" s="8" t="inlineStr">
        <x:is>
          <x:t xml:space="preserve">Phí 10% công; point 1đ, dùng tổng hóa đơn; chống ghi trùng</x:t>
        </x:is>
      </x:c>
      <x:c r="E214" s="8" t="inlineStr">
        <x:is>
          <x:t xml:space="preserve">Rà soát khi chức năng đổi</x:t>
        </x:is>
      </x:c>
      <x:c r="F214" s="8" t="inlineStr">
        <x:is>
          <x:t xml:space="preserve">Sửa nguồn; tái tạo bản xuất; đọc lại và ghi bằng chứng</x:t>
        </x:is>
      </x:c>
    </x:row>
    <x:row r="215" ht="38" customHeight="1">
      <x:c r="A215" s="8" t="inlineStr">
        <x:is>
          <x:t xml:space="preserve">F11</x:t>
        </x:is>
      </x:c>
      <x:c r="B215" s="8" t="inlineStr">
        <x:is>
          <x:t xml:space="preserve">Point / giữ phí / quyết toán</x:t>
        </x:is>
      </x:c>
      <x:c r="C215" s="8" t="inlineStr">
        <x:is>
          <x:t xml:space="preserve">DOC-027</x:t>
        </x:is>
      </x:c>
      <x:c r="D215" s="8" t="inlineStr">
        <x:is>
          <x:t xml:space="preserve">Phí 10% công; point 1đ, dùng tổng hóa đơn; chống ghi trùng</x:t>
        </x:is>
      </x:c>
      <x:c r="E215" s="8" t="inlineStr">
        <x:is>
          <x:t xml:space="preserve">Rà soát khi chức năng đổi</x:t>
        </x:is>
      </x:c>
      <x:c r="F215" s="8" t="inlineStr">
        <x:is>
          <x:t xml:space="preserve">Sửa nguồn; tái tạo bản xuất; đọc lại và ghi bằng chứng</x:t>
        </x:is>
      </x:c>
    </x:row>
    <x:row r="216" ht="38" customHeight="1">
      <x:c r="A216" s="8" t="inlineStr">
        <x:is>
          <x:t xml:space="preserve">F11</x:t>
        </x:is>
      </x:c>
      <x:c r="B216" s="8" t="inlineStr">
        <x:is>
          <x:t xml:space="preserve">Point / giữ phí / quyết toán</x:t>
        </x:is>
      </x:c>
      <x:c r="C216" s="8" t="inlineStr">
        <x:is>
          <x:t xml:space="preserve">DOC-028</x:t>
        </x:is>
      </x:c>
      <x:c r="D216" s="8" t="inlineStr">
        <x:is>
          <x:t xml:space="preserve">Phí 10% công; point 1đ, dùng tổng hóa đơn; chống ghi trùng</x:t>
        </x:is>
      </x:c>
      <x:c r="E216" s="8" t="inlineStr">
        <x:is>
          <x:t xml:space="preserve">Rà soát khi chức năng đổi</x:t>
        </x:is>
      </x:c>
      <x:c r="F216" s="8" t="inlineStr">
        <x:is>
          <x:t xml:space="preserve">Sửa nguồn; tái tạo bản xuất; đọc lại và ghi bằng chứng</x:t>
        </x:is>
      </x:c>
    </x:row>
    <x:row r="217" ht="38" customHeight="1">
      <x:c r="A217" s="8" t="inlineStr">
        <x:is>
          <x:t xml:space="preserve">F11</x:t>
        </x:is>
      </x:c>
      <x:c r="B217" s="8" t="inlineStr">
        <x:is>
          <x:t xml:space="preserve">Point / giữ phí / quyết toán</x:t>
        </x:is>
      </x:c>
      <x:c r="C217" s="8" t="inlineStr">
        <x:is>
          <x:t xml:space="preserve">DOC-029</x:t>
        </x:is>
      </x:c>
      <x:c r="D217" s="8" t="inlineStr">
        <x:is>
          <x:t xml:space="preserve">Phí 10% công; point 1đ, dùng tổng hóa đơn; chống ghi trùng</x:t>
        </x:is>
      </x:c>
      <x:c r="E217" s="8" t="inlineStr">
        <x:is>
          <x:t xml:space="preserve">Rà soát khi chức năng đổi</x:t>
        </x:is>
      </x:c>
      <x:c r="F217" s="8" t="inlineStr">
        <x:is>
          <x:t xml:space="preserve">Sửa nguồn; tái tạo bản xuất; đọc lại và ghi bằng chứng</x:t>
        </x:is>
      </x:c>
    </x:row>
    <x:row r="218" ht="38" customHeight="1">
      <x:c r="A218" s="8" t="inlineStr">
        <x:is>
          <x:t xml:space="preserve">F11</x:t>
        </x:is>
      </x:c>
      <x:c r="B218" s="8" t="inlineStr">
        <x:is>
          <x:t xml:space="preserve">Point / giữ phí / quyết toán</x:t>
        </x:is>
      </x:c>
      <x:c r="C218" s="8" t="inlineStr">
        <x:is>
          <x:t xml:space="preserve">DOC-030</x:t>
        </x:is>
      </x:c>
      <x:c r="D218" s="8" t="inlineStr">
        <x:is>
          <x:t xml:space="preserve">Phí 10% công; point 1đ, dùng tổng hóa đơn; chống ghi trùng</x:t>
        </x:is>
      </x:c>
      <x:c r="E218" s="8" t="inlineStr">
        <x:is>
          <x:t xml:space="preserve">Rà soát khi chức năng đổi</x:t>
        </x:is>
      </x:c>
      <x:c r="F218" s="8" t="inlineStr">
        <x:is>
          <x:t xml:space="preserve">Sửa nguồn; tái tạo bản xuất; đọc lại và ghi bằng chứng</x:t>
        </x:is>
      </x:c>
    </x:row>
    <x:row r="219" ht="38" customHeight="1">
      <x:c r="A219" s="8" t="inlineStr">
        <x:is>
          <x:t xml:space="preserve">F11</x:t>
        </x:is>
      </x:c>
      <x:c r="B219" s="8" t="inlineStr">
        <x:is>
          <x:t xml:space="preserve">Point / giữ phí / quyết toán</x:t>
        </x:is>
      </x:c>
      <x:c r="C219" s="8" t="inlineStr">
        <x:is>
          <x:t xml:space="preserve">DOC-031</x:t>
        </x:is>
      </x:c>
      <x:c r="D219" s="8" t="inlineStr">
        <x:is>
          <x:t xml:space="preserve">Phí 10% công; point 1đ, dùng tổng hóa đơn; chống ghi trùng</x:t>
        </x:is>
      </x:c>
      <x:c r="E219" s="8" t="inlineStr">
        <x:is>
          <x:t xml:space="preserve">Rà soát khi chức năng đổi</x:t>
        </x:is>
      </x:c>
      <x:c r="F219" s="8" t="inlineStr">
        <x:is>
          <x:t xml:space="preserve">Sửa nguồn; tái tạo bản xuất; đọc lại và ghi bằng chứng</x:t>
        </x:is>
      </x:c>
    </x:row>
    <x:row r="220" ht="38" customHeight="1">
      <x:c r="A220" s="8" t="inlineStr">
        <x:is>
          <x:t xml:space="preserve">F11</x:t>
        </x:is>
      </x:c>
      <x:c r="B220" s="8" t="inlineStr">
        <x:is>
          <x:t xml:space="preserve">Point / giữ phí / quyết toán</x:t>
        </x:is>
      </x:c>
      <x:c r="C220" s="8" t="inlineStr">
        <x:is>
          <x:t xml:space="preserve">DOC-033</x:t>
        </x:is>
      </x:c>
      <x:c r="D220" s="8" t="inlineStr">
        <x:is>
          <x:t xml:space="preserve">Phí 10% công; point 1đ, dùng tổng hóa đơn; chống ghi trùng</x:t>
        </x:is>
      </x:c>
      <x:c r="E220" s="8" t="inlineStr">
        <x:is>
          <x:t xml:space="preserve">Rà soát khi chức năng đổi</x:t>
        </x:is>
      </x:c>
      <x:c r="F220" s="8" t="inlineStr">
        <x:is>
          <x:t xml:space="preserve">Sửa nguồn; tái tạo bản xuất; đọc lại và ghi bằng chứng</x:t>
        </x:is>
      </x:c>
    </x:row>
    <x:row r="221" ht="38" customHeight="1">
      <x:c r="A221" s="8" t="inlineStr">
        <x:is>
          <x:t xml:space="preserve">F12</x:t>
        </x:is>
      </x:c>
      <x:c r="B221" s="8" t="inlineStr">
        <x:is>
          <x:t xml:space="preserve">Ví / nạp / rút / ngân hàng</x:t>
        </x:is>
      </x:c>
      <x:c r="C221" s="8" t="inlineStr">
        <x:is>
          <x:t xml:space="preserve">DOC-004</x:t>
        </x:is>
      </x:c>
      <x:c r="D221" s="8" t="inlineStr">
        <x:is>
          <x:t xml:space="preserve">Âm tối đa 100k cho phí; một ngân hàng, duyệt thủ công</x:t>
        </x:is>
      </x:c>
      <x:c r="E221" s="8" t="inlineStr">
        <x:is>
          <x:t xml:space="preserve">Rà soát khi chức năng đổi</x:t>
        </x:is>
      </x:c>
      <x:c r="F221" s="8" t="inlineStr">
        <x:is>
          <x:t xml:space="preserve">Sửa nguồn; tái tạo bản xuất; đọc lại và ghi bằng chứng</x:t>
        </x:is>
      </x:c>
    </x:row>
    <x:row r="222" ht="38" customHeight="1">
      <x:c r="A222" s="8" t="inlineStr">
        <x:is>
          <x:t xml:space="preserve">F12</x:t>
        </x:is>
      </x:c>
      <x:c r="B222" s="8" t="inlineStr">
        <x:is>
          <x:t xml:space="preserve">Ví / nạp / rút / ngân hàng</x:t>
        </x:is>
      </x:c>
      <x:c r="C222" s="8" t="inlineStr">
        <x:is>
          <x:t xml:space="preserve">DOC-005</x:t>
        </x:is>
      </x:c>
      <x:c r="D222" s="8" t="inlineStr">
        <x:is>
          <x:t xml:space="preserve">Âm tối đa 100k cho phí; một ngân hàng, duyệt thủ công</x:t>
        </x:is>
      </x:c>
      <x:c r="E222" s="8" t="inlineStr">
        <x:is>
          <x:t xml:space="preserve">Rà soát khi chức năng đổi</x:t>
        </x:is>
      </x:c>
      <x:c r="F222" s="8" t="inlineStr">
        <x:is>
          <x:t xml:space="preserve">Sửa nguồn; tái tạo bản xuất; đọc lại và ghi bằng chứng</x:t>
        </x:is>
      </x:c>
    </x:row>
    <x:row r="223" ht="38" customHeight="1">
      <x:c r="A223" s="8" t="inlineStr">
        <x:is>
          <x:t xml:space="preserve">F12</x:t>
        </x:is>
      </x:c>
      <x:c r="B223" s="8" t="inlineStr">
        <x:is>
          <x:t xml:space="preserve">Ví / nạp / rút / ngân hàng</x:t>
        </x:is>
      </x:c>
      <x:c r="C223" s="8" t="inlineStr">
        <x:is>
          <x:t xml:space="preserve">DOC-006</x:t>
        </x:is>
      </x:c>
      <x:c r="D223" s="8" t="inlineStr">
        <x:is>
          <x:t xml:space="preserve">Âm tối đa 100k cho phí; một ngân hàng, duyệt thủ công</x:t>
        </x:is>
      </x:c>
      <x:c r="E223" s="8" t="inlineStr">
        <x:is>
          <x:t xml:space="preserve">Rà soát khi chức năng đổi</x:t>
        </x:is>
      </x:c>
      <x:c r="F223" s="8" t="inlineStr">
        <x:is>
          <x:t xml:space="preserve">Sửa nguồn; tái tạo bản xuất; đọc lại và ghi bằng chứng</x:t>
        </x:is>
      </x:c>
    </x:row>
    <x:row r="224" ht="38" customHeight="1">
      <x:c r="A224" s="8" t="inlineStr">
        <x:is>
          <x:t xml:space="preserve">F12</x:t>
        </x:is>
      </x:c>
      <x:c r="B224" s="8" t="inlineStr">
        <x:is>
          <x:t xml:space="preserve">Ví / nạp / rút / ngân hàng</x:t>
        </x:is>
      </x:c>
      <x:c r="C224" s="8" t="inlineStr">
        <x:is>
          <x:t xml:space="preserve">DOC-007</x:t>
        </x:is>
      </x:c>
      <x:c r="D224" s="8" t="inlineStr">
        <x:is>
          <x:t xml:space="preserve">Âm tối đa 100k cho phí; một ngân hàng, duyệt thủ công</x:t>
        </x:is>
      </x:c>
      <x:c r="E224" s="8" t="inlineStr">
        <x:is>
          <x:t xml:space="preserve">Rà soát khi chức năng đổi</x:t>
        </x:is>
      </x:c>
      <x:c r="F224" s="8" t="inlineStr">
        <x:is>
          <x:t xml:space="preserve">Sửa nguồn; tái tạo bản xuất; đọc lại và ghi bằng chứng</x:t>
        </x:is>
      </x:c>
    </x:row>
    <x:row r="225" ht="38" customHeight="1">
      <x:c r="A225" s="8" t="inlineStr">
        <x:is>
          <x:t xml:space="preserve">F12</x:t>
        </x:is>
      </x:c>
      <x:c r="B225" s="8" t="inlineStr">
        <x:is>
          <x:t xml:space="preserve">Ví / nạp / rút / ngân hàng</x:t>
        </x:is>
      </x:c>
      <x:c r="C225" s="8" t="inlineStr">
        <x:is>
          <x:t xml:space="preserve">DOC-008</x:t>
        </x:is>
      </x:c>
      <x:c r="D225" s="8" t="inlineStr">
        <x:is>
          <x:t xml:space="preserve">Âm tối đa 100k cho phí; một ngân hàng, duyệt thủ công</x:t>
        </x:is>
      </x:c>
      <x:c r="E225" s="8" t="inlineStr">
        <x:is>
          <x:t xml:space="preserve">Rà soát khi chức năng đổi</x:t>
        </x:is>
      </x:c>
      <x:c r="F225" s="8" t="inlineStr">
        <x:is>
          <x:t xml:space="preserve">Sửa nguồn; tái tạo bản xuất; đọc lại và ghi bằng chứng</x:t>
        </x:is>
      </x:c>
    </x:row>
    <x:row r="226" ht="38" customHeight="1">
      <x:c r="A226" s="8" t="inlineStr">
        <x:is>
          <x:t xml:space="preserve">F12</x:t>
        </x:is>
      </x:c>
      <x:c r="B226" s="8" t="inlineStr">
        <x:is>
          <x:t xml:space="preserve">Ví / nạp / rút / ngân hàng</x:t>
        </x:is>
      </x:c>
      <x:c r="C226" s="8" t="inlineStr">
        <x:is>
          <x:t xml:space="preserve">DOC-012</x:t>
        </x:is>
      </x:c>
      <x:c r="D226" s="8" t="inlineStr">
        <x:is>
          <x:t xml:space="preserve">Âm tối đa 100k cho phí; một ngân hàng, duyệt thủ công</x:t>
        </x:is>
      </x:c>
      <x:c r="E226" s="8" t="inlineStr">
        <x:is>
          <x:t xml:space="preserve">Rà soát khi chức năng đổi</x:t>
        </x:is>
      </x:c>
      <x:c r="F226" s="8" t="inlineStr">
        <x:is>
          <x:t xml:space="preserve">Sửa nguồn; tái tạo bản xuất; đọc lại và ghi bằng chứng</x:t>
        </x:is>
      </x:c>
    </x:row>
    <x:row r="227" ht="38" customHeight="1">
      <x:c r="A227" s="8" t="inlineStr">
        <x:is>
          <x:t xml:space="preserve">F12</x:t>
        </x:is>
      </x:c>
      <x:c r="B227" s="8" t="inlineStr">
        <x:is>
          <x:t xml:space="preserve">Ví / nạp / rút / ngân hàng</x:t>
        </x:is>
      </x:c>
      <x:c r="C227" s="8" t="inlineStr">
        <x:is>
          <x:t xml:space="preserve">DOC-013</x:t>
        </x:is>
      </x:c>
      <x:c r="D227" s="8" t="inlineStr">
        <x:is>
          <x:t xml:space="preserve">Âm tối đa 100k cho phí; một ngân hàng, duyệt thủ công</x:t>
        </x:is>
      </x:c>
      <x:c r="E227" s="8" t="inlineStr">
        <x:is>
          <x:t xml:space="preserve">Rà soát khi chức năng đổi</x:t>
        </x:is>
      </x:c>
      <x:c r="F227" s="8" t="inlineStr">
        <x:is>
          <x:t xml:space="preserve">Sửa nguồn; tái tạo bản xuất; đọc lại và ghi bằng chứng</x:t>
        </x:is>
      </x:c>
    </x:row>
    <x:row r="228" ht="38" customHeight="1">
      <x:c r="A228" s="8" t="inlineStr">
        <x:is>
          <x:t xml:space="preserve">F12</x:t>
        </x:is>
      </x:c>
      <x:c r="B228" s="8" t="inlineStr">
        <x:is>
          <x:t xml:space="preserve">Ví / nạp / rút / ngân hàng</x:t>
        </x:is>
      </x:c>
      <x:c r="C228" s="8" t="inlineStr">
        <x:is>
          <x:t xml:space="preserve">DOC-015</x:t>
        </x:is>
      </x:c>
      <x:c r="D228" s="8" t="inlineStr">
        <x:is>
          <x:t xml:space="preserve">Âm tối đa 100k cho phí; một ngân hàng, duyệt thủ công</x:t>
        </x:is>
      </x:c>
      <x:c r="E228" s="8" t="inlineStr">
        <x:is>
          <x:t xml:space="preserve">Rà soát khi chức năng đổi</x:t>
        </x:is>
      </x:c>
      <x:c r="F228" s="8" t="inlineStr">
        <x:is>
          <x:t xml:space="preserve">Sửa nguồn; tái tạo bản xuất; đọc lại và ghi bằng chứng</x:t>
        </x:is>
      </x:c>
    </x:row>
    <x:row r="229" ht="38" customHeight="1">
      <x:c r="A229" s="8" t="inlineStr">
        <x:is>
          <x:t xml:space="preserve">F12</x:t>
        </x:is>
      </x:c>
      <x:c r="B229" s="8" t="inlineStr">
        <x:is>
          <x:t xml:space="preserve">Ví / nạp / rút / ngân hàng</x:t>
        </x:is>
      </x:c>
      <x:c r="C229" s="8" t="inlineStr">
        <x:is>
          <x:t xml:space="preserve">DOC-014</x:t>
        </x:is>
      </x:c>
      <x:c r="D229" s="8" t="inlineStr">
        <x:is>
          <x:t xml:space="preserve">Âm tối đa 100k cho phí; một ngân hàng, duyệt thủ công</x:t>
        </x:is>
      </x:c>
      <x:c r="E229" s="8" t="inlineStr">
        <x:is>
          <x:t xml:space="preserve">Rà soát khi chức năng đổi</x:t>
        </x:is>
      </x:c>
      <x:c r="F229" s="8" t="inlineStr">
        <x:is>
          <x:t xml:space="preserve">Sửa nguồn; tái tạo bản xuất; đọc lại và ghi bằng chứng</x:t>
        </x:is>
      </x:c>
    </x:row>
    <x:row r="230" ht="38" customHeight="1">
      <x:c r="A230" s="8" t="inlineStr">
        <x:is>
          <x:t xml:space="preserve">F12</x:t>
        </x:is>
      </x:c>
      <x:c r="B230" s="8" t="inlineStr">
        <x:is>
          <x:t xml:space="preserve">Ví / nạp / rút / ngân hàng</x:t>
        </x:is>
      </x:c>
      <x:c r="C230" s="8" t="inlineStr">
        <x:is>
          <x:t xml:space="preserve">DOC-016</x:t>
        </x:is>
      </x:c>
      <x:c r="D230" s="8" t="inlineStr">
        <x:is>
          <x:t xml:space="preserve">Âm tối đa 100k cho phí; một ngân hàng, duyệt thủ công</x:t>
        </x:is>
      </x:c>
      <x:c r="E230" s="8" t="inlineStr">
        <x:is>
          <x:t xml:space="preserve">Rà soát khi chức năng đổi</x:t>
        </x:is>
      </x:c>
      <x:c r="F230" s="8" t="inlineStr">
        <x:is>
          <x:t xml:space="preserve">Sửa nguồn; tái tạo bản xuất; đọc lại và ghi bằng chứng</x:t>
        </x:is>
      </x:c>
    </x:row>
    <x:row r="231" ht="38" customHeight="1">
      <x:c r="A231" s="8" t="inlineStr">
        <x:is>
          <x:t xml:space="preserve">F12</x:t>
        </x:is>
      </x:c>
      <x:c r="B231" s="8" t="inlineStr">
        <x:is>
          <x:t xml:space="preserve">Ví / nạp / rút / ngân hàng</x:t>
        </x:is>
      </x:c>
      <x:c r="C231" s="8" t="inlineStr">
        <x:is>
          <x:t xml:space="preserve">DOC-017</x:t>
        </x:is>
      </x:c>
      <x:c r="D231" s="8" t="inlineStr">
        <x:is>
          <x:t xml:space="preserve">Âm tối đa 100k cho phí; một ngân hàng, duyệt thủ công</x:t>
        </x:is>
      </x:c>
      <x:c r="E231" s="8" t="inlineStr">
        <x:is>
          <x:t xml:space="preserve">Rà soát khi chức năng đổi</x:t>
        </x:is>
      </x:c>
      <x:c r="F231" s="8" t="inlineStr">
        <x:is>
          <x:t xml:space="preserve">Sửa nguồn; tái tạo bản xuất; đọc lại và ghi bằng chứng</x:t>
        </x:is>
      </x:c>
    </x:row>
    <x:row r="232" ht="38" customHeight="1">
      <x:c r="A232" s="8" t="inlineStr">
        <x:is>
          <x:t xml:space="preserve">F12</x:t>
        </x:is>
      </x:c>
      <x:c r="B232" s="8" t="inlineStr">
        <x:is>
          <x:t xml:space="preserve">Ví / nạp / rút / ngân hàng</x:t>
        </x:is>
      </x:c>
      <x:c r="C232" s="8" t="inlineStr">
        <x:is>
          <x:t xml:space="preserve">DOC-018</x:t>
        </x:is>
      </x:c>
      <x:c r="D232" s="8" t="inlineStr">
        <x:is>
          <x:t xml:space="preserve">Âm tối đa 100k cho phí; một ngân hàng, duyệt thủ công</x:t>
        </x:is>
      </x:c>
      <x:c r="E232" s="8" t="inlineStr">
        <x:is>
          <x:t xml:space="preserve">Rà soát khi chức năng đổi</x:t>
        </x:is>
      </x:c>
      <x:c r="F232" s="8" t="inlineStr">
        <x:is>
          <x:t xml:space="preserve">Sửa nguồn; tái tạo bản xuất; đọc lại và ghi bằng chứng</x:t>
        </x:is>
      </x:c>
    </x:row>
    <x:row r="233" ht="38" customHeight="1">
      <x:c r="A233" s="8" t="inlineStr">
        <x:is>
          <x:t xml:space="preserve">F12</x:t>
        </x:is>
      </x:c>
      <x:c r="B233" s="8" t="inlineStr">
        <x:is>
          <x:t xml:space="preserve">Ví / nạp / rút / ngân hàng</x:t>
        </x:is>
      </x:c>
      <x:c r="C233" s="8" t="inlineStr">
        <x:is>
          <x:t xml:space="preserve">DOC-025</x:t>
        </x:is>
      </x:c>
      <x:c r="D233" s="8" t="inlineStr">
        <x:is>
          <x:t xml:space="preserve">Âm tối đa 100k cho phí; một ngân hàng, duyệt thủ công</x:t>
        </x:is>
      </x:c>
      <x:c r="E233" s="8" t="inlineStr">
        <x:is>
          <x:t xml:space="preserve">Rà soát khi chức năng đổi</x:t>
        </x:is>
      </x:c>
      <x:c r="F233" s="8" t="inlineStr">
        <x:is>
          <x:t xml:space="preserve">Sửa nguồn; tái tạo bản xuất; đọc lại và ghi bằng chứng</x:t>
        </x:is>
      </x:c>
    </x:row>
    <x:row r="234" ht="38" customHeight="1">
      <x:c r="A234" s="8" t="inlineStr">
        <x:is>
          <x:t xml:space="preserve">F12</x:t>
        </x:is>
      </x:c>
      <x:c r="B234" s="8" t="inlineStr">
        <x:is>
          <x:t xml:space="preserve">Ví / nạp / rút / ngân hàng</x:t>
        </x:is>
      </x:c>
      <x:c r="C234" s="8" t="inlineStr">
        <x:is>
          <x:t xml:space="preserve">DOC-026</x:t>
        </x:is>
      </x:c>
      <x:c r="D234" s="8" t="inlineStr">
        <x:is>
          <x:t xml:space="preserve">Âm tối đa 100k cho phí; một ngân hàng, duyệt thủ công</x:t>
        </x:is>
      </x:c>
      <x:c r="E234" s="8" t="inlineStr">
        <x:is>
          <x:t xml:space="preserve">Rà soát khi chức năng đổi</x:t>
        </x:is>
      </x:c>
      <x:c r="F234" s="8" t="inlineStr">
        <x:is>
          <x:t xml:space="preserve">Sửa nguồn; tái tạo bản xuất; đọc lại và ghi bằng chứng</x:t>
        </x:is>
      </x:c>
    </x:row>
    <x:row r="235" ht="38" customHeight="1">
      <x:c r="A235" s="8" t="inlineStr">
        <x:is>
          <x:t xml:space="preserve">F12</x:t>
        </x:is>
      </x:c>
      <x:c r="B235" s="8" t="inlineStr">
        <x:is>
          <x:t xml:space="preserve">Ví / nạp / rút / ngân hàng</x:t>
        </x:is>
      </x:c>
      <x:c r="C235" s="8" t="inlineStr">
        <x:is>
          <x:t xml:space="preserve">DOC-027</x:t>
        </x:is>
      </x:c>
      <x:c r="D235" s="8" t="inlineStr">
        <x:is>
          <x:t xml:space="preserve">Âm tối đa 100k cho phí; một ngân hàng, duyệt thủ công</x:t>
        </x:is>
      </x:c>
      <x:c r="E235" s="8" t="inlineStr">
        <x:is>
          <x:t xml:space="preserve">Rà soát khi chức năng đổi</x:t>
        </x:is>
      </x:c>
      <x:c r="F235" s="8" t="inlineStr">
        <x:is>
          <x:t xml:space="preserve">Sửa nguồn; tái tạo bản xuất; đọc lại và ghi bằng chứng</x:t>
        </x:is>
      </x:c>
    </x:row>
    <x:row r="236" ht="38" customHeight="1">
      <x:c r="A236" s="8" t="inlineStr">
        <x:is>
          <x:t xml:space="preserve">F12</x:t>
        </x:is>
      </x:c>
      <x:c r="B236" s="8" t="inlineStr">
        <x:is>
          <x:t xml:space="preserve">Ví / nạp / rút / ngân hàng</x:t>
        </x:is>
      </x:c>
      <x:c r="C236" s="8" t="inlineStr">
        <x:is>
          <x:t xml:space="preserve">DOC-028</x:t>
        </x:is>
      </x:c>
      <x:c r="D236" s="8" t="inlineStr">
        <x:is>
          <x:t xml:space="preserve">Âm tối đa 100k cho phí; một ngân hàng, duyệt thủ công</x:t>
        </x:is>
      </x:c>
      <x:c r="E236" s="8" t="inlineStr">
        <x:is>
          <x:t xml:space="preserve">Rà soát khi chức năng đổi</x:t>
        </x:is>
      </x:c>
      <x:c r="F236" s="8" t="inlineStr">
        <x:is>
          <x:t xml:space="preserve">Sửa nguồn; tái tạo bản xuất; đọc lại và ghi bằng chứng</x:t>
        </x:is>
      </x:c>
    </x:row>
    <x:row r="237" ht="38" customHeight="1">
      <x:c r="A237" s="8" t="inlineStr">
        <x:is>
          <x:t xml:space="preserve">F12</x:t>
        </x:is>
      </x:c>
      <x:c r="B237" s="8" t="inlineStr">
        <x:is>
          <x:t xml:space="preserve">Ví / nạp / rút / ngân hàng</x:t>
        </x:is>
      </x:c>
      <x:c r="C237" s="8" t="inlineStr">
        <x:is>
          <x:t xml:space="preserve">DOC-029</x:t>
        </x:is>
      </x:c>
      <x:c r="D237" s="8" t="inlineStr">
        <x:is>
          <x:t xml:space="preserve">Âm tối đa 100k cho phí; một ngân hàng, duyệt thủ công</x:t>
        </x:is>
      </x:c>
      <x:c r="E237" s="8" t="inlineStr">
        <x:is>
          <x:t xml:space="preserve">Rà soát khi chức năng đổi</x:t>
        </x:is>
      </x:c>
      <x:c r="F237" s="8" t="inlineStr">
        <x:is>
          <x:t xml:space="preserve">Sửa nguồn; tái tạo bản xuất; đọc lại và ghi bằng chứng</x:t>
        </x:is>
      </x:c>
    </x:row>
    <x:row r="238" ht="38" customHeight="1">
      <x:c r="A238" s="8" t="inlineStr">
        <x:is>
          <x:t xml:space="preserve">F12</x:t>
        </x:is>
      </x:c>
      <x:c r="B238" s="8" t="inlineStr">
        <x:is>
          <x:t xml:space="preserve">Ví / nạp / rút / ngân hàng</x:t>
        </x:is>
      </x:c>
      <x:c r="C238" s="8" t="inlineStr">
        <x:is>
          <x:t xml:space="preserve">DOC-030</x:t>
        </x:is>
      </x:c>
      <x:c r="D238" s="8" t="inlineStr">
        <x:is>
          <x:t xml:space="preserve">Âm tối đa 100k cho phí; một ngân hàng, duyệt thủ công</x:t>
        </x:is>
      </x:c>
      <x:c r="E238" s="8" t="inlineStr">
        <x:is>
          <x:t xml:space="preserve">Rà soát khi chức năng đổi</x:t>
        </x:is>
      </x:c>
      <x:c r="F238" s="8" t="inlineStr">
        <x:is>
          <x:t xml:space="preserve">Sửa nguồn; tái tạo bản xuất; đọc lại và ghi bằng chứng</x:t>
        </x:is>
      </x:c>
    </x:row>
    <x:row r="239" ht="38" customHeight="1">
      <x:c r="A239" s="8" t="inlineStr">
        <x:is>
          <x:t xml:space="preserve">F12</x:t>
        </x:is>
      </x:c>
      <x:c r="B239" s="8" t="inlineStr">
        <x:is>
          <x:t xml:space="preserve">Ví / nạp / rút / ngân hàng</x:t>
        </x:is>
      </x:c>
      <x:c r="C239" s="8" t="inlineStr">
        <x:is>
          <x:t xml:space="preserve">DOC-031</x:t>
        </x:is>
      </x:c>
      <x:c r="D239" s="8" t="inlineStr">
        <x:is>
          <x:t xml:space="preserve">Âm tối đa 100k cho phí; một ngân hàng, duyệt thủ công</x:t>
        </x:is>
      </x:c>
      <x:c r="E239" s="8" t="inlineStr">
        <x:is>
          <x:t xml:space="preserve">Rà soát khi chức năng đổi</x:t>
        </x:is>
      </x:c>
      <x:c r="F239" s="8" t="inlineStr">
        <x:is>
          <x:t xml:space="preserve">Sửa nguồn; tái tạo bản xuất; đọc lại và ghi bằng chứng</x:t>
        </x:is>
      </x:c>
    </x:row>
    <x:row r="240" ht="38" customHeight="1">
      <x:c r="A240" s="8" t="inlineStr">
        <x:is>
          <x:t xml:space="preserve">F12</x:t>
        </x:is>
      </x:c>
      <x:c r="B240" s="8" t="inlineStr">
        <x:is>
          <x:t xml:space="preserve">Ví / nạp / rút / ngân hàng</x:t>
        </x:is>
      </x:c>
      <x:c r="C240" s="8" t="inlineStr">
        <x:is>
          <x:t xml:space="preserve">DOC-033</x:t>
        </x:is>
      </x:c>
      <x:c r="D240" s="8" t="inlineStr">
        <x:is>
          <x:t xml:space="preserve">Âm tối đa 100k cho phí; một ngân hàng, duyệt thủ công</x:t>
        </x:is>
      </x:c>
      <x:c r="E240" s="8" t="inlineStr">
        <x:is>
          <x:t xml:space="preserve">Rà soát khi chức năng đổi</x:t>
        </x:is>
      </x:c>
      <x:c r="F240" s="8" t="inlineStr">
        <x:is>
          <x:t xml:space="preserve">Sửa nguồn; tái tạo bản xuất; đọc lại và ghi bằng chứng</x:t>
        </x:is>
      </x:c>
    </x:row>
    <x:row r="241" ht="38" customHeight="1">
      <x:c r="A241" s="8" t="inlineStr">
        <x:is>
          <x:t xml:space="preserve">F13</x:t>
        </x:is>
      </x:c>
      <x:c r="B241" s="8" t="inlineStr">
        <x:is>
          <x:t xml:space="preserve">Đánh giá hai chiều</x:t>
        </x:is>
      </x:c>
      <x:c r="C241" s="8" t="inlineStr">
        <x:is>
          <x:t xml:space="preserve">DOC-004</x:t>
        </x:is>
      </x:c>
      <x:c r="D241" s="8" t="inlineStr">
        <x:is>
          <x:t xml:space="preserve">Q01: khách báo đã trả + thợ xác nhận nhận tiền, quyết toán thành công</x:t>
        </x:is>
      </x:c>
      <x:c r="E241" s="8" t="inlineStr">
        <x:is>
          <x:t xml:space="preserve">Rà soát khi chức năng đổi</x:t>
        </x:is>
      </x:c>
      <x:c r="F241" s="8" t="inlineStr">
        <x:is>
          <x:t xml:space="preserve">Sửa nguồn; tái tạo bản xuất; đọc lại và ghi bằng chứng</x:t>
        </x:is>
      </x:c>
    </x:row>
    <x:row r="242" ht="38" customHeight="1">
      <x:c r="A242" s="8" t="inlineStr">
        <x:is>
          <x:t xml:space="preserve">F13</x:t>
        </x:is>
      </x:c>
      <x:c r="B242" s="8" t="inlineStr">
        <x:is>
          <x:t xml:space="preserve">Đánh giá hai chiều</x:t>
        </x:is>
      </x:c>
      <x:c r="C242" s="8" t="inlineStr">
        <x:is>
          <x:t xml:space="preserve">DOC-005</x:t>
        </x:is>
      </x:c>
      <x:c r="D242" s="8" t="inlineStr">
        <x:is>
          <x:t xml:space="preserve">Q01: khách báo đã trả + thợ xác nhận nhận tiền, quyết toán thành công</x:t>
        </x:is>
      </x:c>
      <x:c r="E242" s="8" t="inlineStr">
        <x:is>
          <x:t xml:space="preserve">Rà soát khi chức năng đổi</x:t>
        </x:is>
      </x:c>
      <x:c r="F242" s="8" t="inlineStr">
        <x:is>
          <x:t xml:space="preserve">Sửa nguồn; tái tạo bản xuất; đọc lại và ghi bằng chứng</x:t>
        </x:is>
      </x:c>
    </x:row>
    <x:row r="243" ht="38" customHeight="1">
      <x:c r="A243" s="8" t="inlineStr">
        <x:is>
          <x:t xml:space="preserve">F13</x:t>
        </x:is>
      </x:c>
      <x:c r="B243" s="8" t="inlineStr">
        <x:is>
          <x:t xml:space="preserve">Đánh giá hai chiều</x:t>
        </x:is>
      </x:c>
      <x:c r="C243" s="8" t="inlineStr">
        <x:is>
          <x:t xml:space="preserve">DOC-006</x:t>
        </x:is>
      </x:c>
      <x:c r="D243" s="8" t="inlineStr">
        <x:is>
          <x:t xml:space="preserve">Q01: khách báo đã trả + thợ xác nhận nhận tiền, quyết toán thành công</x:t>
        </x:is>
      </x:c>
      <x:c r="E243" s="8" t="inlineStr">
        <x:is>
          <x:t xml:space="preserve">Rà soát khi chức năng đổi</x:t>
        </x:is>
      </x:c>
      <x:c r="F243" s="8" t="inlineStr">
        <x:is>
          <x:t xml:space="preserve">Sửa nguồn; tái tạo bản xuất; đọc lại và ghi bằng chứng</x:t>
        </x:is>
      </x:c>
    </x:row>
    <x:row r="244" ht="38" customHeight="1">
      <x:c r="A244" s="8" t="inlineStr">
        <x:is>
          <x:t xml:space="preserve">F13</x:t>
        </x:is>
      </x:c>
      <x:c r="B244" s="8" t="inlineStr">
        <x:is>
          <x:t xml:space="preserve">Đánh giá hai chiều</x:t>
        </x:is>
      </x:c>
      <x:c r="C244" s="8" t="inlineStr">
        <x:is>
          <x:t xml:space="preserve">DOC-007</x:t>
        </x:is>
      </x:c>
      <x:c r="D244" s="8" t="inlineStr">
        <x:is>
          <x:t xml:space="preserve">Q01: khách báo đã trả + thợ xác nhận nhận tiền, quyết toán thành công</x:t>
        </x:is>
      </x:c>
      <x:c r="E244" s="8" t="inlineStr">
        <x:is>
          <x:t xml:space="preserve">Rà soát khi chức năng đổi</x:t>
        </x:is>
      </x:c>
      <x:c r="F244" s="8" t="inlineStr">
        <x:is>
          <x:t xml:space="preserve">Sửa nguồn; tái tạo bản xuất; đọc lại và ghi bằng chứng</x:t>
        </x:is>
      </x:c>
    </x:row>
    <x:row r="245" ht="38" customHeight="1">
      <x:c r="A245" s="8" t="inlineStr">
        <x:is>
          <x:t xml:space="preserve">F13</x:t>
        </x:is>
      </x:c>
      <x:c r="B245" s="8" t="inlineStr">
        <x:is>
          <x:t xml:space="preserve">Đánh giá hai chiều</x:t>
        </x:is>
      </x:c>
      <x:c r="C245" s="8" t="inlineStr">
        <x:is>
          <x:t xml:space="preserve">DOC-008</x:t>
        </x:is>
      </x:c>
      <x:c r="D245" s="8" t="inlineStr">
        <x:is>
          <x:t xml:space="preserve">Q01: khách báo đã trả + thợ xác nhận nhận tiền, quyết toán thành công</x:t>
        </x:is>
      </x:c>
      <x:c r="E245" s="8" t="inlineStr">
        <x:is>
          <x:t xml:space="preserve">Rà soát khi chức năng đổi</x:t>
        </x:is>
      </x:c>
      <x:c r="F245" s="8" t="inlineStr">
        <x:is>
          <x:t xml:space="preserve">Sửa nguồn; tái tạo bản xuất; đọc lại và ghi bằng chứng</x:t>
        </x:is>
      </x:c>
    </x:row>
    <x:row r="246" ht="38" customHeight="1">
      <x:c r="A246" s="8" t="inlineStr">
        <x:is>
          <x:t xml:space="preserve">F13</x:t>
        </x:is>
      </x:c>
      <x:c r="B246" s="8" t="inlineStr">
        <x:is>
          <x:t xml:space="preserve">Đánh giá hai chiều</x:t>
        </x:is>
      </x:c>
      <x:c r="C246" s="8" t="inlineStr">
        <x:is>
          <x:t xml:space="preserve">DOC-012</x:t>
        </x:is>
      </x:c>
      <x:c r="D246" s="8" t="inlineStr">
        <x:is>
          <x:t xml:space="preserve">Q01: khách báo đã trả + thợ xác nhận nhận tiền, quyết toán thành công</x:t>
        </x:is>
      </x:c>
      <x:c r="E246" s="8" t="inlineStr">
        <x:is>
          <x:t xml:space="preserve">Rà soát khi chức năng đổi</x:t>
        </x:is>
      </x:c>
      <x:c r="F246" s="8" t="inlineStr">
        <x:is>
          <x:t xml:space="preserve">Sửa nguồn; tái tạo bản xuất; đọc lại và ghi bằng chứng</x:t>
        </x:is>
      </x:c>
    </x:row>
    <x:row r="247" ht="38" customHeight="1">
      <x:c r="A247" s="8" t="inlineStr">
        <x:is>
          <x:t xml:space="preserve">F13</x:t>
        </x:is>
      </x:c>
      <x:c r="B247" s="8" t="inlineStr">
        <x:is>
          <x:t xml:space="preserve">Đánh giá hai chiều</x:t>
        </x:is>
      </x:c>
      <x:c r="C247" s="8" t="inlineStr">
        <x:is>
          <x:t xml:space="preserve">DOC-013</x:t>
        </x:is>
      </x:c>
      <x:c r="D247" s="8" t="inlineStr">
        <x:is>
          <x:t xml:space="preserve">Q01: khách báo đã trả + thợ xác nhận nhận tiền, quyết toán thành công</x:t>
        </x:is>
      </x:c>
      <x:c r="E247" s="8" t="inlineStr">
        <x:is>
          <x:t xml:space="preserve">Rà soát khi chức năng đổi</x:t>
        </x:is>
      </x:c>
      <x:c r="F247" s="8" t="inlineStr">
        <x:is>
          <x:t xml:space="preserve">Sửa nguồn; tái tạo bản xuất; đọc lại và ghi bằng chứng</x:t>
        </x:is>
      </x:c>
    </x:row>
    <x:row r="248" ht="38" customHeight="1">
      <x:c r="A248" s="8" t="inlineStr">
        <x:is>
          <x:t xml:space="preserve">F13</x:t>
        </x:is>
      </x:c>
      <x:c r="B248" s="8" t="inlineStr">
        <x:is>
          <x:t xml:space="preserve">Đánh giá hai chiều</x:t>
        </x:is>
      </x:c>
      <x:c r="C248" s="8" t="inlineStr">
        <x:is>
          <x:t xml:space="preserve">DOC-015</x:t>
        </x:is>
      </x:c>
      <x:c r="D248" s="8" t="inlineStr">
        <x:is>
          <x:t xml:space="preserve">Q01: khách báo đã trả + thợ xác nhận nhận tiền, quyết toán thành công</x:t>
        </x:is>
      </x:c>
      <x:c r="E248" s="8" t="inlineStr">
        <x:is>
          <x:t xml:space="preserve">Rà soát khi chức năng đổi</x:t>
        </x:is>
      </x:c>
      <x:c r="F248" s="8" t="inlineStr">
        <x:is>
          <x:t xml:space="preserve">Sửa nguồn; tái tạo bản xuất; đọc lại và ghi bằng chứng</x:t>
        </x:is>
      </x:c>
    </x:row>
    <x:row r="249" ht="38" customHeight="1">
      <x:c r="A249" s="8" t="inlineStr">
        <x:is>
          <x:t xml:space="preserve">F13</x:t>
        </x:is>
      </x:c>
      <x:c r="B249" s="8" t="inlineStr">
        <x:is>
          <x:t xml:space="preserve">Đánh giá hai chiều</x:t>
        </x:is>
      </x:c>
      <x:c r="C249" s="8" t="inlineStr">
        <x:is>
          <x:t xml:space="preserve">DOC-014</x:t>
        </x:is>
      </x:c>
      <x:c r="D249" s="8" t="inlineStr">
        <x:is>
          <x:t xml:space="preserve">Q01: khách báo đã trả + thợ xác nhận nhận tiền, quyết toán thành công</x:t>
        </x:is>
      </x:c>
      <x:c r="E249" s="8" t="inlineStr">
        <x:is>
          <x:t xml:space="preserve">Rà soát khi chức năng đổi</x:t>
        </x:is>
      </x:c>
      <x:c r="F249" s="8" t="inlineStr">
        <x:is>
          <x:t xml:space="preserve">Sửa nguồn; tái tạo bản xuất; đọc lại và ghi bằng chứng</x:t>
        </x:is>
      </x:c>
    </x:row>
    <x:row r="250" ht="38" customHeight="1">
      <x:c r="A250" s="8" t="inlineStr">
        <x:is>
          <x:t xml:space="preserve">F13</x:t>
        </x:is>
      </x:c>
      <x:c r="B250" s="8" t="inlineStr">
        <x:is>
          <x:t xml:space="preserve">Đánh giá hai chiều</x:t>
        </x:is>
      </x:c>
      <x:c r="C250" s="8" t="inlineStr">
        <x:is>
          <x:t xml:space="preserve">DOC-016</x:t>
        </x:is>
      </x:c>
      <x:c r="D250" s="8" t="inlineStr">
        <x:is>
          <x:t xml:space="preserve">Q01: khách báo đã trả + thợ xác nhận nhận tiền, quyết toán thành công</x:t>
        </x:is>
      </x:c>
      <x:c r="E250" s="8" t="inlineStr">
        <x:is>
          <x:t xml:space="preserve">Rà soát khi chức năng đổi</x:t>
        </x:is>
      </x:c>
      <x:c r="F250" s="8" t="inlineStr">
        <x:is>
          <x:t xml:space="preserve">Sửa nguồn; tái tạo bản xuất; đọc lại và ghi bằng chứng</x:t>
        </x:is>
      </x:c>
    </x:row>
    <x:row r="251" ht="38" customHeight="1">
      <x:c r="A251" s="8" t="inlineStr">
        <x:is>
          <x:t xml:space="preserve">F13</x:t>
        </x:is>
      </x:c>
      <x:c r="B251" s="8" t="inlineStr">
        <x:is>
          <x:t xml:space="preserve">Đánh giá hai chiều</x:t>
        </x:is>
      </x:c>
      <x:c r="C251" s="8" t="inlineStr">
        <x:is>
          <x:t xml:space="preserve">DOC-017</x:t>
        </x:is>
      </x:c>
      <x:c r="D251" s="8" t="inlineStr">
        <x:is>
          <x:t xml:space="preserve">Q01: khách báo đã trả + thợ xác nhận nhận tiền, quyết toán thành công</x:t>
        </x:is>
      </x:c>
      <x:c r="E251" s="8" t="inlineStr">
        <x:is>
          <x:t xml:space="preserve">Rà soát khi chức năng đổi</x:t>
        </x:is>
      </x:c>
      <x:c r="F251" s="8" t="inlineStr">
        <x:is>
          <x:t xml:space="preserve">Sửa nguồn; tái tạo bản xuất; đọc lại và ghi bằng chứng</x:t>
        </x:is>
      </x:c>
    </x:row>
    <x:row r="252" ht="38" customHeight="1">
      <x:c r="A252" s="8" t="inlineStr">
        <x:is>
          <x:t xml:space="preserve">F13</x:t>
        </x:is>
      </x:c>
      <x:c r="B252" s="8" t="inlineStr">
        <x:is>
          <x:t xml:space="preserve">Đánh giá hai chiều</x:t>
        </x:is>
      </x:c>
      <x:c r="C252" s="8" t="inlineStr">
        <x:is>
          <x:t xml:space="preserve">DOC-018</x:t>
        </x:is>
      </x:c>
      <x:c r="D252" s="8" t="inlineStr">
        <x:is>
          <x:t xml:space="preserve">Q01: khách báo đã trả + thợ xác nhận nhận tiền, quyết toán thành công</x:t>
        </x:is>
      </x:c>
      <x:c r="E252" s="8" t="inlineStr">
        <x:is>
          <x:t xml:space="preserve">Rà soát khi chức năng đổi</x:t>
        </x:is>
      </x:c>
      <x:c r="F252" s="8" t="inlineStr">
        <x:is>
          <x:t xml:space="preserve">Sửa nguồn; tái tạo bản xuất; đọc lại và ghi bằng chứng</x:t>
        </x:is>
      </x:c>
    </x:row>
    <x:row r="253" ht="38" customHeight="1">
      <x:c r="A253" s="8" t="inlineStr">
        <x:is>
          <x:t xml:space="preserve">F13</x:t>
        </x:is>
      </x:c>
      <x:c r="B253" s="8" t="inlineStr">
        <x:is>
          <x:t xml:space="preserve">Đánh giá hai chiều</x:t>
        </x:is>
      </x:c>
      <x:c r="C253" s="8" t="inlineStr">
        <x:is>
          <x:t xml:space="preserve">DOC-025</x:t>
        </x:is>
      </x:c>
      <x:c r="D253" s="8" t="inlineStr">
        <x:is>
          <x:t xml:space="preserve">Q01: khách báo đã trả + thợ xác nhận nhận tiền, quyết toán thành công</x:t>
        </x:is>
      </x:c>
      <x:c r="E253" s="8" t="inlineStr">
        <x:is>
          <x:t xml:space="preserve">Rà soát khi chức năng đổi</x:t>
        </x:is>
      </x:c>
      <x:c r="F253" s="8" t="inlineStr">
        <x:is>
          <x:t xml:space="preserve">Sửa nguồn; tái tạo bản xuất; đọc lại và ghi bằng chứng</x:t>
        </x:is>
      </x:c>
    </x:row>
    <x:row r="254" ht="38" customHeight="1">
      <x:c r="A254" s="8" t="inlineStr">
        <x:is>
          <x:t xml:space="preserve">F13</x:t>
        </x:is>
      </x:c>
      <x:c r="B254" s="8" t="inlineStr">
        <x:is>
          <x:t xml:space="preserve">Đánh giá hai chiều</x:t>
        </x:is>
      </x:c>
      <x:c r="C254" s="8" t="inlineStr">
        <x:is>
          <x:t xml:space="preserve">DOC-026</x:t>
        </x:is>
      </x:c>
      <x:c r="D254" s="8" t="inlineStr">
        <x:is>
          <x:t xml:space="preserve">Q01: khách báo đã trả + thợ xác nhận nhận tiền, quyết toán thành công</x:t>
        </x:is>
      </x:c>
      <x:c r="E254" s="8" t="inlineStr">
        <x:is>
          <x:t xml:space="preserve">Rà soát khi chức năng đổi</x:t>
        </x:is>
      </x:c>
      <x:c r="F254" s="8" t="inlineStr">
        <x:is>
          <x:t xml:space="preserve">Sửa nguồn; tái tạo bản xuất; đọc lại và ghi bằng chứng</x:t>
        </x:is>
      </x:c>
    </x:row>
    <x:row r="255" ht="38" customHeight="1">
      <x:c r="A255" s="8" t="inlineStr">
        <x:is>
          <x:t xml:space="preserve">F13</x:t>
        </x:is>
      </x:c>
      <x:c r="B255" s="8" t="inlineStr">
        <x:is>
          <x:t xml:space="preserve">Đánh giá hai chiều</x:t>
        </x:is>
      </x:c>
      <x:c r="C255" s="8" t="inlineStr">
        <x:is>
          <x:t xml:space="preserve">DOC-027</x:t>
        </x:is>
      </x:c>
      <x:c r="D255" s="8" t="inlineStr">
        <x:is>
          <x:t xml:space="preserve">Q01: khách báo đã trả + thợ xác nhận nhận tiền, quyết toán thành công</x:t>
        </x:is>
      </x:c>
      <x:c r="E255" s="8" t="inlineStr">
        <x:is>
          <x:t xml:space="preserve">Rà soát khi chức năng đổi</x:t>
        </x:is>
      </x:c>
      <x:c r="F255" s="8" t="inlineStr">
        <x:is>
          <x:t xml:space="preserve">Sửa nguồn; tái tạo bản xuất; đọc lại và ghi bằng chứng</x:t>
        </x:is>
      </x:c>
    </x:row>
    <x:row r="256" ht="38" customHeight="1">
      <x:c r="A256" s="8" t="inlineStr">
        <x:is>
          <x:t xml:space="preserve">F13</x:t>
        </x:is>
      </x:c>
      <x:c r="B256" s="8" t="inlineStr">
        <x:is>
          <x:t xml:space="preserve">Đánh giá hai chiều</x:t>
        </x:is>
      </x:c>
      <x:c r="C256" s="8" t="inlineStr">
        <x:is>
          <x:t xml:space="preserve">DOC-028</x:t>
        </x:is>
      </x:c>
      <x:c r="D256" s="8" t="inlineStr">
        <x:is>
          <x:t xml:space="preserve">Q01: khách báo đã trả + thợ xác nhận nhận tiền, quyết toán thành công</x:t>
        </x:is>
      </x:c>
      <x:c r="E256" s="8" t="inlineStr">
        <x:is>
          <x:t xml:space="preserve">Rà soát khi chức năng đổi</x:t>
        </x:is>
      </x:c>
      <x:c r="F256" s="8" t="inlineStr">
        <x:is>
          <x:t xml:space="preserve">Sửa nguồn; tái tạo bản xuất; đọc lại và ghi bằng chứng</x:t>
        </x:is>
      </x:c>
    </x:row>
    <x:row r="257" ht="38" customHeight="1">
      <x:c r="A257" s="8" t="inlineStr">
        <x:is>
          <x:t xml:space="preserve">F13</x:t>
        </x:is>
      </x:c>
      <x:c r="B257" s="8" t="inlineStr">
        <x:is>
          <x:t xml:space="preserve">Đánh giá hai chiều</x:t>
        </x:is>
      </x:c>
      <x:c r="C257" s="8" t="inlineStr">
        <x:is>
          <x:t xml:space="preserve">DOC-029</x:t>
        </x:is>
      </x:c>
      <x:c r="D257" s="8" t="inlineStr">
        <x:is>
          <x:t xml:space="preserve">Q01: khách báo đã trả + thợ xác nhận nhận tiền, quyết toán thành công</x:t>
        </x:is>
      </x:c>
      <x:c r="E257" s="8" t="inlineStr">
        <x:is>
          <x:t xml:space="preserve">Rà soát khi chức năng đổi</x:t>
        </x:is>
      </x:c>
      <x:c r="F257" s="8" t="inlineStr">
        <x:is>
          <x:t xml:space="preserve">Sửa nguồn; tái tạo bản xuất; đọc lại và ghi bằng chứng</x:t>
        </x:is>
      </x:c>
    </x:row>
    <x:row r="258" ht="38" customHeight="1">
      <x:c r="A258" s="8" t="inlineStr">
        <x:is>
          <x:t xml:space="preserve">F13</x:t>
        </x:is>
      </x:c>
      <x:c r="B258" s="8" t="inlineStr">
        <x:is>
          <x:t xml:space="preserve">Đánh giá hai chiều</x:t>
        </x:is>
      </x:c>
      <x:c r="C258" s="8" t="inlineStr">
        <x:is>
          <x:t xml:space="preserve">DOC-030</x:t>
        </x:is>
      </x:c>
      <x:c r="D258" s="8" t="inlineStr">
        <x:is>
          <x:t xml:space="preserve">Q01: khách báo đã trả + thợ xác nhận nhận tiền, quyết toán thành công</x:t>
        </x:is>
      </x:c>
      <x:c r="E258" s="8" t="inlineStr">
        <x:is>
          <x:t xml:space="preserve">Rà soát khi chức năng đổi</x:t>
        </x:is>
      </x:c>
      <x:c r="F258" s="8" t="inlineStr">
        <x:is>
          <x:t xml:space="preserve">Sửa nguồn; tái tạo bản xuất; đọc lại và ghi bằng chứng</x:t>
        </x:is>
      </x:c>
    </x:row>
    <x:row r="259" ht="38" customHeight="1">
      <x:c r="A259" s="8" t="inlineStr">
        <x:is>
          <x:t xml:space="preserve">F13</x:t>
        </x:is>
      </x:c>
      <x:c r="B259" s="8" t="inlineStr">
        <x:is>
          <x:t xml:space="preserve">Đánh giá hai chiều</x:t>
        </x:is>
      </x:c>
      <x:c r="C259" s="8" t="inlineStr">
        <x:is>
          <x:t xml:space="preserve">DOC-031</x:t>
        </x:is>
      </x:c>
      <x:c r="D259" s="8" t="inlineStr">
        <x:is>
          <x:t xml:space="preserve">Q01: khách báo đã trả + thợ xác nhận nhận tiền, quyết toán thành công</x:t>
        </x:is>
      </x:c>
      <x:c r="E259" s="8" t="inlineStr">
        <x:is>
          <x:t xml:space="preserve">Rà soát khi chức năng đổi</x:t>
        </x:is>
      </x:c>
      <x:c r="F259" s="8" t="inlineStr">
        <x:is>
          <x:t xml:space="preserve">Sửa nguồn; tái tạo bản xuất; đọc lại và ghi bằng chứng</x:t>
        </x:is>
      </x:c>
    </x:row>
    <x:row r="260" ht="38" customHeight="1">
      <x:c r="A260" s="8" t="inlineStr">
        <x:is>
          <x:t xml:space="preserve">F13</x:t>
        </x:is>
      </x:c>
      <x:c r="B260" s="8" t="inlineStr">
        <x:is>
          <x:t xml:space="preserve">Đánh giá hai chiều</x:t>
        </x:is>
      </x:c>
      <x:c r="C260" s="8" t="inlineStr">
        <x:is>
          <x:t xml:space="preserve">DOC-033</x:t>
        </x:is>
      </x:c>
      <x:c r="D260" s="8" t="inlineStr">
        <x:is>
          <x:t xml:space="preserve">Q01: khách báo đã trả + thợ xác nhận nhận tiền, quyết toán thành công</x:t>
        </x:is>
      </x:c>
      <x:c r="E260" s="8" t="inlineStr">
        <x:is>
          <x:t xml:space="preserve">Rà soát khi chức năng đổi</x:t>
        </x:is>
      </x:c>
      <x:c r="F260" s="8" t="inlineStr">
        <x:is>
          <x:t xml:space="preserve">Sửa nguồn; tái tạo bản xuất; đọc lại và ghi bằng chứng</x:t>
        </x:is>
      </x:c>
    </x:row>
    <x:row r="261" ht="38" customHeight="1">
      <x:c r="A261" s="8" t="inlineStr">
        <x:is>
          <x:t xml:space="preserve">F14</x:t>
        </x:is>
      </x:c>
      <x:c r="B261" s="8" t="inlineStr">
        <x:is>
          <x:t xml:space="preserve">Báo cáo / hỗ trợ / admin hoàn tất</x:t>
        </x:is>
      </x:c>
      <x:c r="C261" s="8" t="inlineStr">
        <x:is>
          <x:t xml:space="preserve">DOC-004</x:t>
        </x:is>
      </x:c>
      <x:c r="D261" s="8" t="inlineStr">
        <x:is>
          <x:t xml:space="preserve">Bằng chứng và lý do; không tự mở quyền hoàn/đảo</x:t>
        </x:is>
      </x:c>
      <x:c r="E261" s="8" t="inlineStr">
        <x:is>
          <x:t xml:space="preserve">Rà soát khi chức năng đổi</x:t>
        </x:is>
      </x:c>
      <x:c r="F261" s="8" t="inlineStr">
        <x:is>
          <x:t xml:space="preserve">Sửa nguồn; tái tạo bản xuất; đọc lại và ghi bằng chứng</x:t>
        </x:is>
      </x:c>
    </x:row>
    <x:row r="262" ht="38" customHeight="1">
      <x:c r="A262" s="8" t="inlineStr">
        <x:is>
          <x:t xml:space="preserve">F14</x:t>
        </x:is>
      </x:c>
      <x:c r="B262" s="8" t="inlineStr">
        <x:is>
          <x:t xml:space="preserve">Báo cáo / hỗ trợ / admin hoàn tất</x:t>
        </x:is>
      </x:c>
      <x:c r="C262" s="8" t="inlineStr">
        <x:is>
          <x:t xml:space="preserve">DOC-005</x:t>
        </x:is>
      </x:c>
      <x:c r="D262" s="8" t="inlineStr">
        <x:is>
          <x:t xml:space="preserve">Bằng chứng và lý do; không tự mở quyền hoàn/đảo</x:t>
        </x:is>
      </x:c>
      <x:c r="E262" s="8" t="inlineStr">
        <x:is>
          <x:t xml:space="preserve">Rà soát khi chức năng đổi</x:t>
        </x:is>
      </x:c>
      <x:c r="F262" s="8" t="inlineStr">
        <x:is>
          <x:t xml:space="preserve">Sửa nguồn; tái tạo bản xuất; đọc lại và ghi bằng chứng</x:t>
        </x:is>
      </x:c>
    </x:row>
    <x:row r="263" ht="38" customHeight="1">
      <x:c r="A263" s="8" t="inlineStr">
        <x:is>
          <x:t xml:space="preserve">F14</x:t>
        </x:is>
      </x:c>
      <x:c r="B263" s="8" t="inlineStr">
        <x:is>
          <x:t xml:space="preserve">Báo cáo / hỗ trợ / admin hoàn tất</x:t>
        </x:is>
      </x:c>
      <x:c r="C263" s="8" t="inlineStr">
        <x:is>
          <x:t xml:space="preserve">DOC-006</x:t>
        </x:is>
      </x:c>
      <x:c r="D263" s="8" t="inlineStr">
        <x:is>
          <x:t xml:space="preserve">Bằng chứng và lý do; không tự mở quyền hoàn/đảo</x:t>
        </x:is>
      </x:c>
      <x:c r="E263" s="8" t="inlineStr">
        <x:is>
          <x:t xml:space="preserve">Rà soát khi chức năng đổi</x:t>
        </x:is>
      </x:c>
      <x:c r="F263" s="8" t="inlineStr">
        <x:is>
          <x:t xml:space="preserve">Sửa nguồn; tái tạo bản xuất; đọc lại và ghi bằng chứng</x:t>
        </x:is>
      </x:c>
    </x:row>
    <x:row r="264" ht="38" customHeight="1">
      <x:c r="A264" s="8" t="inlineStr">
        <x:is>
          <x:t xml:space="preserve">F14</x:t>
        </x:is>
      </x:c>
      <x:c r="B264" s="8" t="inlineStr">
        <x:is>
          <x:t xml:space="preserve">Báo cáo / hỗ trợ / admin hoàn tất</x:t>
        </x:is>
      </x:c>
      <x:c r="C264" s="8" t="inlineStr">
        <x:is>
          <x:t xml:space="preserve">DOC-007</x:t>
        </x:is>
      </x:c>
      <x:c r="D264" s="8" t="inlineStr">
        <x:is>
          <x:t xml:space="preserve">Bằng chứng và lý do; không tự mở quyền hoàn/đảo</x:t>
        </x:is>
      </x:c>
      <x:c r="E264" s="8" t="inlineStr">
        <x:is>
          <x:t xml:space="preserve">Rà soát khi chức năng đổi</x:t>
        </x:is>
      </x:c>
      <x:c r="F264" s="8" t="inlineStr">
        <x:is>
          <x:t xml:space="preserve">Sửa nguồn; tái tạo bản xuất; đọc lại và ghi bằng chứng</x:t>
        </x:is>
      </x:c>
    </x:row>
    <x:row r="265" ht="38" customHeight="1">
      <x:c r="A265" s="8" t="inlineStr">
        <x:is>
          <x:t xml:space="preserve">F14</x:t>
        </x:is>
      </x:c>
      <x:c r="B265" s="8" t="inlineStr">
        <x:is>
          <x:t xml:space="preserve">Báo cáo / hỗ trợ / admin hoàn tất</x:t>
        </x:is>
      </x:c>
      <x:c r="C265" s="8" t="inlineStr">
        <x:is>
          <x:t xml:space="preserve">DOC-008</x:t>
        </x:is>
      </x:c>
      <x:c r="D265" s="8" t="inlineStr">
        <x:is>
          <x:t xml:space="preserve">Bằng chứng và lý do; không tự mở quyền hoàn/đảo</x:t>
        </x:is>
      </x:c>
      <x:c r="E265" s="8" t="inlineStr">
        <x:is>
          <x:t xml:space="preserve">Rà soát khi chức năng đổi</x:t>
        </x:is>
      </x:c>
      <x:c r="F265" s="8" t="inlineStr">
        <x:is>
          <x:t xml:space="preserve">Sửa nguồn; tái tạo bản xuất; đọc lại và ghi bằng chứng</x:t>
        </x:is>
      </x:c>
    </x:row>
    <x:row r="266" ht="38" customHeight="1">
      <x:c r="A266" s="8" t="inlineStr">
        <x:is>
          <x:t xml:space="preserve">F14</x:t>
        </x:is>
      </x:c>
      <x:c r="B266" s="8" t="inlineStr">
        <x:is>
          <x:t xml:space="preserve">Báo cáo / hỗ trợ / admin hoàn tất</x:t>
        </x:is>
      </x:c>
      <x:c r="C266" s="8" t="inlineStr">
        <x:is>
          <x:t xml:space="preserve">DOC-012</x:t>
        </x:is>
      </x:c>
      <x:c r="D266" s="8" t="inlineStr">
        <x:is>
          <x:t xml:space="preserve">Bằng chứng và lý do; không tự mở quyền hoàn/đảo</x:t>
        </x:is>
      </x:c>
      <x:c r="E266" s="8" t="inlineStr">
        <x:is>
          <x:t xml:space="preserve">Rà soát khi chức năng đổi</x:t>
        </x:is>
      </x:c>
      <x:c r="F266" s="8" t="inlineStr">
        <x:is>
          <x:t xml:space="preserve">Sửa nguồn; tái tạo bản xuất; đọc lại và ghi bằng chứng</x:t>
        </x:is>
      </x:c>
    </x:row>
    <x:row r="267" ht="38" customHeight="1">
      <x:c r="A267" s="8" t="inlineStr">
        <x:is>
          <x:t xml:space="preserve">F14</x:t>
        </x:is>
      </x:c>
      <x:c r="B267" s="8" t="inlineStr">
        <x:is>
          <x:t xml:space="preserve">Báo cáo / hỗ trợ / admin hoàn tất</x:t>
        </x:is>
      </x:c>
      <x:c r="C267" s="8" t="inlineStr">
        <x:is>
          <x:t xml:space="preserve">DOC-013</x:t>
        </x:is>
      </x:c>
      <x:c r="D267" s="8" t="inlineStr">
        <x:is>
          <x:t xml:space="preserve">Bằng chứng và lý do; không tự mở quyền hoàn/đảo</x:t>
        </x:is>
      </x:c>
      <x:c r="E267" s="8" t="inlineStr">
        <x:is>
          <x:t xml:space="preserve">Rà soát khi chức năng đổi</x:t>
        </x:is>
      </x:c>
      <x:c r="F267" s="8" t="inlineStr">
        <x:is>
          <x:t xml:space="preserve">Sửa nguồn; tái tạo bản xuất; đọc lại và ghi bằng chứng</x:t>
        </x:is>
      </x:c>
    </x:row>
    <x:row r="268" ht="38" customHeight="1">
      <x:c r="A268" s="8" t="inlineStr">
        <x:is>
          <x:t xml:space="preserve">F14</x:t>
        </x:is>
      </x:c>
      <x:c r="B268" s="8" t="inlineStr">
        <x:is>
          <x:t xml:space="preserve">Báo cáo / hỗ trợ / admin hoàn tất</x:t>
        </x:is>
      </x:c>
      <x:c r="C268" s="8" t="inlineStr">
        <x:is>
          <x:t xml:space="preserve">DOC-015</x:t>
        </x:is>
      </x:c>
      <x:c r="D268" s="8" t="inlineStr">
        <x:is>
          <x:t xml:space="preserve">Bằng chứng và lý do; không tự mở quyền hoàn/đảo</x:t>
        </x:is>
      </x:c>
      <x:c r="E268" s="8" t="inlineStr">
        <x:is>
          <x:t xml:space="preserve">Rà soát khi chức năng đổi</x:t>
        </x:is>
      </x:c>
      <x:c r="F268" s="8" t="inlineStr">
        <x:is>
          <x:t xml:space="preserve">Sửa nguồn; tái tạo bản xuất; đọc lại và ghi bằng chứng</x:t>
        </x:is>
      </x:c>
    </x:row>
    <x:row r="269" ht="38" customHeight="1">
      <x:c r="A269" s="8" t="inlineStr">
        <x:is>
          <x:t xml:space="preserve">F14</x:t>
        </x:is>
      </x:c>
      <x:c r="B269" s="8" t="inlineStr">
        <x:is>
          <x:t xml:space="preserve">Báo cáo / hỗ trợ / admin hoàn tất</x:t>
        </x:is>
      </x:c>
      <x:c r="C269" s="8" t="inlineStr">
        <x:is>
          <x:t xml:space="preserve">DOC-014</x:t>
        </x:is>
      </x:c>
      <x:c r="D269" s="8" t="inlineStr">
        <x:is>
          <x:t xml:space="preserve">Bằng chứng và lý do; không tự mở quyền hoàn/đảo</x:t>
        </x:is>
      </x:c>
      <x:c r="E269" s="8" t="inlineStr">
        <x:is>
          <x:t xml:space="preserve">Rà soát khi chức năng đổi</x:t>
        </x:is>
      </x:c>
      <x:c r="F269" s="8" t="inlineStr">
        <x:is>
          <x:t xml:space="preserve">Sửa nguồn; tái tạo bản xuất; đọc lại và ghi bằng chứng</x:t>
        </x:is>
      </x:c>
    </x:row>
    <x:row r="270" ht="38" customHeight="1">
      <x:c r="A270" s="8" t="inlineStr">
        <x:is>
          <x:t xml:space="preserve">F14</x:t>
        </x:is>
      </x:c>
      <x:c r="B270" s="8" t="inlineStr">
        <x:is>
          <x:t xml:space="preserve">Báo cáo / hỗ trợ / admin hoàn tất</x:t>
        </x:is>
      </x:c>
      <x:c r="C270" s="8" t="inlineStr">
        <x:is>
          <x:t xml:space="preserve">DOC-016</x:t>
        </x:is>
      </x:c>
      <x:c r="D270" s="8" t="inlineStr">
        <x:is>
          <x:t xml:space="preserve">Bằng chứng và lý do; không tự mở quyền hoàn/đảo</x:t>
        </x:is>
      </x:c>
      <x:c r="E270" s="8" t="inlineStr">
        <x:is>
          <x:t xml:space="preserve">Rà soát khi chức năng đổi</x:t>
        </x:is>
      </x:c>
      <x:c r="F270" s="8" t="inlineStr">
        <x:is>
          <x:t xml:space="preserve">Sửa nguồn; tái tạo bản xuất; đọc lại và ghi bằng chứng</x:t>
        </x:is>
      </x:c>
    </x:row>
    <x:row r="271" ht="38" customHeight="1">
      <x:c r="A271" s="8" t="inlineStr">
        <x:is>
          <x:t xml:space="preserve">F14</x:t>
        </x:is>
      </x:c>
      <x:c r="B271" s="8" t="inlineStr">
        <x:is>
          <x:t xml:space="preserve">Báo cáo / hỗ trợ / admin hoàn tất</x:t>
        </x:is>
      </x:c>
      <x:c r="C271" s="8" t="inlineStr">
        <x:is>
          <x:t xml:space="preserve">DOC-017</x:t>
        </x:is>
      </x:c>
      <x:c r="D271" s="8" t="inlineStr">
        <x:is>
          <x:t xml:space="preserve">Bằng chứng và lý do; không tự mở quyền hoàn/đảo</x:t>
        </x:is>
      </x:c>
      <x:c r="E271" s="8" t="inlineStr">
        <x:is>
          <x:t xml:space="preserve">Rà soát khi chức năng đổi</x:t>
        </x:is>
      </x:c>
      <x:c r="F271" s="8" t="inlineStr">
        <x:is>
          <x:t xml:space="preserve">Sửa nguồn; tái tạo bản xuất; đọc lại và ghi bằng chứng</x:t>
        </x:is>
      </x:c>
    </x:row>
    <x:row r="272" ht="38" customHeight="1">
      <x:c r="A272" s="8" t="inlineStr">
        <x:is>
          <x:t xml:space="preserve">F14</x:t>
        </x:is>
      </x:c>
      <x:c r="B272" s="8" t="inlineStr">
        <x:is>
          <x:t xml:space="preserve">Báo cáo / hỗ trợ / admin hoàn tất</x:t>
        </x:is>
      </x:c>
      <x:c r="C272" s="8" t="inlineStr">
        <x:is>
          <x:t xml:space="preserve">DOC-018</x:t>
        </x:is>
      </x:c>
      <x:c r="D272" s="8" t="inlineStr">
        <x:is>
          <x:t xml:space="preserve">Bằng chứng và lý do; không tự mở quyền hoàn/đảo</x:t>
        </x:is>
      </x:c>
      <x:c r="E272" s="8" t="inlineStr">
        <x:is>
          <x:t xml:space="preserve">Rà soát khi chức năng đổi</x:t>
        </x:is>
      </x:c>
      <x:c r="F272" s="8" t="inlineStr">
        <x:is>
          <x:t xml:space="preserve">Sửa nguồn; tái tạo bản xuất; đọc lại và ghi bằng chứng</x:t>
        </x:is>
      </x:c>
    </x:row>
    <x:row r="273" ht="38" customHeight="1">
      <x:c r="A273" s="8" t="inlineStr">
        <x:is>
          <x:t xml:space="preserve">F14</x:t>
        </x:is>
      </x:c>
      <x:c r="B273" s="8" t="inlineStr">
        <x:is>
          <x:t xml:space="preserve">Báo cáo / hỗ trợ / admin hoàn tất</x:t>
        </x:is>
      </x:c>
      <x:c r="C273" s="8" t="inlineStr">
        <x:is>
          <x:t xml:space="preserve">DOC-025</x:t>
        </x:is>
      </x:c>
      <x:c r="D273" s="8" t="inlineStr">
        <x:is>
          <x:t xml:space="preserve">Bằng chứng và lý do; không tự mở quyền hoàn/đảo</x:t>
        </x:is>
      </x:c>
      <x:c r="E273" s="8" t="inlineStr">
        <x:is>
          <x:t xml:space="preserve">Rà soát khi chức năng đổi</x:t>
        </x:is>
      </x:c>
      <x:c r="F273" s="8" t="inlineStr">
        <x:is>
          <x:t xml:space="preserve">Sửa nguồn; tái tạo bản xuất; đọc lại và ghi bằng chứng</x:t>
        </x:is>
      </x:c>
    </x:row>
    <x:row r="274" ht="38" customHeight="1">
      <x:c r="A274" s="8" t="inlineStr">
        <x:is>
          <x:t xml:space="preserve">F14</x:t>
        </x:is>
      </x:c>
      <x:c r="B274" s="8" t="inlineStr">
        <x:is>
          <x:t xml:space="preserve">Báo cáo / hỗ trợ / admin hoàn tất</x:t>
        </x:is>
      </x:c>
      <x:c r="C274" s="8" t="inlineStr">
        <x:is>
          <x:t xml:space="preserve">DOC-026</x:t>
        </x:is>
      </x:c>
      <x:c r="D274" s="8" t="inlineStr">
        <x:is>
          <x:t xml:space="preserve">Bằng chứng và lý do; không tự mở quyền hoàn/đảo</x:t>
        </x:is>
      </x:c>
      <x:c r="E274" s="8" t="inlineStr">
        <x:is>
          <x:t xml:space="preserve">Rà soát khi chức năng đổi</x:t>
        </x:is>
      </x:c>
      <x:c r="F274" s="8" t="inlineStr">
        <x:is>
          <x:t xml:space="preserve">Sửa nguồn; tái tạo bản xuất; đọc lại và ghi bằng chứng</x:t>
        </x:is>
      </x:c>
    </x:row>
    <x:row r="275" ht="38" customHeight="1">
      <x:c r="A275" s="8" t="inlineStr">
        <x:is>
          <x:t xml:space="preserve">F14</x:t>
        </x:is>
      </x:c>
      <x:c r="B275" s="8" t="inlineStr">
        <x:is>
          <x:t xml:space="preserve">Báo cáo / hỗ trợ / admin hoàn tất</x:t>
        </x:is>
      </x:c>
      <x:c r="C275" s="8" t="inlineStr">
        <x:is>
          <x:t xml:space="preserve">DOC-027</x:t>
        </x:is>
      </x:c>
      <x:c r="D275" s="8" t="inlineStr">
        <x:is>
          <x:t xml:space="preserve">Bằng chứng và lý do; không tự mở quyền hoàn/đảo</x:t>
        </x:is>
      </x:c>
      <x:c r="E275" s="8" t="inlineStr">
        <x:is>
          <x:t xml:space="preserve">Rà soát khi chức năng đổi</x:t>
        </x:is>
      </x:c>
      <x:c r="F275" s="8" t="inlineStr">
        <x:is>
          <x:t xml:space="preserve">Sửa nguồn; tái tạo bản xuất; đọc lại và ghi bằng chứng</x:t>
        </x:is>
      </x:c>
    </x:row>
    <x:row r="276" ht="38" customHeight="1">
      <x:c r="A276" s="8" t="inlineStr">
        <x:is>
          <x:t xml:space="preserve">F14</x:t>
        </x:is>
      </x:c>
      <x:c r="B276" s="8" t="inlineStr">
        <x:is>
          <x:t xml:space="preserve">Báo cáo / hỗ trợ / admin hoàn tất</x:t>
        </x:is>
      </x:c>
      <x:c r="C276" s="8" t="inlineStr">
        <x:is>
          <x:t xml:space="preserve">DOC-028</x:t>
        </x:is>
      </x:c>
      <x:c r="D276" s="8" t="inlineStr">
        <x:is>
          <x:t xml:space="preserve">Bằng chứng và lý do; không tự mở quyền hoàn/đảo</x:t>
        </x:is>
      </x:c>
      <x:c r="E276" s="8" t="inlineStr">
        <x:is>
          <x:t xml:space="preserve">Rà soát khi chức năng đổi</x:t>
        </x:is>
      </x:c>
      <x:c r="F276" s="8" t="inlineStr">
        <x:is>
          <x:t xml:space="preserve">Sửa nguồn; tái tạo bản xuất; đọc lại và ghi bằng chứng</x:t>
        </x:is>
      </x:c>
    </x:row>
    <x:row r="277" ht="38" customHeight="1">
      <x:c r="A277" s="8" t="inlineStr">
        <x:is>
          <x:t xml:space="preserve">F14</x:t>
        </x:is>
      </x:c>
      <x:c r="B277" s="8" t="inlineStr">
        <x:is>
          <x:t xml:space="preserve">Báo cáo / hỗ trợ / admin hoàn tất</x:t>
        </x:is>
      </x:c>
      <x:c r="C277" s="8" t="inlineStr">
        <x:is>
          <x:t xml:space="preserve">DOC-029</x:t>
        </x:is>
      </x:c>
      <x:c r="D277" s="8" t="inlineStr">
        <x:is>
          <x:t xml:space="preserve">Bằng chứng và lý do; không tự mở quyền hoàn/đảo</x:t>
        </x:is>
      </x:c>
      <x:c r="E277" s="8" t="inlineStr">
        <x:is>
          <x:t xml:space="preserve">Rà soát khi chức năng đổi</x:t>
        </x:is>
      </x:c>
      <x:c r="F277" s="8" t="inlineStr">
        <x:is>
          <x:t xml:space="preserve">Sửa nguồn; tái tạo bản xuất; đọc lại và ghi bằng chứng</x:t>
        </x:is>
      </x:c>
    </x:row>
    <x:row r="278" ht="38" customHeight="1">
      <x:c r="A278" s="8" t="inlineStr">
        <x:is>
          <x:t xml:space="preserve">F14</x:t>
        </x:is>
      </x:c>
      <x:c r="B278" s="8" t="inlineStr">
        <x:is>
          <x:t xml:space="preserve">Báo cáo / hỗ trợ / admin hoàn tất</x:t>
        </x:is>
      </x:c>
      <x:c r="C278" s="8" t="inlineStr">
        <x:is>
          <x:t xml:space="preserve">DOC-030</x:t>
        </x:is>
      </x:c>
      <x:c r="D278" s="8" t="inlineStr">
        <x:is>
          <x:t xml:space="preserve">Bằng chứng và lý do; không tự mở quyền hoàn/đảo</x:t>
        </x:is>
      </x:c>
      <x:c r="E278" s="8" t="inlineStr">
        <x:is>
          <x:t xml:space="preserve">Rà soát khi chức năng đổi</x:t>
        </x:is>
      </x:c>
      <x:c r="F278" s="8" t="inlineStr">
        <x:is>
          <x:t xml:space="preserve">Sửa nguồn; tái tạo bản xuất; đọc lại và ghi bằng chứng</x:t>
        </x:is>
      </x:c>
    </x:row>
    <x:row r="279" ht="38" customHeight="1">
      <x:c r="A279" s="8" t="inlineStr">
        <x:is>
          <x:t xml:space="preserve">F14</x:t>
        </x:is>
      </x:c>
      <x:c r="B279" s="8" t="inlineStr">
        <x:is>
          <x:t xml:space="preserve">Báo cáo / hỗ trợ / admin hoàn tất</x:t>
        </x:is>
      </x:c>
      <x:c r="C279" s="8" t="inlineStr">
        <x:is>
          <x:t xml:space="preserve">DOC-031</x:t>
        </x:is>
      </x:c>
      <x:c r="D279" s="8" t="inlineStr">
        <x:is>
          <x:t xml:space="preserve">Bằng chứng và lý do; không tự mở quyền hoàn/đảo</x:t>
        </x:is>
      </x:c>
      <x:c r="E279" s="8" t="inlineStr">
        <x:is>
          <x:t xml:space="preserve">Rà soát khi chức năng đổi</x:t>
        </x:is>
      </x:c>
      <x:c r="F279" s="8" t="inlineStr">
        <x:is>
          <x:t xml:space="preserve">Sửa nguồn; tái tạo bản xuất; đọc lại và ghi bằng chứng</x:t>
        </x:is>
      </x:c>
    </x:row>
    <x:row r="280" ht="38" customHeight="1">
      <x:c r="A280" s="8" t="inlineStr">
        <x:is>
          <x:t xml:space="preserve">F14</x:t>
        </x:is>
      </x:c>
      <x:c r="B280" s="8" t="inlineStr">
        <x:is>
          <x:t xml:space="preserve">Báo cáo / hỗ trợ / admin hoàn tất</x:t>
        </x:is>
      </x:c>
      <x:c r="C280" s="8" t="inlineStr">
        <x:is>
          <x:t xml:space="preserve">DOC-033</x:t>
        </x:is>
      </x:c>
      <x:c r="D280" s="8" t="inlineStr">
        <x:is>
          <x:t xml:space="preserve">Bằng chứng và lý do; không tự mở quyền hoàn/đảo</x:t>
        </x:is>
      </x:c>
      <x:c r="E280" s="8" t="inlineStr">
        <x:is>
          <x:t xml:space="preserve">Rà soát khi chức năng đổi</x:t>
        </x:is>
      </x:c>
      <x:c r="F280" s="8" t="inlineStr">
        <x:is>
          <x:t xml:space="preserve">Sửa nguồn; tái tạo bản xuất; đọc lại và ghi bằng chứng</x:t>
        </x:is>
      </x:c>
    </x:row>
    <x:row r="281" ht="38" customHeight="1">
      <x:c r="A281" s="8" t="inlineStr">
        <x:is>
          <x:t xml:space="preserve">F15</x:t>
        </x:is>
      </x:c>
      <x:c r="B281" s="8" t="inlineStr">
        <x:is>
          <x:t xml:space="preserve">Khoản giữ treo / tài chính ngoại lệ</x:t>
        </x:is>
      </x:c>
      <x:c r="C281" s="8" t="inlineStr">
        <x:is>
          <x:t xml:space="preserve">DOC-001</x:t>
        </x:is>
      </x:c>
      <x:c r="D281" s="8" t="inlineStr">
        <x:is>
          <x:t xml:space="preserve">Q02: pending đợt này; bắt buộc trước tiền thật</x:t>
        </x:is>
      </x:c>
      <x:c r="E281" s="8" t="inlineStr">
        <x:is>
          <x:t xml:space="preserve">Rà soát khi chức năng đổi</x:t>
        </x:is>
      </x:c>
      <x:c r="F281" s="8" t="inlineStr">
        <x:is>
          <x:t xml:space="preserve">Sửa nguồn; tái tạo bản xuất; đọc lại và ghi bằng chứng</x:t>
        </x:is>
      </x:c>
    </x:row>
    <x:row r="282" ht="38" customHeight="1">
      <x:c r="A282" s="8" t="inlineStr">
        <x:is>
          <x:t xml:space="preserve">F15</x:t>
        </x:is>
      </x:c>
      <x:c r="B282" s="8" t="inlineStr">
        <x:is>
          <x:t xml:space="preserve">Khoản giữ treo / tài chính ngoại lệ</x:t>
        </x:is>
      </x:c>
      <x:c r="C282" s="8" t="inlineStr">
        <x:is>
          <x:t xml:space="preserve">DOC-004</x:t>
        </x:is>
      </x:c>
      <x:c r="D282" s="8" t="inlineStr">
        <x:is>
          <x:t xml:space="preserve">Q02: pending đợt này; bắt buộc trước tiền thật</x:t>
        </x:is>
      </x:c>
      <x:c r="E282" s="8" t="inlineStr">
        <x:is>
          <x:t xml:space="preserve">Rà soát khi chức năng đổi</x:t>
        </x:is>
      </x:c>
      <x:c r="F282" s="8" t="inlineStr">
        <x:is>
          <x:t xml:space="preserve">Sửa nguồn; tái tạo bản xuất; đọc lại và ghi bằng chứng</x:t>
        </x:is>
      </x:c>
    </x:row>
    <x:row r="283" ht="38" customHeight="1">
      <x:c r="A283" s="8" t="inlineStr">
        <x:is>
          <x:t xml:space="preserve">F15</x:t>
        </x:is>
      </x:c>
      <x:c r="B283" s="8" t="inlineStr">
        <x:is>
          <x:t xml:space="preserve">Khoản giữ treo / tài chính ngoại lệ</x:t>
        </x:is>
      </x:c>
      <x:c r="C283" s="8" t="inlineStr">
        <x:is>
          <x:t xml:space="preserve">DOC-005</x:t>
        </x:is>
      </x:c>
      <x:c r="D283" s="8" t="inlineStr">
        <x:is>
          <x:t xml:space="preserve">Q02: pending đợt này; bắt buộc trước tiền thật</x:t>
        </x:is>
      </x:c>
      <x:c r="E283" s="8" t="inlineStr">
        <x:is>
          <x:t xml:space="preserve">Rà soát khi chức năng đổi</x:t>
        </x:is>
      </x:c>
      <x:c r="F283" s="8" t="inlineStr">
        <x:is>
          <x:t xml:space="preserve">Sửa nguồn; tái tạo bản xuất; đọc lại và ghi bằng chứng</x:t>
        </x:is>
      </x:c>
    </x:row>
    <x:row r="284" ht="38" customHeight="1">
      <x:c r="A284" s="8" t="inlineStr">
        <x:is>
          <x:t xml:space="preserve">F15</x:t>
        </x:is>
      </x:c>
      <x:c r="B284" s="8" t="inlineStr">
        <x:is>
          <x:t xml:space="preserve">Khoản giữ treo / tài chính ngoại lệ</x:t>
        </x:is>
      </x:c>
      <x:c r="C284" s="8" t="inlineStr">
        <x:is>
          <x:t xml:space="preserve">DOC-007</x:t>
        </x:is>
      </x:c>
      <x:c r="D284" s="8" t="inlineStr">
        <x:is>
          <x:t xml:space="preserve">Q02: pending đợt này; bắt buộc trước tiền thật</x:t>
        </x:is>
      </x:c>
      <x:c r="E284" s="8" t="inlineStr">
        <x:is>
          <x:t xml:space="preserve">Rà soát khi chức năng đổi</x:t>
        </x:is>
      </x:c>
      <x:c r="F284" s="8" t="inlineStr">
        <x:is>
          <x:t xml:space="preserve">Sửa nguồn; tái tạo bản xuất; đọc lại và ghi bằng chứng</x:t>
        </x:is>
      </x:c>
    </x:row>
    <x:row r="285" ht="38" customHeight="1">
      <x:c r="A285" s="8" t="inlineStr">
        <x:is>
          <x:t xml:space="preserve">F15</x:t>
        </x:is>
      </x:c>
      <x:c r="B285" s="8" t="inlineStr">
        <x:is>
          <x:t xml:space="preserve">Khoản giữ treo / tài chính ngoại lệ</x:t>
        </x:is>
      </x:c>
      <x:c r="C285" s="8" t="inlineStr">
        <x:is>
          <x:t xml:space="preserve">DOC-014</x:t>
        </x:is>
      </x:c>
      <x:c r="D285" s="8" t="inlineStr">
        <x:is>
          <x:t xml:space="preserve">Q02: pending đợt này; bắt buộc trước tiền thật</x:t>
        </x:is>
      </x:c>
      <x:c r="E285" s="8" t="inlineStr">
        <x:is>
          <x:t xml:space="preserve">Rà soát khi chức năng đổi</x:t>
        </x:is>
      </x:c>
      <x:c r="F285" s="8" t="inlineStr">
        <x:is>
          <x:t xml:space="preserve">Sửa nguồn; tái tạo bản xuất; đọc lại và ghi bằng chứng</x:t>
        </x:is>
      </x:c>
    </x:row>
    <x:row r="286" ht="38" customHeight="1">
      <x:c r="A286" s="8" t="inlineStr">
        <x:is>
          <x:t xml:space="preserve">F15</x:t>
        </x:is>
      </x:c>
      <x:c r="B286" s="8" t="inlineStr">
        <x:is>
          <x:t xml:space="preserve">Khoản giữ treo / tài chính ngoại lệ</x:t>
        </x:is>
      </x:c>
      <x:c r="C286" s="8" t="inlineStr">
        <x:is>
          <x:t xml:space="preserve">PLAN-005</x:t>
        </x:is>
      </x:c>
      <x:c r="D286" s="8" t="inlineStr">
        <x:is>
          <x:t xml:space="preserve">Q02: pending đợt này; bắt buộc trước tiền thật</x:t>
        </x:is>
      </x:c>
      <x:c r="E286" s="8" t="inlineStr">
        <x:is>
          <x:t xml:space="preserve">Rà soát khi chức năng đổi</x:t>
        </x:is>
      </x:c>
      <x:c r="F286" s="8" t="inlineStr">
        <x:is>
          <x:t xml:space="preserve">Sửa nguồn; tái tạo bản xuất; đọc lại và ghi bằng chứng</x:t>
        </x:is>
      </x:c>
    </x:row>
    <x:row r="287" ht="38" customHeight="1">
      <x:c r="A287" s="8" t="inlineStr">
        <x:is>
          <x:t xml:space="preserve">F15</x:t>
        </x:is>
      </x:c>
      <x:c r="B287" s="8" t="inlineStr">
        <x:is>
          <x:t xml:space="preserve">Khoản giữ treo / tài chính ngoại lệ</x:t>
        </x:is>
      </x:c>
      <x:c r="C287" s="8" t="inlineStr">
        <x:is>
          <x:t xml:space="preserve">DOC-016</x:t>
        </x:is>
      </x:c>
      <x:c r="D287" s="8" t="inlineStr">
        <x:is>
          <x:t xml:space="preserve">Q02: pending đợt này; bắt buộc trước tiền thật</x:t>
        </x:is>
      </x:c>
      <x:c r="E287" s="8" t="inlineStr">
        <x:is>
          <x:t xml:space="preserve">Rà soát khi chức năng đổi</x:t>
        </x:is>
      </x:c>
      <x:c r="F287" s="8" t="inlineStr">
        <x:is>
          <x:t xml:space="preserve">Sửa nguồn; tái tạo bản xuất; đọc lại và ghi bằng chứng</x:t>
        </x:is>
      </x:c>
    </x:row>
    <x:row r="288" ht="38" customHeight="1">
      <x:c r="A288" s="8" t="inlineStr">
        <x:is>
          <x:t xml:space="preserve">F15</x:t>
        </x:is>
      </x:c>
      <x:c r="B288" s="8" t="inlineStr">
        <x:is>
          <x:t xml:space="preserve">Khoản giữ treo / tài chính ngoại lệ</x:t>
        </x:is>
      </x:c>
      <x:c r="C288" s="8" t="inlineStr">
        <x:is>
          <x:t xml:space="preserve">DOC-017</x:t>
        </x:is>
      </x:c>
      <x:c r="D288" s="8" t="inlineStr">
        <x:is>
          <x:t xml:space="preserve">Q02: pending đợt này; bắt buộc trước tiền thật</x:t>
        </x:is>
      </x:c>
      <x:c r="E288" s="8" t="inlineStr">
        <x:is>
          <x:t xml:space="preserve">Rà soát khi chức năng đổi</x:t>
        </x:is>
      </x:c>
      <x:c r="F288" s="8" t="inlineStr">
        <x:is>
          <x:t xml:space="preserve">Sửa nguồn; tái tạo bản xuất; đọc lại và ghi bằng chứng</x:t>
        </x:is>
      </x:c>
    </x:row>
    <x:row r="289" ht="38" customHeight="1">
      <x:c r="A289" s="8" t="inlineStr">
        <x:is>
          <x:t xml:space="preserve">F15</x:t>
        </x:is>
      </x:c>
      <x:c r="B289" s="8" t="inlineStr">
        <x:is>
          <x:t xml:space="preserve">Khoản giữ treo / tài chính ngoại lệ</x:t>
        </x:is>
      </x:c>
      <x:c r="C289" s="8" t="inlineStr">
        <x:is>
          <x:t xml:space="preserve">DOC-018</x:t>
        </x:is>
      </x:c>
      <x:c r="D289" s="8" t="inlineStr">
        <x:is>
          <x:t xml:space="preserve">Q02: pending đợt này; bắt buộc trước tiền thật</x:t>
        </x:is>
      </x:c>
      <x:c r="E289" s="8" t="inlineStr">
        <x:is>
          <x:t xml:space="preserve">Rà soát khi chức năng đổi</x:t>
        </x:is>
      </x:c>
      <x:c r="F289" s="8" t="inlineStr">
        <x:is>
          <x:t xml:space="preserve">Sửa nguồn; tái tạo bản xuất; đọc lại và ghi bằng chứng</x:t>
        </x:is>
      </x:c>
    </x:row>
    <x:row r="290" ht="38" customHeight="1">
      <x:c r="A290" s="8" t="inlineStr">
        <x:is>
          <x:t xml:space="preserve">F15</x:t>
        </x:is>
      </x:c>
      <x:c r="B290" s="8" t="inlineStr">
        <x:is>
          <x:t xml:space="preserve">Khoản giữ treo / tài chính ngoại lệ</x:t>
        </x:is>
      </x:c>
      <x:c r="C290" s="8" t="inlineStr">
        <x:is>
          <x:t xml:space="preserve">DOC-025</x:t>
        </x:is>
      </x:c>
      <x:c r="D290" s="8" t="inlineStr">
        <x:is>
          <x:t xml:space="preserve">Q02: pending đợt này; bắt buộc trước tiền thật</x:t>
        </x:is>
      </x:c>
      <x:c r="E290" s="8" t="inlineStr">
        <x:is>
          <x:t xml:space="preserve">Rà soát khi chức năng đổi</x:t>
        </x:is>
      </x:c>
      <x:c r="F290" s="8" t="inlineStr">
        <x:is>
          <x:t xml:space="preserve">Sửa nguồn; tái tạo bản xuất; đọc lại và ghi bằng chứng</x:t>
        </x:is>
      </x:c>
    </x:row>
    <x:row r="291" ht="38" customHeight="1">
      <x:c r="A291" s="8" t="inlineStr">
        <x:is>
          <x:t xml:space="preserve">F15</x:t>
        </x:is>
      </x:c>
      <x:c r="B291" s="8" t="inlineStr">
        <x:is>
          <x:t xml:space="preserve">Khoản giữ treo / tài chính ngoại lệ</x:t>
        </x:is>
      </x:c>
      <x:c r="C291" s="8" t="inlineStr">
        <x:is>
          <x:t xml:space="preserve">DOC-026</x:t>
        </x:is>
      </x:c>
      <x:c r="D291" s="8" t="inlineStr">
        <x:is>
          <x:t xml:space="preserve">Q02: pending đợt này; bắt buộc trước tiền thật</x:t>
        </x:is>
      </x:c>
      <x:c r="E291" s="8" t="inlineStr">
        <x:is>
          <x:t xml:space="preserve">Rà soát khi chức năng đổi</x:t>
        </x:is>
      </x:c>
      <x:c r="F291" s="8" t="inlineStr">
        <x:is>
          <x:t xml:space="preserve">Sửa nguồn; tái tạo bản xuất; đọc lại và ghi bằng chứng</x:t>
        </x:is>
      </x:c>
    </x:row>
    <x:row r="292" ht="38" customHeight="1">
      <x:c r="A292" s="8" t="inlineStr">
        <x:is>
          <x:t xml:space="preserve">F15</x:t>
        </x:is>
      </x:c>
      <x:c r="B292" s="8" t="inlineStr">
        <x:is>
          <x:t xml:space="preserve">Khoản giữ treo / tài chính ngoại lệ</x:t>
        </x:is>
      </x:c>
      <x:c r="C292" s="8" t="inlineStr">
        <x:is>
          <x:t xml:space="preserve">DOC-027</x:t>
        </x:is>
      </x:c>
      <x:c r="D292" s="8" t="inlineStr">
        <x:is>
          <x:t xml:space="preserve">Q02: pending đợt này; bắt buộc trước tiền thật</x:t>
        </x:is>
      </x:c>
      <x:c r="E292" s="8" t="inlineStr">
        <x:is>
          <x:t xml:space="preserve">Rà soát khi chức năng đổi</x:t>
        </x:is>
      </x:c>
      <x:c r="F292" s="8" t="inlineStr">
        <x:is>
          <x:t xml:space="preserve">Sửa nguồn; tái tạo bản xuất; đọc lại và ghi bằng chứng</x:t>
        </x:is>
      </x:c>
    </x:row>
    <x:row r="293" ht="38" customHeight="1">
      <x:c r="A293" s="8" t="inlineStr">
        <x:is>
          <x:t xml:space="preserve">F15</x:t>
        </x:is>
      </x:c>
      <x:c r="B293" s="8" t="inlineStr">
        <x:is>
          <x:t xml:space="preserve">Khoản giữ treo / tài chính ngoại lệ</x:t>
        </x:is>
      </x:c>
      <x:c r="C293" s="8" t="inlineStr">
        <x:is>
          <x:t xml:space="preserve">DOC-028</x:t>
        </x:is>
      </x:c>
      <x:c r="D293" s="8" t="inlineStr">
        <x:is>
          <x:t xml:space="preserve">Q02: pending đợt này; bắt buộc trước tiền thật</x:t>
        </x:is>
      </x:c>
      <x:c r="E293" s="8" t="inlineStr">
        <x:is>
          <x:t xml:space="preserve">Rà soát khi chức năng đổi</x:t>
        </x:is>
      </x:c>
      <x:c r="F293" s="8" t="inlineStr">
        <x:is>
          <x:t xml:space="preserve">Sửa nguồn; tái tạo bản xuất; đọc lại và ghi bằng chứng</x:t>
        </x:is>
      </x:c>
    </x:row>
    <x:row r="294" ht="38" customHeight="1">
      <x:c r="A294" s="8" t="inlineStr">
        <x:is>
          <x:t xml:space="preserve">F15</x:t>
        </x:is>
      </x:c>
      <x:c r="B294" s="8" t="inlineStr">
        <x:is>
          <x:t xml:space="preserve">Khoản giữ treo / tài chính ngoại lệ</x:t>
        </x:is>
      </x:c>
      <x:c r="C294" s="8" t="inlineStr">
        <x:is>
          <x:t xml:space="preserve">DOC-029</x:t>
        </x:is>
      </x:c>
      <x:c r="D294" s="8" t="inlineStr">
        <x:is>
          <x:t xml:space="preserve">Q02: pending đợt này; bắt buộc trước tiền thật</x:t>
        </x:is>
      </x:c>
      <x:c r="E294" s="8" t="inlineStr">
        <x:is>
          <x:t xml:space="preserve">Rà soát khi chức năng đổi</x:t>
        </x:is>
      </x:c>
      <x:c r="F294" s="8" t="inlineStr">
        <x:is>
          <x:t xml:space="preserve">Sửa nguồn; tái tạo bản xuất; đọc lại và ghi bằng chứng</x:t>
        </x:is>
      </x:c>
    </x:row>
    <x:row r="295" ht="38" customHeight="1">
      <x:c r="A295" s="8" t="inlineStr">
        <x:is>
          <x:t xml:space="preserve">F15</x:t>
        </x:is>
      </x:c>
      <x:c r="B295" s="8" t="inlineStr">
        <x:is>
          <x:t xml:space="preserve">Khoản giữ treo / tài chính ngoại lệ</x:t>
        </x:is>
      </x:c>
      <x:c r="C295" s="8" t="inlineStr">
        <x:is>
          <x:t xml:space="preserve">DOC-030</x:t>
        </x:is>
      </x:c>
      <x:c r="D295" s="8" t="inlineStr">
        <x:is>
          <x:t xml:space="preserve">Q02: pending đợt này; bắt buộc trước tiền thật</x:t>
        </x:is>
      </x:c>
      <x:c r="E295" s="8" t="inlineStr">
        <x:is>
          <x:t xml:space="preserve">Rà soát khi chức năng đổi</x:t>
        </x:is>
      </x:c>
      <x:c r="F295" s="8" t="inlineStr">
        <x:is>
          <x:t xml:space="preserve">Sửa nguồn; tái tạo bản xuất; đọc lại và ghi bằng chứng</x:t>
        </x:is>
      </x:c>
    </x:row>
    <x:row r="296" ht="38" customHeight="1">
      <x:c r="A296" s="8" t="inlineStr">
        <x:is>
          <x:t xml:space="preserve">F15</x:t>
        </x:is>
      </x:c>
      <x:c r="B296" s="8" t="inlineStr">
        <x:is>
          <x:t xml:space="preserve">Khoản giữ treo / tài chính ngoại lệ</x:t>
        </x:is>
      </x:c>
      <x:c r="C296" s="8" t="inlineStr">
        <x:is>
          <x:t xml:space="preserve">DOC-031</x:t>
        </x:is>
      </x:c>
      <x:c r="D296" s="8" t="inlineStr">
        <x:is>
          <x:t xml:space="preserve">Q02: pending đợt này; bắt buộc trước tiền thật</x:t>
        </x:is>
      </x:c>
      <x:c r="E296" s="8" t="inlineStr">
        <x:is>
          <x:t xml:space="preserve">Rà soát khi chức năng đổi</x:t>
        </x:is>
      </x:c>
      <x:c r="F296" s="8" t="inlineStr">
        <x:is>
          <x:t xml:space="preserve">Sửa nguồn; tái tạo bản xuất; đọc lại và ghi bằng chứng</x:t>
        </x:is>
      </x:c>
    </x:row>
    <x:row r="297" ht="38" customHeight="1">
      <x:c r="A297" s="8" t="inlineStr">
        <x:is>
          <x:t xml:space="preserve">F15</x:t>
        </x:is>
      </x:c>
      <x:c r="B297" s="8" t="inlineStr">
        <x:is>
          <x:t xml:space="preserve">Khoản giữ treo / tài chính ngoại lệ</x:t>
        </x:is>
      </x:c>
      <x:c r="C297" s="8" t="inlineStr">
        <x:is>
          <x:t xml:space="preserve">DOC-033</x:t>
        </x:is>
      </x:c>
      <x:c r="D297" s="8" t="inlineStr">
        <x:is>
          <x:t xml:space="preserve">Q02: pending đợt này; bắt buộc trước tiền thật</x:t>
        </x:is>
      </x:c>
      <x:c r="E297" s="8" t="inlineStr">
        <x:is>
          <x:t xml:space="preserve">Rà soát khi chức năng đổi</x:t>
        </x:is>
      </x:c>
      <x:c r="F297" s="8" t="inlineStr">
        <x:is>
          <x:t xml:space="preserve">Sửa nguồn; tái tạo bản xuất; đọc lại và ghi bằng chứng</x:t>
        </x:is>
      </x:c>
    </x:row>
    <x:row r="298" ht="38" customHeight="1">
      <x:c r="A298" s="8" t="inlineStr">
        <x:is>
          <x:t xml:space="preserve">F16</x:t>
        </x:is>
      </x:c>
      <x:c r="B298" s="8" t="inlineStr">
        <x:is>
          <x:t xml:space="preserve">Admin / kiểm duyệt / báo cáo / audit</x:t>
        </x:is>
      </x:c>
      <x:c r="C298" s="8" t="inlineStr">
        <x:is>
          <x:t xml:space="preserve">DOC-004</x:t>
        </x:is>
      </x:c>
      <x:c r="D298" s="8" t="inlineStr">
        <x:is>
          <x:t xml:space="preserve">Kiểm chứng quyền và dữ liệu, không đọc chat riêng</x:t>
        </x:is>
      </x:c>
      <x:c r="E298" s="8" t="inlineStr">
        <x:is>
          <x:t xml:space="preserve">Rà soát khi chức năng đổi</x:t>
        </x:is>
      </x:c>
      <x:c r="F298" s="8" t="inlineStr">
        <x:is>
          <x:t xml:space="preserve">Sửa nguồn; tái tạo bản xuất; đọc lại và ghi bằng chứng</x:t>
        </x:is>
      </x:c>
    </x:row>
    <x:row r="299" ht="38" customHeight="1">
      <x:c r="A299" s="8" t="inlineStr">
        <x:is>
          <x:t xml:space="preserve">F16</x:t>
        </x:is>
      </x:c>
      <x:c r="B299" s="8" t="inlineStr">
        <x:is>
          <x:t xml:space="preserve">Admin / kiểm duyệt / báo cáo / audit</x:t>
        </x:is>
      </x:c>
      <x:c r="C299" s="8" t="inlineStr">
        <x:is>
          <x:t xml:space="preserve">DOC-005</x:t>
        </x:is>
      </x:c>
      <x:c r="D299" s="8" t="inlineStr">
        <x:is>
          <x:t xml:space="preserve">Kiểm chứng quyền và dữ liệu, không đọc chat riêng</x:t>
        </x:is>
      </x:c>
      <x:c r="E299" s="8" t="inlineStr">
        <x:is>
          <x:t xml:space="preserve">Rà soát khi chức năng đổi</x:t>
        </x:is>
      </x:c>
      <x:c r="F299" s="8" t="inlineStr">
        <x:is>
          <x:t xml:space="preserve">Sửa nguồn; tái tạo bản xuất; đọc lại và ghi bằng chứng</x:t>
        </x:is>
      </x:c>
    </x:row>
    <x:row r="300" ht="38" customHeight="1">
      <x:c r="A300" s="8" t="inlineStr">
        <x:is>
          <x:t xml:space="preserve">F16</x:t>
        </x:is>
      </x:c>
      <x:c r="B300" s="8" t="inlineStr">
        <x:is>
          <x:t xml:space="preserve">Admin / kiểm duyệt / báo cáo / audit</x:t>
        </x:is>
      </x:c>
      <x:c r="C300" s="8" t="inlineStr">
        <x:is>
          <x:t xml:space="preserve">DOC-006</x:t>
        </x:is>
      </x:c>
      <x:c r="D300" s="8" t="inlineStr">
        <x:is>
          <x:t xml:space="preserve">Kiểm chứng quyền và dữ liệu, không đọc chat riêng</x:t>
        </x:is>
      </x:c>
      <x:c r="E300" s="8" t="inlineStr">
        <x:is>
          <x:t xml:space="preserve">Rà soát khi chức năng đổi</x:t>
        </x:is>
      </x:c>
      <x:c r="F300" s="8" t="inlineStr">
        <x:is>
          <x:t xml:space="preserve">Sửa nguồn; tái tạo bản xuất; đọc lại và ghi bằng chứng</x:t>
        </x:is>
      </x:c>
    </x:row>
    <x:row r="301" ht="38" customHeight="1">
      <x:c r="A301" s="8" t="inlineStr">
        <x:is>
          <x:t xml:space="preserve">F16</x:t>
        </x:is>
      </x:c>
      <x:c r="B301" s="8" t="inlineStr">
        <x:is>
          <x:t xml:space="preserve">Admin / kiểm duyệt / báo cáo / audit</x:t>
        </x:is>
      </x:c>
      <x:c r="C301" s="8" t="inlineStr">
        <x:is>
          <x:t xml:space="preserve">DOC-007</x:t>
        </x:is>
      </x:c>
      <x:c r="D301" s="8" t="inlineStr">
        <x:is>
          <x:t xml:space="preserve">Kiểm chứng quyền và dữ liệu, không đọc chat riêng</x:t>
        </x:is>
      </x:c>
      <x:c r="E301" s="8" t="inlineStr">
        <x:is>
          <x:t xml:space="preserve">Rà soát khi chức năng đổi</x:t>
        </x:is>
      </x:c>
      <x:c r="F301" s="8" t="inlineStr">
        <x:is>
          <x:t xml:space="preserve">Sửa nguồn; tái tạo bản xuất; đọc lại và ghi bằng chứng</x:t>
        </x:is>
      </x:c>
    </x:row>
    <x:row r="302" ht="38" customHeight="1">
      <x:c r="A302" s="8" t="inlineStr">
        <x:is>
          <x:t xml:space="preserve">F16</x:t>
        </x:is>
      </x:c>
      <x:c r="B302" s="8" t="inlineStr">
        <x:is>
          <x:t xml:space="preserve">Admin / kiểm duyệt / báo cáo / audit</x:t>
        </x:is>
      </x:c>
      <x:c r="C302" s="8" t="inlineStr">
        <x:is>
          <x:t xml:space="preserve">DOC-008</x:t>
        </x:is>
      </x:c>
      <x:c r="D302" s="8" t="inlineStr">
        <x:is>
          <x:t xml:space="preserve">Kiểm chứng quyền và dữ liệu, không đọc chat riêng</x:t>
        </x:is>
      </x:c>
      <x:c r="E302" s="8" t="inlineStr">
        <x:is>
          <x:t xml:space="preserve">Rà soát khi chức năng đổi</x:t>
        </x:is>
      </x:c>
      <x:c r="F302" s="8" t="inlineStr">
        <x:is>
          <x:t xml:space="preserve">Sửa nguồn; tái tạo bản xuất; đọc lại và ghi bằng chứng</x:t>
        </x:is>
      </x:c>
    </x:row>
    <x:row r="303" ht="38" customHeight="1">
      <x:c r="A303" s="8" t="inlineStr">
        <x:is>
          <x:t xml:space="preserve">F16</x:t>
        </x:is>
      </x:c>
      <x:c r="B303" s="8" t="inlineStr">
        <x:is>
          <x:t xml:space="preserve">Admin / kiểm duyệt / báo cáo / audit</x:t>
        </x:is>
      </x:c>
      <x:c r="C303" s="8" t="inlineStr">
        <x:is>
          <x:t xml:space="preserve">DOC-012</x:t>
        </x:is>
      </x:c>
      <x:c r="D303" s="8" t="inlineStr">
        <x:is>
          <x:t xml:space="preserve">Kiểm chứng quyền và dữ liệu, không đọc chat riêng</x:t>
        </x:is>
      </x:c>
      <x:c r="E303" s="8" t="inlineStr">
        <x:is>
          <x:t xml:space="preserve">Rà soát khi chức năng đổi</x:t>
        </x:is>
      </x:c>
      <x:c r="F303" s="8" t="inlineStr">
        <x:is>
          <x:t xml:space="preserve">Sửa nguồn; tái tạo bản xuất; đọc lại và ghi bằng chứng</x:t>
        </x:is>
      </x:c>
    </x:row>
    <x:row r="304" ht="38" customHeight="1">
      <x:c r="A304" s="8" t="inlineStr">
        <x:is>
          <x:t xml:space="preserve">F16</x:t>
        </x:is>
      </x:c>
      <x:c r="B304" s="8" t="inlineStr">
        <x:is>
          <x:t xml:space="preserve">Admin / kiểm duyệt / báo cáo / audit</x:t>
        </x:is>
      </x:c>
      <x:c r="C304" s="8" t="inlineStr">
        <x:is>
          <x:t xml:space="preserve">DOC-013</x:t>
        </x:is>
      </x:c>
      <x:c r="D304" s="8" t="inlineStr">
        <x:is>
          <x:t xml:space="preserve">Kiểm chứng quyền và dữ liệu, không đọc chat riêng</x:t>
        </x:is>
      </x:c>
      <x:c r="E304" s="8" t="inlineStr">
        <x:is>
          <x:t xml:space="preserve">Rà soát khi chức năng đổi</x:t>
        </x:is>
      </x:c>
      <x:c r="F304" s="8" t="inlineStr">
        <x:is>
          <x:t xml:space="preserve">Sửa nguồn; tái tạo bản xuất; đọc lại và ghi bằng chứng</x:t>
        </x:is>
      </x:c>
    </x:row>
    <x:row r="305" ht="38" customHeight="1">
      <x:c r="A305" s="8" t="inlineStr">
        <x:is>
          <x:t xml:space="preserve">F16</x:t>
        </x:is>
      </x:c>
      <x:c r="B305" s="8" t="inlineStr">
        <x:is>
          <x:t xml:space="preserve">Admin / kiểm duyệt / báo cáo / audit</x:t>
        </x:is>
      </x:c>
      <x:c r="C305" s="8" t="inlineStr">
        <x:is>
          <x:t xml:space="preserve">DOC-015</x:t>
        </x:is>
      </x:c>
      <x:c r="D305" s="8" t="inlineStr">
        <x:is>
          <x:t xml:space="preserve">Kiểm chứng quyền và dữ liệu, không đọc chat riêng</x:t>
        </x:is>
      </x:c>
      <x:c r="E305" s="8" t="inlineStr">
        <x:is>
          <x:t xml:space="preserve">Rà soát khi chức năng đổi</x:t>
        </x:is>
      </x:c>
      <x:c r="F305" s="8" t="inlineStr">
        <x:is>
          <x:t xml:space="preserve">Sửa nguồn; tái tạo bản xuất; đọc lại và ghi bằng chứng</x:t>
        </x:is>
      </x:c>
    </x:row>
    <x:row r="306" ht="38" customHeight="1">
      <x:c r="A306" s="8" t="inlineStr">
        <x:is>
          <x:t xml:space="preserve">F16</x:t>
        </x:is>
      </x:c>
      <x:c r="B306" s="8" t="inlineStr">
        <x:is>
          <x:t xml:space="preserve">Admin / kiểm duyệt / báo cáo / audit</x:t>
        </x:is>
      </x:c>
      <x:c r="C306" s="8" t="inlineStr">
        <x:is>
          <x:t xml:space="preserve">DOC-016</x:t>
        </x:is>
      </x:c>
      <x:c r="D306" s="8" t="inlineStr">
        <x:is>
          <x:t xml:space="preserve">Kiểm chứng quyền và dữ liệu, không đọc chat riêng</x:t>
        </x:is>
      </x:c>
      <x:c r="E306" s="8" t="inlineStr">
        <x:is>
          <x:t xml:space="preserve">Rà soát khi chức năng đổi</x:t>
        </x:is>
      </x:c>
      <x:c r="F306" s="8" t="inlineStr">
        <x:is>
          <x:t xml:space="preserve">Sửa nguồn; tái tạo bản xuất; đọc lại và ghi bằng chứng</x:t>
        </x:is>
      </x:c>
    </x:row>
    <x:row r="307" ht="38" customHeight="1">
      <x:c r="A307" s="8" t="inlineStr">
        <x:is>
          <x:t xml:space="preserve">F16</x:t>
        </x:is>
      </x:c>
      <x:c r="B307" s="8" t="inlineStr">
        <x:is>
          <x:t xml:space="preserve">Admin / kiểm duyệt / báo cáo / audit</x:t>
        </x:is>
      </x:c>
      <x:c r="C307" s="8" t="inlineStr">
        <x:is>
          <x:t xml:space="preserve">DOC-017</x:t>
        </x:is>
      </x:c>
      <x:c r="D307" s="8" t="inlineStr">
        <x:is>
          <x:t xml:space="preserve">Kiểm chứng quyền và dữ liệu, không đọc chat riêng</x:t>
        </x:is>
      </x:c>
      <x:c r="E307" s="8" t="inlineStr">
        <x:is>
          <x:t xml:space="preserve">Rà soát khi chức năng đổi</x:t>
        </x:is>
      </x:c>
      <x:c r="F307" s="8" t="inlineStr">
        <x:is>
          <x:t xml:space="preserve">Sửa nguồn; tái tạo bản xuất; đọc lại và ghi bằng chứng</x:t>
        </x:is>
      </x:c>
    </x:row>
    <x:row r="308" ht="38" customHeight="1">
      <x:c r="A308" s="8" t="inlineStr">
        <x:is>
          <x:t xml:space="preserve">F16</x:t>
        </x:is>
      </x:c>
      <x:c r="B308" s="8" t="inlineStr">
        <x:is>
          <x:t xml:space="preserve">Admin / kiểm duyệt / báo cáo / audit</x:t>
        </x:is>
      </x:c>
      <x:c r="C308" s="8" t="inlineStr">
        <x:is>
          <x:t xml:space="preserve">DOC-018</x:t>
        </x:is>
      </x:c>
      <x:c r="D308" s="8" t="inlineStr">
        <x:is>
          <x:t xml:space="preserve">Kiểm chứng quyền và dữ liệu, không đọc chat riêng</x:t>
        </x:is>
      </x:c>
      <x:c r="E308" s="8" t="inlineStr">
        <x:is>
          <x:t xml:space="preserve">Rà soát khi chức năng đổi</x:t>
        </x:is>
      </x:c>
      <x:c r="F308" s="8" t="inlineStr">
        <x:is>
          <x:t xml:space="preserve">Sửa nguồn; tái tạo bản xuất; đọc lại và ghi bằng chứng</x:t>
        </x:is>
      </x:c>
    </x:row>
    <x:row r="309" ht="38" customHeight="1">
      <x:c r="A309" s="8" t="inlineStr">
        <x:is>
          <x:t xml:space="preserve">F16</x:t>
        </x:is>
      </x:c>
      <x:c r="B309" s="8" t="inlineStr">
        <x:is>
          <x:t xml:space="preserve">Admin / kiểm duyệt / báo cáo / audit</x:t>
        </x:is>
      </x:c>
      <x:c r="C309" s="8" t="inlineStr">
        <x:is>
          <x:t xml:space="preserve">DOC-025</x:t>
        </x:is>
      </x:c>
      <x:c r="D309" s="8" t="inlineStr">
        <x:is>
          <x:t xml:space="preserve">Kiểm chứng quyền và dữ liệu, không đọc chat riêng</x:t>
        </x:is>
      </x:c>
      <x:c r="E309" s="8" t="inlineStr">
        <x:is>
          <x:t xml:space="preserve">Rà soát khi chức năng đổi</x:t>
        </x:is>
      </x:c>
      <x:c r="F309" s="8" t="inlineStr">
        <x:is>
          <x:t xml:space="preserve">Sửa nguồn; tái tạo bản xuất; đọc lại và ghi bằng chứng</x:t>
        </x:is>
      </x:c>
    </x:row>
    <x:row r="310" ht="38" customHeight="1">
      <x:c r="A310" s="8" t="inlineStr">
        <x:is>
          <x:t xml:space="preserve">F16</x:t>
        </x:is>
      </x:c>
      <x:c r="B310" s="8" t="inlineStr">
        <x:is>
          <x:t xml:space="preserve">Admin / kiểm duyệt / báo cáo / audit</x:t>
        </x:is>
      </x:c>
      <x:c r="C310" s="8" t="inlineStr">
        <x:is>
          <x:t xml:space="preserve">DOC-026</x:t>
        </x:is>
      </x:c>
      <x:c r="D310" s="8" t="inlineStr">
        <x:is>
          <x:t xml:space="preserve">Kiểm chứng quyền và dữ liệu, không đọc chat riêng</x:t>
        </x:is>
      </x:c>
      <x:c r="E310" s="8" t="inlineStr">
        <x:is>
          <x:t xml:space="preserve">Rà soát khi chức năng đổi</x:t>
        </x:is>
      </x:c>
      <x:c r="F310" s="8" t="inlineStr">
        <x:is>
          <x:t xml:space="preserve">Sửa nguồn; tái tạo bản xuất; đọc lại và ghi bằng chứng</x:t>
        </x:is>
      </x:c>
    </x:row>
    <x:row r="311" ht="38" customHeight="1">
      <x:c r="A311" s="8" t="inlineStr">
        <x:is>
          <x:t xml:space="preserve">F16</x:t>
        </x:is>
      </x:c>
      <x:c r="B311" s="8" t="inlineStr">
        <x:is>
          <x:t xml:space="preserve">Admin / kiểm duyệt / báo cáo / audit</x:t>
        </x:is>
      </x:c>
      <x:c r="C311" s="8" t="inlineStr">
        <x:is>
          <x:t xml:space="preserve">DOC-027</x:t>
        </x:is>
      </x:c>
      <x:c r="D311" s="8" t="inlineStr">
        <x:is>
          <x:t xml:space="preserve">Kiểm chứng quyền và dữ liệu, không đọc chat riêng</x:t>
        </x:is>
      </x:c>
      <x:c r="E311" s="8" t="inlineStr">
        <x:is>
          <x:t xml:space="preserve">Rà soát khi chức năng đổi</x:t>
        </x:is>
      </x:c>
      <x:c r="F311" s="8" t="inlineStr">
        <x:is>
          <x:t xml:space="preserve">Sửa nguồn; tái tạo bản xuất; đọc lại và ghi bằng chứng</x:t>
        </x:is>
      </x:c>
    </x:row>
    <x:row r="312" ht="38" customHeight="1">
      <x:c r="A312" s="8" t="inlineStr">
        <x:is>
          <x:t xml:space="preserve">F16</x:t>
        </x:is>
      </x:c>
      <x:c r="B312" s="8" t="inlineStr">
        <x:is>
          <x:t xml:space="preserve">Admin / kiểm duyệt / báo cáo / audit</x:t>
        </x:is>
      </x:c>
      <x:c r="C312" s="8" t="inlineStr">
        <x:is>
          <x:t xml:space="preserve">DOC-028</x:t>
        </x:is>
      </x:c>
      <x:c r="D312" s="8" t="inlineStr">
        <x:is>
          <x:t xml:space="preserve">Kiểm chứng quyền và dữ liệu, không đọc chat riêng</x:t>
        </x:is>
      </x:c>
      <x:c r="E312" s="8" t="inlineStr">
        <x:is>
          <x:t xml:space="preserve">Rà soát khi chức năng đổi</x:t>
        </x:is>
      </x:c>
      <x:c r="F312" s="8" t="inlineStr">
        <x:is>
          <x:t xml:space="preserve">Sửa nguồn; tái tạo bản xuất; đọc lại và ghi bằng chứng</x:t>
        </x:is>
      </x:c>
    </x:row>
    <x:row r="313" ht="38" customHeight="1">
      <x:c r="A313" s="8" t="inlineStr">
        <x:is>
          <x:t xml:space="preserve">F16</x:t>
        </x:is>
      </x:c>
      <x:c r="B313" s="8" t="inlineStr">
        <x:is>
          <x:t xml:space="preserve">Admin / kiểm duyệt / báo cáo / audit</x:t>
        </x:is>
      </x:c>
      <x:c r="C313" s="8" t="inlineStr">
        <x:is>
          <x:t xml:space="preserve">DOC-029</x:t>
        </x:is>
      </x:c>
      <x:c r="D313" s="8" t="inlineStr">
        <x:is>
          <x:t xml:space="preserve">Kiểm chứng quyền và dữ liệu, không đọc chat riêng</x:t>
        </x:is>
      </x:c>
      <x:c r="E313" s="8" t="inlineStr">
        <x:is>
          <x:t xml:space="preserve">Rà soát khi chức năng đổi</x:t>
        </x:is>
      </x:c>
      <x:c r="F313" s="8" t="inlineStr">
        <x:is>
          <x:t xml:space="preserve">Sửa nguồn; tái tạo bản xuất; đọc lại và ghi bằng chứng</x:t>
        </x:is>
      </x:c>
    </x:row>
    <x:row r="314" ht="38" customHeight="1">
      <x:c r="A314" s="8" t="inlineStr">
        <x:is>
          <x:t xml:space="preserve">F16</x:t>
        </x:is>
      </x:c>
      <x:c r="B314" s="8" t="inlineStr">
        <x:is>
          <x:t xml:space="preserve">Admin / kiểm duyệt / báo cáo / audit</x:t>
        </x:is>
      </x:c>
      <x:c r="C314" s="8" t="inlineStr">
        <x:is>
          <x:t xml:space="preserve">DOC-030</x:t>
        </x:is>
      </x:c>
      <x:c r="D314" s="8" t="inlineStr">
        <x:is>
          <x:t xml:space="preserve">Kiểm chứng quyền và dữ liệu, không đọc chat riêng</x:t>
        </x:is>
      </x:c>
      <x:c r="E314" s="8" t="inlineStr">
        <x:is>
          <x:t xml:space="preserve">Rà soát khi chức năng đổi</x:t>
        </x:is>
      </x:c>
      <x:c r="F314" s="8" t="inlineStr">
        <x:is>
          <x:t xml:space="preserve">Sửa nguồn; tái tạo bản xuất; đọc lại và ghi bằng chứng</x:t>
        </x:is>
      </x:c>
    </x:row>
    <x:row r="315" ht="38" customHeight="1">
      <x:c r="A315" s="8" t="inlineStr">
        <x:is>
          <x:t xml:space="preserve">F16</x:t>
        </x:is>
      </x:c>
      <x:c r="B315" s="8" t="inlineStr">
        <x:is>
          <x:t xml:space="preserve">Admin / kiểm duyệt / báo cáo / audit</x:t>
        </x:is>
      </x:c>
      <x:c r="C315" s="8" t="inlineStr">
        <x:is>
          <x:t xml:space="preserve">DOC-031</x:t>
        </x:is>
      </x:c>
      <x:c r="D315" s="8" t="inlineStr">
        <x:is>
          <x:t xml:space="preserve">Kiểm chứng quyền và dữ liệu, không đọc chat riêng</x:t>
        </x:is>
      </x:c>
      <x:c r="E315" s="8" t="inlineStr">
        <x:is>
          <x:t xml:space="preserve">Rà soát khi chức năng đổi</x:t>
        </x:is>
      </x:c>
      <x:c r="F315" s="8" t="inlineStr">
        <x:is>
          <x:t xml:space="preserve">Sửa nguồn; tái tạo bản xuất; đọc lại và ghi bằng chứng</x:t>
        </x:is>
      </x:c>
    </x:row>
    <x:row r="316" ht="38" customHeight="1">
      <x:c r="A316" s="8" t="inlineStr">
        <x:is>
          <x:t xml:space="preserve">F16</x:t>
        </x:is>
      </x:c>
      <x:c r="B316" s="8" t="inlineStr">
        <x:is>
          <x:t xml:space="preserve">Admin / kiểm duyệt / báo cáo / audit</x:t>
        </x:is>
      </x:c>
      <x:c r="C316" s="8" t="inlineStr">
        <x:is>
          <x:t xml:space="preserve">DOC-033</x:t>
        </x:is>
      </x:c>
      <x:c r="D316" s="8" t="inlineStr">
        <x:is>
          <x:t xml:space="preserve">Kiểm chứng quyền và dữ liệu, không đọc chat riêng</x:t>
        </x:is>
      </x:c>
      <x:c r="E316" s="8" t="inlineStr">
        <x:is>
          <x:t xml:space="preserve">Rà soát khi chức năng đổi</x:t>
        </x:is>
      </x:c>
      <x:c r="F316" s="8" t="inlineStr">
        <x:is>
          <x:t xml:space="preserve">Sửa nguồn; tái tạo bản xuất; đọc lại và ghi bằng chứng</x:t>
        </x:is>
      </x:c>
    </x:row>
    <x:row r="317" ht="38" customHeight="1">
      <x:c r="A317" s="8" t="inlineStr">
        <x:is>
          <x:t xml:space="preserve">F17</x:t>
        </x:is>
      </x:c>
      <x:c r="B317" s="8" t="inlineStr">
        <x:is>
          <x:t xml:space="preserve">App / web / ngôn ngữ</x:t>
        </x:is>
      </x:c>
      <x:c r="C317" s="8" t="inlineStr">
        <x:is>
          <x:t xml:space="preserve">DOC-004</x:t>
        </x:is>
      </x:c>
      <x:c r="D317" s="8" t="inlineStr">
        <x:is>
          <x:t xml:space="preserve">I18N-04: tên danh mục VI/EN/JA; tìm kiếm đa ngôn ngữ và locale tài khoản triển khai riêng.</x:t>
        </x:is>
      </x:c>
      <x:c r="E317" s="8" t="inlineStr">
        <x:is>
          <x:t xml:space="preserve">Rà soát khi chức năng đổi</x:t>
        </x:is>
      </x:c>
      <x:c r="F317" s="8" t="inlineStr">
        <x:is>
          <x:t xml:space="preserve">Sửa nguồn; tái tạo bản xuất; đọc lại và ghi bằng chứng</x:t>
        </x:is>
      </x:c>
    </x:row>
    <x:row r="318" ht="38" customHeight="1">
      <x:c r="A318" s="8" t="inlineStr">
        <x:is>
          <x:t xml:space="preserve">F17</x:t>
        </x:is>
      </x:c>
      <x:c r="B318" s="8" t="inlineStr">
        <x:is>
          <x:t xml:space="preserve">App / web / ngôn ngữ</x:t>
        </x:is>
      </x:c>
      <x:c r="C318" s="8" t="inlineStr">
        <x:is>
          <x:t xml:space="preserve">DOC-005</x:t>
        </x:is>
      </x:c>
      <x:c r="D318" s="8" t="inlineStr">
        <x:is>
          <x:t xml:space="preserve">I18N-04: tên danh mục VI/EN/JA; tìm kiếm đa ngôn ngữ và locale tài khoản triển khai riêng.</x:t>
        </x:is>
      </x:c>
      <x:c r="E318" s="8" t="inlineStr">
        <x:is>
          <x:t xml:space="preserve">Rà soát khi chức năng đổi</x:t>
        </x:is>
      </x:c>
      <x:c r="F318" s="8" t="inlineStr">
        <x:is>
          <x:t xml:space="preserve">Sửa nguồn; tái tạo bản xuất; đọc lại và ghi bằng chứng</x:t>
        </x:is>
      </x:c>
    </x:row>
    <x:row r="319" ht="38" customHeight="1">
      <x:c r="A319" s="8" t="inlineStr">
        <x:is>
          <x:t xml:space="preserve">F17</x:t>
        </x:is>
      </x:c>
      <x:c r="B319" s="8" t="inlineStr">
        <x:is>
          <x:t xml:space="preserve">App / web / ngôn ngữ</x:t>
        </x:is>
      </x:c>
      <x:c r="C319" s="8" t="inlineStr">
        <x:is>
          <x:t xml:space="preserve">DOC-006</x:t>
        </x:is>
      </x:c>
      <x:c r="D319" s="8" t="inlineStr">
        <x:is>
          <x:t xml:space="preserve">I18N-04: tên danh mục VI/EN/JA; tìm kiếm đa ngôn ngữ và locale tài khoản triển khai riêng.</x:t>
        </x:is>
      </x:c>
      <x:c r="E319" s="8" t="inlineStr">
        <x:is>
          <x:t xml:space="preserve">Rà soát khi chức năng đổi</x:t>
        </x:is>
      </x:c>
      <x:c r="F319" s="8" t="inlineStr">
        <x:is>
          <x:t xml:space="preserve">Sửa nguồn; tái tạo bản xuất; đọc lại và ghi bằng chứng</x:t>
        </x:is>
      </x:c>
    </x:row>
    <x:row r="320" ht="38" customHeight="1">
      <x:c r="A320" s="8" t="inlineStr">
        <x:is>
          <x:t xml:space="preserve">F17</x:t>
        </x:is>
      </x:c>
      <x:c r="B320" s="8" t="inlineStr">
        <x:is>
          <x:t xml:space="preserve">App / web / ngôn ngữ</x:t>
        </x:is>
      </x:c>
      <x:c r="C320" s="8" t="inlineStr">
        <x:is>
          <x:t xml:space="preserve">DOC-007</x:t>
        </x:is>
      </x:c>
      <x:c r="D320" s="8" t="inlineStr">
        <x:is>
          <x:t xml:space="preserve">I18N-04: tên danh mục VI/EN/JA; tìm kiếm đa ngôn ngữ và locale tài khoản triển khai riêng.</x:t>
        </x:is>
      </x:c>
      <x:c r="E320" s="8" t="inlineStr">
        <x:is>
          <x:t xml:space="preserve">Rà soát khi chức năng đổi</x:t>
        </x:is>
      </x:c>
      <x:c r="F320" s="8" t="inlineStr">
        <x:is>
          <x:t xml:space="preserve">Sửa nguồn; tái tạo bản xuất; đọc lại và ghi bằng chứng</x:t>
        </x:is>
      </x:c>
    </x:row>
    <x:row r="321" ht="38" customHeight="1">
      <x:c r="A321" s="8" t="inlineStr">
        <x:is>
          <x:t xml:space="preserve">F17</x:t>
        </x:is>
      </x:c>
      <x:c r="B321" s="8" t="inlineStr">
        <x:is>
          <x:t xml:space="preserve">App / web / ngôn ngữ</x:t>
        </x:is>
      </x:c>
      <x:c r="C321" s="8" t="inlineStr">
        <x:is>
          <x:t xml:space="preserve">DOC-008</x:t>
        </x:is>
      </x:c>
      <x:c r="D321" s="8" t="inlineStr">
        <x:is>
          <x:t xml:space="preserve">I18N-04: tên danh mục VI/EN/JA; tìm kiếm đa ngôn ngữ và locale tài khoản triển khai riêng.</x:t>
        </x:is>
      </x:c>
      <x:c r="E321" s="8" t="inlineStr">
        <x:is>
          <x:t xml:space="preserve">Rà soát khi chức năng đổi</x:t>
        </x:is>
      </x:c>
      <x:c r="F321" s="8" t="inlineStr">
        <x:is>
          <x:t xml:space="preserve">Sửa nguồn; tái tạo bản xuất; đọc lại và ghi bằng chứng</x:t>
        </x:is>
      </x:c>
    </x:row>
    <x:row r="322" ht="38" customHeight="1">
      <x:c r="A322" s="8" t="inlineStr">
        <x:is>
          <x:t xml:space="preserve">F17</x:t>
        </x:is>
      </x:c>
      <x:c r="B322" s="8" t="inlineStr">
        <x:is>
          <x:t xml:space="preserve">App / web / ngôn ngữ</x:t>
        </x:is>
      </x:c>
      <x:c r="C322" s="8" t="inlineStr">
        <x:is>
          <x:t xml:space="preserve">DOC-012</x:t>
        </x:is>
      </x:c>
      <x:c r="D322" s="8" t="inlineStr">
        <x:is>
          <x:t xml:space="preserve">I18N-04: tên danh mục VI/EN/JA; tìm kiếm đa ngôn ngữ và locale tài khoản triển khai riêng.</x:t>
        </x:is>
      </x:c>
      <x:c r="E322" s="8" t="inlineStr">
        <x:is>
          <x:t xml:space="preserve">Rà soát khi chức năng đổi</x:t>
        </x:is>
      </x:c>
      <x:c r="F322" s="8" t="inlineStr">
        <x:is>
          <x:t xml:space="preserve">Sửa nguồn; tái tạo bản xuất; đọc lại và ghi bằng chứng</x:t>
        </x:is>
      </x:c>
    </x:row>
    <x:row r="323" ht="38" customHeight="1">
      <x:c r="A323" s="8" t="inlineStr">
        <x:is>
          <x:t xml:space="preserve">F17</x:t>
        </x:is>
      </x:c>
      <x:c r="B323" s="8" t="inlineStr">
        <x:is>
          <x:t xml:space="preserve">App / web / ngôn ngữ</x:t>
        </x:is>
      </x:c>
      <x:c r="C323" s="8" t="inlineStr">
        <x:is>
          <x:t xml:space="preserve">DOC-013</x:t>
        </x:is>
      </x:c>
      <x:c r="D323" s="8" t="inlineStr">
        <x:is>
          <x:t xml:space="preserve">I18N-04: tên danh mục VI/EN/JA; tìm kiếm đa ngôn ngữ và locale tài khoản triển khai riêng.</x:t>
        </x:is>
      </x:c>
      <x:c r="E323" s="8" t="inlineStr">
        <x:is>
          <x:t xml:space="preserve">Rà soát khi chức năng đổi</x:t>
        </x:is>
      </x:c>
      <x:c r="F323" s="8" t="inlineStr">
        <x:is>
          <x:t xml:space="preserve">Sửa nguồn; tái tạo bản xuất; đọc lại và ghi bằng chứng</x:t>
        </x:is>
      </x:c>
    </x:row>
    <x:row r="324" ht="38" customHeight="1">
      <x:c r="A324" s="8" t="inlineStr">
        <x:is>
          <x:t xml:space="preserve">F17</x:t>
        </x:is>
      </x:c>
      <x:c r="B324" s="8" t="inlineStr">
        <x:is>
          <x:t xml:space="preserve">App / web / ngôn ngữ</x:t>
        </x:is>
      </x:c>
      <x:c r="C324" s="8" t="inlineStr">
        <x:is>
          <x:t xml:space="preserve">DOC-015</x:t>
        </x:is>
      </x:c>
      <x:c r="D324" s="8" t="inlineStr">
        <x:is>
          <x:t xml:space="preserve">I18N-04: tên danh mục VI/EN/JA; tìm kiếm đa ngôn ngữ và locale tài khoản triển khai riêng.</x:t>
        </x:is>
      </x:c>
      <x:c r="E324" s="8" t="inlineStr">
        <x:is>
          <x:t xml:space="preserve">Rà soát khi chức năng đổi</x:t>
        </x:is>
      </x:c>
      <x:c r="F324" s="8" t="inlineStr">
        <x:is>
          <x:t xml:space="preserve">Sửa nguồn; tái tạo bản xuất; đọc lại và ghi bằng chứng</x:t>
        </x:is>
      </x:c>
    </x:row>
    <x:row r="325" ht="38" customHeight="1">
      <x:c r="A325" s="8" t="inlineStr">
        <x:is>
          <x:t xml:space="preserve">F17</x:t>
        </x:is>
      </x:c>
      <x:c r="B325" s="8" t="inlineStr">
        <x:is>
          <x:t xml:space="preserve">App / web / ngôn ngữ</x:t>
        </x:is>
      </x:c>
      <x:c r="C325" s="8" t="inlineStr">
        <x:is>
          <x:t xml:space="preserve">DOC-002</x:t>
        </x:is>
      </x:c>
      <x:c r="D325" s="8" t="inlineStr">
        <x:is>
          <x:t xml:space="preserve">I18N-04: tên danh mục VI/EN/JA; tìm kiếm đa ngôn ngữ và locale tài khoản triển khai riêng.</x:t>
        </x:is>
      </x:c>
      <x:c r="E325" s="8" t="inlineStr">
        <x:is>
          <x:t xml:space="preserve">Rà soát khi chức năng đổi</x:t>
        </x:is>
      </x:c>
      <x:c r="F325" s="8" t="inlineStr">
        <x:is>
          <x:t xml:space="preserve">Sửa nguồn; tái tạo bản xuất; đọc lại và ghi bằng chứng</x:t>
        </x:is>
      </x:c>
    </x:row>
    <x:row r="326" ht="38" customHeight="1">
      <x:c r="A326" s="8" t="inlineStr">
        <x:is>
          <x:t xml:space="preserve">F17</x:t>
        </x:is>
      </x:c>
      <x:c r="B326" s="8" t="inlineStr">
        <x:is>
          <x:t xml:space="preserve">App / web / ngôn ngữ</x:t>
        </x:is>
      </x:c>
      <x:c r="C326" s="8" t="inlineStr">
        <x:is>
          <x:t xml:space="preserve">DOC-016</x:t>
        </x:is>
      </x:c>
      <x:c r="D326" s="8" t="inlineStr">
        <x:is>
          <x:t xml:space="preserve">I18N-04: tên danh mục VI/EN/JA; tìm kiếm đa ngôn ngữ và locale tài khoản triển khai riêng.</x:t>
        </x:is>
      </x:c>
      <x:c r="E326" s="8" t="inlineStr">
        <x:is>
          <x:t xml:space="preserve">Rà soát khi chức năng đổi</x:t>
        </x:is>
      </x:c>
      <x:c r="F326" s="8" t="inlineStr">
        <x:is>
          <x:t xml:space="preserve">Sửa nguồn; tái tạo bản xuất; đọc lại và ghi bằng chứng</x:t>
        </x:is>
      </x:c>
    </x:row>
    <x:row r="327" ht="38" customHeight="1">
      <x:c r="A327" s="8" t="inlineStr">
        <x:is>
          <x:t xml:space="preserve">F17</x:t>
        </x:is>
      </x:c>
      <x:c r="B327" s="8" t="inlineStr">
        <x:is>
          <x:t xml:space="preserve">App / web / ngôn ngữ</x:t>
        </x:is>
      </x:c>
      <x:c r="C327" s="8" t="inlineStr">
        <x:is>
          <x:t xml:space="preserve">DOC-017</x:t>
        </x:is>
      </x:c>
      <x:c r="D327" s="8" t="inlineStr">
        <x:is>
          <x:t xml:space="preserve">I18N-04: tên danh mục VI/EN/JA; tìm kiếm đa ngôn ngữ và locale tài khoản triển khai riêng.</x:t>
        </x:is>
      </x:c>
      <x:c r="E327" s="8" t="inlineStr">
        <x:is>
          <x:t xml:space="preserve">Rà soát khi chức năng đổi</x:t>
        </x:is>
      </x:c>
      <x:c r="F327" s="8" t="inlineStr">
        <x:is>
          <x:t xml:space="preserve">Sửa nguồn; tái tạo bản xuất; đọc lại và ghi bằng chứng</x:t>
        </x:is>
      </x:c>
    </x:row>
    <x:row r="328" ht="38" customHeight="1">
      <x:c r="A328" s="8" t="inlineStr">
        <x:is>
          <x:t xml:space="preserve">F17</x:t>
        </x:is>
      </x:c>
      <x:c r="B328" s="8" t="inlineStr">
        <x:is>
          <x:t xml:space="preserve">App / web / ngôn ngữ</x:t>
        </x:is>
      </x:c>
      <x:c r="C328" s="8" t="inlineStr">
        <x:is>
          <x:t xml:space="preserve">DOC-018</x:t>
        </x:is>
      </x:c>
      <x:c r="D328" s="8" t="inlineStr">
        <x:is>
          <x:t xml:space="preserve">I18N-04: tên danh mục VI/EN/JA; tìm kiếm đa ngôn ngữ và locale tài khoản triển khai riêng.</x:t>
        </x:is>
      </x:c>
      <x:c r="E328" s="8" t="inlineStr">
        <x:is>
          <x:t xml:space="preserve">Rà soát khi chức năng đổi</x:t>
        </x:is>
      </x:c>
      <x:c r="F328" s="8" t="inlineStr">
        <x:is>
          <x:t xml:space="preserve">Sửa nguồn; tái tạo bản xuất; đọc lại và ghi bằng chứng</x:t>
        </x:is>
      </x:c>
    </x:row>
    <x:row r="329" ht="38" customHeight="1">
      <x:c r="A329" s="8" t="inlineStr">
        <x:is>
          <x:t xml:space="preserve">F17</x:t>
        </x:is>
      </x:c>
      <x:c r="B329" s="8" t="inlineStr">
        <x:is>
          <x:t xml:space="preserve">App / web / ngôn ngữ</x:t>
        </x:is>
      </x:c>
      <x:c r="C329" s="8" t="inlineStr">
        <x:is>
          <x:t xml:space="preserve">DOC-025</x:t>
        </x:is>
      </x:c>
      <x:c r="D329" s="8" t="inlineStr">
        <x:is>
          <x:t xml:space="preserve">I18N-04: tên danh mục VI/EN/JA; tìm kiếm đa ngôn ngữ và locale tài khoản triển khai riêng.</x:t>
        </x:is>
      </x:c>
      <x:c r="E329" s="8" t="inlineStr">
        <x:is>
          <x:t xml:space="preserve">Rà soát khi chức năng đổi</x:t>
        </x:is>
      </x:c>
      <x:c r="F329" s="8" t="inlineStr">
        <x:is>
          <x:t xml:space="preserve">Sửa nguồn; tái tạo bản xuất; đọc lại và ghi bằng chứng</x:t>
        </x:is>
      </x:c>
    </x:row>
    <x:row r="330" ht="38" customHeight="1">
      <x:c r="A330" s="8" t="inlineStr">
        <x:is>
          <x:t xml:space="preserve">F17</x:t>
        </x:is>
      </x:c>
      <x:c r="B330" s="8" t="inlineStr">
        <x:is>
          <x:t xml:space="preserve">App / web / ngôn ngữ</x:t>
        </x:is>
      </x:c>
      <x:c r="C330" s="8" t="inlineStr">
        <x:is>
          <x:t xml:space="preserve">DOC-026</x:t>
        </x:is>
      </x:c>
      <x:c r="D330" s="8" t="inlineStr">
        <x:is>
          <x:t xml:space="preserve">I18N-04: tên danh mục VI/EN/JA; tìm kiếm đa ngôn ngữ và locale tài khoản triển khai riêng.</x:t>
        </x:is>
      </x:c>
      <x:c r="E330" s="8" t="inlineStr">
        <x:is>
          <x:t xml:space="preserve">Rà soát khi chức năng đổi</x:t>
        </x:is>
      </x:c>
      <x:c r="F330" s="8" t="inlineStr">
        <x:is>
          <x:t xml:space="preserve">Sửa nguồn; tái tạo bản xuất; đọc lại và ghi bằng chứng</x:t>
        </x:is>
      </x:c>
    </x:row>
    <x:row r="331" ht="38" customHeight="1">
      <x:c r="A331" s="8" t="inlineStr">
        <x:is>
          <x:t xml:space="preserve">F17</x:t>
        </x:is>
      </x:c>
      <x:c r="B331" s="8" t="inlineStr">
        <x:is>
          <x:t xml:space="preserve">App / web / ngôn ngữ</x:t>
        </x:is>
      </x:c>
      <x:c r="C331" s="8" t="inlineStr">
        <x:is>
          <x:t xml:space="preserve">DOC-027</x:t>
        </x:is>
      </x:c>
      <x:c r="D331" s="8" t="inlineStr">
        <x:is>
          <x:t xml:space="preserve">I18N-04: tên danh mục VI/EN/JA; tìm kiếm đa ngôn ngữ và locale tài khoản triển khai riêng.</x:t>
        </x:is>
      </x:c>
      <x:c r="E331" s="8" t="inlineStr">
        <x:is>
          <x:t xml:space="preserve">Rà soát khi chức năng đổi</x:t>
        </x:is>
      </x:c>
      <x:c r="F331" s="8" t="inlineStr">
        <x:is>
          <x:t xml:space="preserve">Sửa nguồn; tái tạo bản xuất; đọc lại và ghi bằng chứng</x:t>
        </x:is>
      </x:c>
    </x:row>
    <x:row r="332" ht="38" customHeight="1">
      <x:c r="A332" s="8" t="inlineStr">
        <x:is>
          <x:t xml:space="preserve">F17</x:t>
        </x:is>
      </x:c>
      <x:c r="B332" s="8" t="inlineStr">
        <x:is>
          <x:t xml:space="preserve">App / web / ngôn ngữ</x:t>
        </x:is>
      </x:c>
      <x:c r="C332" s="8" t="inlineStr">
        <x:is>
          <x:t xml:space="preserve">DOC-028</x:t>
        </x:is>
      </x:c>
      <x:c r="D332" s="8" t="inlineStr">
        <x:is>
          <x:t xml:space="preserve">I18N-04: tên danh mục VI/EN/JA; tìm kiếm đa ngôn ngữ và locale tài khoản triển khai riêng.</x:t>
        </x:is>
      </x:c>
      <x:c r="E332" s="8" t="inlineStr">
        <x:is>
          <x:t xml:space="preserve">Rà soát khi chức năng đổi</x:t>
        </x:is>
      </x:c>
      <x:c r="F332" s="8" t="inlineStr">
        <x:is>
          <x:t xml:space="preserve">Sửa nguồn; tái tạo bản xuất; đọc lại và ghi bằng chứng</x:t>
        </x:is>
      </x:c>
    </x:row>
    <x:row r="333" ht="38" customHeight="1">
      <x:c r="A333" s="8" t="inlineStr">
        <x:is>
          <x:t xml:space="preserve">F17</x:t>
        </x:is>
      </x:c>
      <x:c r="B333" s="8" t="inlineStr">
        <x:is>
          <x:t xml:space="preserve">App / web / ngôn ngữ</x:t>
        </x:is>
      </x:c>
      <x:c r="C333" s="8" t="inlineStr">
        <x:is>
          <x:t xml:space="preserve">DOC-029</x:t>
        </x:is>
      </x:c>
      <x:c r="D333" s="8" t="inlineStr">
        <x:is>
          <x:t xml:space="preserve">I18N-04: tên danh mục VI/EN/JA; tìm kiếm đa ngôn ngữ và locale tài khoản triển khai riêng.</x:t>
        </x:is>
      </x:c>
      <x:c r="E333" s="8" t="inlineStr">
        <x:is>
          <x:t xml:space="preserve">Rà soát khi chức năng đổi</x:t>
        </x:is>
      </x:c>
      <x:c r="F333" s="8" t="inlineStr">
        <x:is>
          <x:t xml:space="preserve">Sửa nguồn; tái tạo bản xuất; đọc lại và ghi bằng chứng</x:t>
        </x:is>
      </x:c>
    </x:row>
    <x:row r="334" ht="38" customHeight="1">
      <x:c r="A334" s="8" t="inlineStr">
        <x:is>
          <x:t xml:space="preserve">F17</x:t>
        </x:is>
      </x:c>
      <x:c r="B334" s="8" t="inlineStr">
        <x:is>
          <x:t xml:space="preserve">App / web / ngôn ngữ</x:t>
        </x:is>
      </x:c>
      <x:c r="C334" s="8" t="inlineStr">
        <x:is>
          <x:t xml:space="preserve">DOC-030</x:t>
        </x:is>
      </x:c>
      <x:c r="D334" s="8" t="inlineStr">
        <x:is>
          <x:t xml:space="preserve">I18N-04: tên danh mục VI/EN/JA; tìm kiếm đa ngôn ngữ và locale tài khoản triển khai riêng.</x:t>
        </x:is>
      </x:c>
      <x:c r="E334" s="8" t="inlineStr">
        <x:is>
          <x:t xml:space="preserve">Rà soát khi chức năng đổi</x:t>
        </x:is>
      </x:c>
      <x:c r="F334" s="8" t="inlineStr">
        <x:is>
          <x:t xml:space="preserve">Sửa nguồn; tái tạo bản xuất; đọc lại và ghi bằng chứng</x:t>
        </x:is>
      </x:c>
    </x:row>
    <x:row r="335" ht="38" customHeight="1">
      <x:c r="A335" s="8" t="inlineStr">
        <x:is>
          <x:t xml:space="preserve">F17</x:t>
        </x:is>
      </x:c>
      <x:c r="B335" s="8" t="inlineStr">
        <x:is>
          <x:t xml:space="preserve">App / web / ngôn ngữ</x:t>
        </x:is>
      </x:c>
      <x:c r="C335" s="8" t="inlineStr">
        <x:is>
          <x:t xml:space="preserve">DOC-031</x:t>
        </x:is>
      </x:c>
      <x:c r="D335" s="8" t="inlineStr">
        <x:is>
          <x:t xml:space="preserve">I18N-04: tên danh mục VI/EN/JA; tìm kiếm đa ngôn ngữ và locale tài khoản triển khai riêng.</x:t>
        </x:is>
      </x:c>
      <x:c r="E335" s="8" t="inlineStr">
        <x:is>
          <x:t xml:space="preserve">Rà soát khi chức năng đổi</x:t>
        </x:is>
      </x:c>
      <x:c r="F335" s="8" t="inlineStr">
        <x:is>
          <x:t xml:space="preserve">Sửa nguồn; tái tạo bản xuất; đọc lại và ghi bằng chứng</x:t>
        </x:is>
      </x:c>
    </x:row>
    <x:row r="336" ht="38" customHeight="1">
      <x:c r="A336" s="8" t="inlineStr">
        <x:is>
          <x:t xml:space="preserve">F17</x:t>
        </x:is>
      </x:c>
      <x:c r="B336" s="8" t="inlineStr">
        <x:is>
          <x:t xml:space="preserve">App / web / ngôn ngữ</x:t>
        </x:is>
      </x:c>
      <x:c r="C336" s="8" t="inlineStr">
        <x:is>
          <x:t xml:space="preserve">DOC-033</x:t>
        </x:is>
      </x:c>
      <x:c r="D336" s="8" t="inlineStr">
        <x:is>
          <x:t xml:space="preserve">I18N-04: tên danh mục VI/EN/JA; tìm kiếm đa ngôn ngữ và locale tài khoản triển khai riêng.</x:t>
        </x:is>
      </x:c>
      <x:c r="E336" s="8" t="inlineStr">
        <x:is>
          <x:t xml:space="preserve">Rà soát khi chức năng đổi</x:t>
        </x:is>
      </x:c>
      <x:c r="F336" s="8" t="inlineStr">
        <x:is>
          <x:t xml:space="preserve">Sửa nguồn; tái tạo bản xuất; đọc lại và ghi bằng chứng</x:t>
        </x:is>
      </x:c>
    </x:row>
    <x:row r="337" ht="38" customHeight="1">
      <x:c r="A337" s="8" t="inlineStr">
        <x:is>
          <x:t xml:space="preserve">F18</x:t>
        </x:is>
      </x:c>
      <x:c r="B337" s="8" t="inlineStr">
        <x:is>
          <x:t xml:space="preserve">Kiến trúc / ERD / API / test / deploy</x:t>
        </x:is>
      </x:c>
      <x:c r="C337" s="8" t="inlineStr">
        <x:is>
          <x:t xml:space="preserve">DOC-001</x:t>
        </x:is>
      </x:c>
      <x:c r="D337" s="8" t="inlineStr">
        <x:is>
          <x:t xml:space="preserve">Q03 chưa chốt; Q04 chưa có ngân sách</x:t>
        </x:is>
      </x:c>
      <x:c r="E337" s="8" t="inlineStr">
        <x:is>
          <x:t xml:space="preserve">Rà soát khi chức năng đổi</x:t>
        </x:is>
      </x:c>
      <x:c r="F337" s="8" t="inlineStr">
        <x:is>
          <x:t xml:space="preserve">Sửa nguồn; tái tạo bản xuất; đọc lại và ghi bằng chứng</x:t>
        </x:is>
      </x:c>
    </x:row>
    <x:row r="338" ht="38" customHeight="1">
      <x:c r="A338" s="8" t="inlineStr">
        <x:is>
          <x:t xml:space="preserve">F18</x:t>
        </x:is>
      </x:c>
      <x:c r="B338" s="8" t="inlineStr">
        <x:is>
          <x:t xml:space="preserve">Kiến trúc / ERD / API / test / deploy</x:t>
        </x:is>
      </x:c>
      <x:c r="C338" s="8" t="inlineStr">
        <x:is>
          <x:t xml:space="preserve">DOC-004</x:t>
        </x:is>
      </x:c>
      <x:c r="D338" s="8" t="inlineStr">
        <x:is>
          <x:t xml:space="preserve">Q03 chưa chốt; Q04 chưa có ngân sách</x:t>
        </x:is>
      </x:c>
      <x:c r="E338" s="8" t="inlineStr">
        <x:is>
          <x:t xml:space="preserve">Rà soát khi chức năng đổi</x:t>
        </x:is>
      </x:c>
      <x:c r="F338" s="8" t="inlineStr">
        <x:is>
          <x:t xml:space="preserve">Sửa nguồn; tái tạo bản xuất; đọc lại và ghi bằng chứng</x:t>
        </x:is>
      </x:c>
    </x:row>
    <x:row r="339" ht="38" customHeight="1">
      <x:c r="A339" s="8" t="inlineStr">
        <x:is>
          <x:t xml:space="preserve">F18</x:t>
        </x:is>
      </x:c>
      <x:c r="B339" s="8" t="inlineStr">
        <x:is>
          <x:t xml:space="preserve">Kiến trúc / ERD / API / test / deploy</x:t>
        </x:is>
      </x:c>
      <x:c r="C339" s="8" t="inlineStr">
        <x:is>
          <x:t xml:space="preserve">DOC-016</x:t>
        </x:is>
      </x:c>
      <x:c r="D339" s="8" t="inlineStr">
        <x:is>
          <x:t xml:space="preserve">Q03 chưa chốt; Q04 chưa có ngân sách</x:t>
        </x:is>
      </x:c>
      <x:c r="E339" s="8" t="inlineStr">
        <x:is>
          <x:t xml:space="preserve">Rà soát khi chức năng đổi</x:t>
        </x:is>
      </x:c>
      <x:c r="F339" s="8" t="inlineStr">
        <x:is>
          <x:t xml:space="preserve">Sửa nguồn; tái tạo bản xuất; đọc lại và ghi bằng chứng</x:t>
        </x:is>
      </x:c>
    </x:row>
    <x:row r="340" ht="38" customHeight="1">
      <x:c r="A340" s="8" t="inlineStr">
        <x:is>
          <x:t xml:space="preserve">F18</x:t>
        </x:is>
      </x:c>
      <x:c r="B340" s="8" t="inlineStr">
        <x:is>
          <x:t xml:space="preserve">Kiến trúc / ERD / API / test / deploy</x:t>
        </x:is>
      </x:c>
      <x:c r="C340" s="8" t="inlineStr">
        <x:is>
          <x:t xml:space="preserve">DOC-017</x:t>
        </x:is>
      </x:c>
      <x:c r="D340" s="8" t="inlineStr">
        <x:is>
          <x:t xml:space="preserve">Q03 chưa chốt; Q04 chưa có ngân sách</x:t>
        </x:is>
      </x:c>
      <x:c r="E340" s="8" t="inlineStr">
        <x:is>
          <x:t xml:space="preserve">Rà soát khi chức năng đổi</x:t>
        </x:is>
      </x:c>
      <x:c r="F340" s="8" t="inlineStr">
        <x:is>
          <x:t xml:space="preserve">Sửa nguồn; tái tạo bản xuất; đọc lại và ghi bằng chứng</x:t>
        </x:is>
      </x:c>
    </x:row>
    <x:row r="341" ht="38" customHeight="1">
      <x:c r="A341" s="8" t="inlineStr">
        <x:is>
          <x:t xml:space="preserve">F18</x:t>
        </x:is>
      </x:c>
      <x:c r="B341" s="8" t="inlineStr">
        <x:is>
          <x:t xml:space="preserve">Kiến trúc / ERD / API / test / deploy</x:t>
        </x:is>
      </x:c>
      <x:c r="C341" s="8" t="inlineStr">
        <x:is>
          <x:t xml:space="preserve">DOC-018</x:t>
        </x:is>
      </x:c>
      <x:c r="D341" s="8" t="inlineStr">
        <x:is>
          <x:t xml:space="preserve">Q03 chưa chốt; Q04 chưa có ngân sách</x:t>
        </x:is>
      </x:c>
      <x:c r="E341" s="8" t="inlineStr">
        <x:is>
          <x:t xml:space="preserve">Rà soát khi chức năng đổi</x:t>
        </x:is>
      </x:c>
      <x:c r="F341" s="8" t="inlineStr">
        <x:is>
          <x:t xml:space="preserve">Sửa nguồn; tái tạo bản xuất; đọc lại và ghi bằng chứng</x:t>
        </x:is>
      </x:c>
    </x:row>
    <x:row r="342" ht="38" customHeight="1">
      <x:c r="A342" s="8" t="inlineStr">
        <x:is>
          <x:t xml:space="preserve">F18</x:t>
        </x:is>
      </x:c>
      <x:c r="B342" s="8" t="inlineStr">
        <x:is>
          <x:t xml:space="preserve">Kiến trúc / ERD / API / test / deploy</x:t>
        </x:is>
      </x:c>
      <x:c r="C342" s="8" t="inlineStr">
        <x:is>
          <x:t xml:space="preserve">DOC-025</x:t>
        </x:is>
      </x:c>
      <x:c r="D342" s="8" t="inlineStr">
        <x:is>
          <x:t xml:space="preserve">Q03 chưa chốt; Q04 chưa có ngân sách</x:t>
        </x:is>
      </x:c>
      <x:c r="E342" s="8" t="inlineStr">
        <x:is>
          <x:t xml:space="preserve">Rà soát khi chức năng đổi</x:t>
        </x:is>
      </x:c>
      <x:c r="F342" s="8" t="inlineStr">
        <x:is>
          <x:t xml:space="preserve">Sửa nguồn; tái tạo bản xuất; đọc lại và ghi bằng chứng</x:t>
        </x:is>
      </x:c>
    </x:row>
    <x:row r="343" ht="38" customHeight="1">
      <x:c r="A343" s="8" t="inlineStr">
        <x:is>
          <x:t xml:space="preserve">F18</x:t>
        </x:is>
      </x:c>
      <x:c r="B343" s="8" t="inlineStr">
        <x:is>
          <x:t xml:space="preserve">Kiến trúc / ERD / API / test / deploy</x:t>
        </x:is>
      </x:c>
      <x:c r="C343" s="8" t="inlineStr">
        <x:is>
          <x:t xml:space="preserve">DOC-026</x:t>
        </x:is>
      </x:c>
      <x:c r="D343" s="8" t="inlineStr">
        <x:is>
          <x:t xml:space="preserve">Q03 chưa chốt; Q04 chưa có ngân sách</x:t>
        </x:is>
      </x:c>
      <x:c r="E343" s="8" t="inlineStr">
        <x:is>
          <x:t xml:space="preserve">Rà soát khi chức năng đổi</x:t>
        </x:is>
      </x:c>
      <x:c r="F343" s="8" t="inlineStr">
        <x:is>
          <x:t xml:space="preserve">Sửa nguồn; tái tạo bản xuất; đọc lại và ghi bằng chứng</x:t>
        </x:is>
      </x:c>
    </x:row>
    <x:row r="344" ht="38" customHeight="1">
      <x:c r="A344" s="8" t="inlineStr">
        <x:is>
          <x:t xml:space="preserve">F18</x:t>
        </x:is>
      </x:c>
      <x:c r="B344" s="8" t="inlineStr">
        <x:is>
          <x:t xml:space="preserve">Kiến trúc / ERD / API / test / deploy</x:t>
        </x:is>
      </x:c>
      <x:c r="C344" s="8" t="inlineStr">
        <x:is>
          <x:t xml:space="preserve">DOC-027</x:t>
        </x:is>
      </x:c>
      <x:c r="D344" s="8" t="inlineStr">
        <x:is>
          <x:t xml:space="preserve">Q03 chưa chốt; Q04 chưa có ngân sách</x:t>
        </x:is>
      </x:c>
      <x:c r="E344" s="8" t="inlineStr">
        <x:is>
          <x:t xml:space="preserve">Rà soát khi chức năng đổi</x:t>
        </x:is>
      </x:c>
      <x:c r="F344" s="8" t="inlineStr">
        <x:is>
          <x:t xml:space="preserve">Sửa nguồn; tái tạo bản xuất; đọc lại và ghi bằng chứng</x:t>
        </x:is>
      </x:c>
    </x:row>
    <x:row r="345" ht="38" customHeight="1">
      <x:c r="A345" s="8" t="inlineStr">
        <x:is>
          <x:t xml:space="preserve">F18</x:t>
        </x:is>
      </x:c>
      <x:c r="B345" s="8" t="inlineStr">
        <x:is>
          <x:t xml:space="preserve">Kiến trúc / ERD / API / test / deploy</x:t>
        </x:is>
      </x:c>
      <x:c r="C345" s="8" t="inlineStr">
        <x:is>
          <x:t xml:space="preserve">DOC-028</x:t>
        </x:is>
      </x:c>
      <x:c r="D345" s="8" t="inlineStr">
        <x:is>
          <x:t xml:space="preserve">Q03 chưa chốt; Q04 chưa có ngân sách</x:t>
        </x:is>
      </x:c>
      <x:c r="E345" s="8" t="inlineStr">
        <x:is>
          <x:t xml:space="preserve">Rà soát khi chức năng đổi</x:t>
        </x:is>
      </x:c>
      <x:c r="F345" s="8" t="inlineStr">
        <x:is>
          <x:t xml:space="preserve">Sửa nguồn; tái tạo bản xuất; đọc lại và ghi bằng chứng</x:t>
        </x:is>
      </x:c>
    </x:row>
    <x:row r="346" ht="38" customHeight="1">
      <x:c r="A346" s="8" t="inlineStr">
        <x:is>
          <x:t xml:space="preserve">F18</x:t>
        </x:is>
      </x:c>
      <x:c r="B346" s="8" t="inlineStr">
        <x:is>
          <x:t xml:space="preserve">Kiến trúc / ERD / API / test / deploy</x:t>
        </x:is>
      </x:c>
      <x:c r="C346" s="8" t="inlineStr">
        <x:is>
          <x:t xml:space="preserve">DOC-029</x:t>
        </x:is>
      </x:c>
      <x:c r="D346" s="8" t="inlineStr">
        <x:is>
          <x:t xml:space="preserve">Q03 chưa chốt; Q04 chưa có ngân sách</x:t>
        </x:is>
      </x:c>
      <x:c r="E346" s="8" t="inlineStr">
        <x:is>
          <x:t xml:space="preserve">Rà soát khi chức năng đổi</x:t>
        </x:is>
      </x:c>
      <x:c r="F346" s="8" t="inlineStr">
        <x:is>
          <x:t xml:space="preserve">Sửa nguồn; tái tạo bản xuất; đọc lại và ghi bằng chứng</x:t>
        </x:is>
      </x:c>
    </x:row>
    <x:row r="347" ht="38" customHeight="1">
      <x:c r="A347" s="8" t="inlineStr">
        <x:is>
          <x:t xml:space="preserve">F18</x:t>
        </x:is>
      </x:c>
      <x:c r="B347" s="8" t="inlineStr">
        <x:is>
          <x:t xml:space="preserve">Kiến trúc / ERD / API / test / deploy</x:t>
        </x:is>
      </x:c>
      <x:c r="C347" s="8" t="inlineStr">
        <x:is>
          <x:t xml:space="preserve">DOC-030</x:t>
        </x:is>
      </x:c>
      <x:c r="D347" s="8" t="inlineStr">
        <x:is>
          <x:t xml:space="preserve">Q03 chưa chốt; Q04 chưa có ngân sách</x:t>
        </x:is>
      </x:c>
      <x:c r="E347" s="8" t="inlineStr">
        <x:is>
          <x:t xml:space="preserve">Rà soát khi chức năng đổi</x:t>
        </x:is>
      </x:c>
      <x:c r="F347" s="8" t="inlineStr">
        <x:is>
          <x:t xml:space="preserve">Sửa nguồn; tái tạo bản xuất; đọc lại và ghi bằng chứng</x:t>
        </x:is>
      </x:c>
    </x:row>
    <x:row r="348" ht="38" customHeight="1">
      <x:c r="A348" s="8" t="inlineStr">
        <x:is>
          <x:t xml:space="preserve">F18</x:t>
        </x:is>
      </x:c>
      <x:c r="B348" s="8" t="inlineStr">
        <x:is>
          <x:t xml:space="preserve">Kiến trúc / ERD / API / test / deploy</x:t>
        </x:is>
      </x:c>
      <x:c r="C348" s="8" t="inlineStr">
        <x:is>
          <x:t xml:space="preserve">DOC-031</x:t>
        </x:is>
      </x:c>
      <x:c r="D348" s="8" t="inlineStr">
        <x:is>
          <x:t xml:space="preserve">Q03 chưa chốt; Q04 chưa có ngân sách</x:t>
        </x:is>
      </x:c>
      <x:c r="E348" s="8" t="inlineStr">
        <x:is>
          <x:t xml:space="preserve">Rà soát khi chức năng đổi</x:t>
        </x:is>
      </x:c>
      <x:c r="F348" s="8" t="inlineStr">
        <x:is>
          <x:t xml:space="preserve">Sửa nguồn; tái tạo bản xuất; đọc lại và ghi bằng chứng</x:t>
        </x:is>
      </x:c>
    </x:row>
    <x:row r="349" ht="38" customHeight="1">
      <x:c r="A349" s="8" t="inlineStr">
        <x:is>
          <x:t xml:space="preserve">F18</x:t>
        </x:is>
      </x:c>
      <x:c r="B349" s="8" t="inlineStr">
        <x:is>
          <x:t xml:space="preserve">Kiến trúc / ERD / API / test / deploy</x:t>
        </x:is>
      </x:c>
      <x:c r="C349" s="8" t="inlineStr">
        <x:is>
          <x:t xml:space="preserve">DOC-033</x:t>
        </x:is>
      </x:c>
      <x:c r="D349" s="8" t="inlineStr">
        <x:is>
          <x:t xml:space="preserve">Q03 chưa chốt; Q04 chưa có ngân sách</x:t>
        </x:is>
      </x:c>
      <x:c r="E349" s="8" t="inlineStr">
        <x:is>
          <x:t xml:space="preserve">Rà soát khi chức năng đổi</x:t>
        </x:is>
      </x:c>
      <x:c r="F349" s="8" t="inlineStr">
        <x:is>
          <x:t xml:space="preserve">Sửa nguồn; tái tạo bản xuất; đọc lại và ghi bằng chứng</x:t>
        </x:is>
      </x:c>
    </x:row>
    <x:row r="350" ht="38" customHeight="1">
      <x:c r="A350" s="8" t="inlineStr">
        <x:is>
          <x:t xml:space="preserve">F18</x:t>
        </x:is>
      </x:c>
      <x:c r="B350" s="8" t="inlineStr">
        <x:is>
          <x:t xml:space="preserve">Kiến trúc / ERD / API / test / deploy</x:t>
        </x:is>
      </x:c>
      <x:c r="C350" s="8" t="inlineStr">
        <x:is>
          <x:t xml:space="preserve">PLAN-001</x:t>
        </x:is>
      </x:c>
      <x:c r="D350" s="8" t="inlineStr">
        <x:is>
          <x:t xml:space="preserve">Q03 chưa chốt; Q04 chưa có ngân sách</x:t>
        </x:is>
      </x:c>
      <x:c r="E350" s="8" t="inlineStr">
        <x:is>
          <x:t xml:space="preserve">Rà soát khi chức năng đổi</x:t>
        </x:is>
      </x:c>
      <x:c r="F350" s="8" t="inlineStr">
        <x:is>
          <x:t xml:space="preserve">Sửa nguồn; tái tạo bản xuất; đọc lại và ghi bằng chứng</x:t>
        </x:is>
      </x:c>
    </x:row>
    <x:row r="351" ht="38" customHeight="1">
      <x:c r="A351" s="8" t="inlineStr">
        <x:is>
          <x:t xml:space="preserve">F18</x:t>
        </x:is>
      </x:c>
      <x:c r="B351" s="8" t="inlineStr">
        <x:is>
          <x:t xml:space="preserve">Kiến trúc / ERD / API / test / deploy</x:t>
        </x:is>
      </x:c>
      <x:c r="C351" s="8" t="inlineStr">
        <x:is>
          <x:t xml:space="preserve">PLAN-002</x:t>
        </x:is>
      </x:c>
      <x:c r="D351" s="8" t="inlineStr">
        <x:is>
          <x:t xml:space="preserve">Q03 chưa chốt; Q04 chưa có ngân sách</x:t>
        </x:is>
      </x:c>
      <x:c r="E351" s="8" t="inlineStr">
        <x:is>
          <x:t xml:space="preserve">Rà soát khi chức năng đổi</x:t>
        </x:is>
      </x:c>
      <x:c r="F351" s="8" t="inlineStr">
        <x:is>
          <x:t xml:space="preserve">Sửa nguồn; tái tạo bản xuất; đọc lại và ghi bằng chứng</x:t>
        </x:is>
      </x:c>
    </x:row>
    <x:row r="352" ht="38" customHeight="1">
      <x:c r="A352" s="8" t="inlineStr">
        <x:is>
          <x:t xml:space="preserve">F18</x:t>
        </x:is>
      </x:c>
      <x:c r="B352" s="8" t="inlineStr">
        <x:is>
          <x:t xml:space="preserve">Kiến trúc / ERD / API / test / deploy</x:t>
        </x:is>
      </x:c>
      <x:c r="C352" s="8" t="inlineStr">
        <x:is>
          <x:t xml:space="preserve">PLAN-003</x:t>
        </x:is>
      </x:c>
      <x:c r="D352" s="8" t="inlineStr">
        <x:is>
          <x:t xml:space="preserve">Q03 chưa chốt; Q04 chưa có ngân sách</x:t>
        </x:is>
      </x:c>
      <x:c r="E352" s="8" t="inlineStr">
        <x:is>
          <x:t xml:space="preserve">Rà soát khi chức năng đổi</x:t>
        </x:is>
      </x:c>
      <x:c r="F352" s="8" t="inlineStr">
        <x:is>
          <x:t xml:space="preserve">Sửa nguồn; tái tạo bản xuất; đọc lại và ghi bằng chứng</x:t>
        </x:is>
      </x:c>
    </x:row>
    <x:row r="353" ht="38" customHeight="1">
      <x:c r="A353" s="8" t="inlineStr">
        <x:is>
          <x:t xml:space="preserve">F18</x:t>
        </x:is>
      </x:c>
      <x:c r="B353" s="8" t="inlineStr">
        <x:is>
          <x:t xml:space="preserve">Kiến trúc / ERD / API / test / deploy</x:t>
        </x:is>
      </x:c>
      <x:c r="C353" s="8" t="inlineStr">
        <x:is>
          <x:t xml:space="preserve">PLAN-004</x:t>
        </x:is>
      </x:c>
      <x:c r="D353" s="8" t="inlineStr">
        <x:is>
          <x:t xml:space="preserve">Q03 chưa chốt; Q04 chưa có ngân sách</x:t>
        </x:is>
      </x:c>
      <x:c r="E353" s="8" t="inlineStr">
        <x:is>
          <x:t xml:space="preserve">Rà soát khi chức năng đổi</x:t>
        </x:is>
      </x:c>
      <x:c r="F353" s="8" t="inlineStr">
        <x:is>
          <x:t xml:space="preserve">Sửa nguồn; tái tạo bản xuất; đọc lại và ghi bằng chứng</x:t>
        </x:is>
      </x:c>
    </x:row>
    <x:row r="354" ht="38" customHeight="1">
      <x:c r="A354" s="8" t="inlineStr">
        <x:is>
          <x:t xml:space="preserve">F18</x:t>
        </x:is>
      </x:c>
      <x:c r="B354" s="8" t="inlineStr">
        <x:is>
          <x:t xml:space="preserve">Kiến trúc / ERD / API / test / deploy</x:t>
        </x:is>
      </x:c>
      <x:c r="C354" s="8" t="inlineStr">
        <x:is>
          <x:t xml:space="preserve">PLAN-005</x:t>
        </x:is>
      </x:c>
      <x:c r="D354" s="8" t="inlineStr">
        <x:is>
          <x:t xml:space="preserve">Q03 chưa chốt; Q04 chưa có ngân sách</x:t>
        </x:is>
      </x:c>
      <x:c r="E354" s="8" t="inlineStr">
        <x:is>
          <x:t xml:space="preserve">Rà soát khi chức năng đổi</x:t>
        </x:is>
      </x:c>
      <x:c r="F354" s="8" t="inlineStr">
        <x:is>
          <x:t xml:space="preserve">Sửa nguồn; tái tạo bản xuất; đọc lại và ghi bằng chứng</x:t>
        </x:is>
      </x:c>
    </x:row>
    <x:row r="355" ht="38" customHeight="1">
      <x:c r="A355" s="8" t="inlineStr">
        <x:is>
          <x:t xml:space="preserve">F18</x:t>
        </x:is>
      </x:c>
      <x:c r="B355" s="8" t="inlineStr">
        <x:is>
          <x:t xml:space="preserve">Kiến trúc / ERD / API / test / deploy</x:t>
        </x:is>
      </x:c>
      <x:c r="C355" s="8" t="inlineStr">
        <x:is>
          <x:t xml:space="preserve">PLAN-006</x:t>
        </x:is>
      </x:c>
      <x:c r="D355" s="8" t="inlineStr">
        <x:is>
          <x:t xml:space="preserve">UI-05; nền tảng khách hàng đã tạo, phần toàn hệ thống chưa đầy đủ</x:t>
        </x:is>
      </x:c>
      <x:c r="E355" s="8" t="inlineStr">
        <x:is>
          <x:t xml:space="preserve">Rà soát khi chức năng đổi</x:t>
        </x:is>
      </x:c>
      <x:c r="F355" s="8" t="inlineStr">
        <x:is>
          <x:t xml:space="preserve">Sửa nguồn; tái tạo bản xuất; đọc lại và ghi bằng chứng</x:t>
        </x:is>
      </x:c>
    </x:row>
    <x:row r="356" ht="38" customHeight="1">
      <x:c r="A356" s="8" t="inlineStr">
        <x:is>
          <x:t xml:space="preserve">F18</x:t>
        </x:is>
      </x:c>
      <x:c r="B356" s="8" t="inlineStr">
        <x:is>
          <x:t xml:space="preserve">Kiến trúc / ERD / API / test / deploy</x:t>
        </x:is>
      </x:c>
      <x:c r="C356" s="8" t="inlineStr">
        <x:is>
          <x:t xml:space="preserve">PLAN-007</x:t>
        </x:is>
      </x:c>
      <x:c r="D356" s="8" t="inlineStr">
        <x:is>
          <x:t xml:space="preserve">Q03 chưa chốt; Q04 chưa có ngân sách</x:t>
        </x:is>
      </x:c>
      <x:c r="E356" s="8" t="inlineStr">
        <x:is>
          <x:t xml:space="preserve">Rà soát khi chức năng đổi</x:t>
        </x:is>
      </x:c>
      <x:c r="F356" s="8" t="inlineStr">
        <x:is>
          <x:t xml:space="preserve">Sửa nguồn; tái tạo bản xuất; đọc lại và ghi bằng chứng</x:t>
        </x:is>
      </x:c>
    </x:row>
    <x:row r="357" ht="38" customHeight="1">
      <x:c r="A357" s="8" t="inlineStr">
        <x:is>
          <x:t xml:space="preserve">F18</x:t>
        </x:is>
      </x:c>
      <x:c r="B357" s="8" t="inlineStr">
        <x:is>
          <x:t xml:space="preserve">Kiến trúc / ERD / API / test / deploy</x:t>
        </x:is>
      </x:c>
      <x:c r="C357" s="8" t="inlineStr">
        <x:is>
          <x:t xml:space="preserve">PLAN-008</x:t>
        </x:is>
      </x:c>
      <x:c r="D357" s="8" t="inlineStr">
        <x:is>
          <x:t xml:space="preserve">Q03 chưa chốt; Q04 chưa có ngân sách</x:t>
        </x:is>
      </x:c>
      <x:c r="E357" s="8" t="inlineStr">
        <x:is>
          <x:t xml:space="preserve">Rà soát khi chức năng đổi</x:t>
        </x:is>
      </x:c>
      <x:c r="F357" s="8" t="inlineStr">
        <x:is>
          <x:t xml:space="preserve">Sửa nguồn; tái tạo bản xuất; đọc lại và ghi bằng chứng</x:t>
        </x:is>
      </x:c>
    </x:row>
    <x:row r="358" ht="38" customHeight="1">
      <x:c r="A358" s="8" t="inlineStr">
        <x:is>
          <x:t xml:space="preserve">F19</x:t>
        </x:is>
      </x:c>
      <x:c r="B358" s="8" t="inlineStr">
        <x:is>
          <x:t xml:space="preserve">Phạm vi / mục tiêu / pending</x:t>
        </x:is>
      </x:c>
      <x:c r="C358" s="8" t="inlineStr">
        <x:is>
          <x:t xml:space="preserve">DOC-001</x:t>
        </x:is>
      </x:c>
      <x:c r="D358" s="8" t="inlineStr">
        <x:is>
          <x:t xml:space="preserve">Không biến đề xuất thành quyết định</x:t>
        </x:is>
      </x:c>
      <x:c r="E358" s="8" t="inlineStr">
        <x:is>
          <x:t xml:space="preserve">Rà soát khi chức năng đổi</x:t>
        </x:is>
      </x:c>
      <x:c r="F358" s="8" t="inlineStr">
        <x:is>
          <x:t xml:space="preserve">Sửa nguồn; tái tạo bản xuất; đọc lại và ghi bằng chứng</x:t>
        </x:is>
      </x:c>
    </x:row>
    <x:row r="359" ht="38" customHeight="1">
      <x:c r="A359" s="8" t="inlineStr">
        <x:is>
          <x:t xml:space="preserve">F19</x:t>
        </x:is>
      </x:c>
      <x:c r="B359" s="8" t="inlineStr">
        <x:is>
          <x:t xml:space="preserve">Phạm vi / mục tiêu / pending</x:t>
        </x:is>
      </x:c>
      <x:c r="C359" s="8" t="inlineStr">
        <x:is>
          <x:t xml:space="preserve">DOC-002</x:t>
        </x:is>
      </x:c>
      <x:c r="D359" s="8" t="inlineStr">
        <x:is>
          <x:t xml:space="preserve">Không biến đề xuất thành quyết định</x:t>
        </x:is>
      </x:c>
      <x:c r="E359" s="8" t="inlineStr">
        <x:is>
          <x:t xml:space="preserve">Rà soát khi chức năng đổi</x:t>
        </x:is>
      </x:c>
      <x:c r="F359" s="8" t="inlineStr">
        <x:is>
          <x:t xml:space="preserve">Sửa nguồn; tái tạo bản xuất; đọc lại và ghi bằng chứng</x:t>
        </x:is>
      </x:c>
    </x:row>
    <x:row r="360" ht="38" customHeight="1">
      <x:c r="A360" s="8" t="inlineStr">
        <x:is>
          <x:t xml:space="preserve">F19</x:t>
        </x:is>
      </x:c>
      <x:c r="B360" s="8" t="inlineStr">
        <x:is>
          <x:t xml:space="preserve">Phạm vi / mục tiêu / pending</x:t>
        </x:is>
      </x:c>
      <x:c r="C360" s="8" t="inlineStr">
        <x:is>
          <x:t xml:space="preserve">DOC-003</x:t>
        </x:is>
      </x:c>
      <x:c r="D360" s="8" t="inlineStr">
        <x:is>
          <x:t xml:space="preserve">Không biến đề xuất thành quyết định</x:t>
        </x:is>
      </x:c>
      <x:c r="E360" s="8" t="inlineStr">
        <x:is>
          <x:t xml:space="preserve">Rà soát khi chức năng đổi</x:t>
        </x:is>
      </x:c>
      <x:c r="F360" s="8" t="inlineStr">
        <x:is>
          <x:t xml:space="preserve">Sửa nguồn; tái tạo bản xuất; đọc lại và ghi bằng chứng</x:t>
        </x:is>
      </x:c>
    </x:row>
    <x:row r="361" ht="38" customHeight="1">
      <x:c r="A361" s="8" t="inlineStr">
        <x:is>
          <x:t xml:space="preserve">F19</x:t>
        </x:is>
      </x:c>
      <x:c r="B361" s="8" t="inlineStr">
        <x:is>
          <x:t xml:space="preserve">Phạm vi / mục tiêu / pending</x:t>
        </x:is>
      </x:c>
      <x:c r="C361" s="8" t="inlineStr">
        <x:is>
          <x:t xml:space="preserve">DOC-004</x:t>
        </x:is>
      </x:c>
      <x:c r="D361" s="8" t="inlineStr">
        <x:is>
          <x:t xml:space="preserve">Không biến đề xuất thành quyết định</x:t>
        </x:is>
      </x:c>
      <x:c r="E361" s="8" t="inlineStr">
        <x:is>
          <x:t xml:space="preserve">Rà soát khi chức năng đổi</x:t>
        </x:is>
      </x:c>
      <x:c r="F361" s="8" t="inlineStr">
        <x:is>
          <x:t xml:space="preserve">Sửa nguồn; tái tạo bản xuất; đọc lại và ghi bằng chứng</x:t>
        </x:is>
      </x:c>
    </x:row>
    <x:row r="362" ht="38" customHeight="1">
      <x:c r="A362" s="8" t="inlineStr">
        <x:is>
          <x:t xml:space="preserve">F19</x:t>
        </x:is>
      </x:c>
      <x:c r="B362" s="8" t="inlineStr">
        <x:is>
          <x:t xml:space="preserve">Phạm vi / mục tiêu / pending</x:t>
        </x:is>
      </x:c>
      <x:c r="C362" s="8" t="inlineStr">
        <x:is>
          <x:t xml:space="preserve">DOC-005</x:t>
        </x:is>
      </x:c>
      <x:c r="D362" s="8" t="inlineStr">
        <x:is>
          <x:t xml:space="preserve">Không biến đề xuất thành quyết định</x:t>
        </x:is>
      </x:c>
      <x:c r="E362" s="8" t="inlineStr">
        <x:is>
          <x:t xml:space="preserve">Rà soát khi chức năng đổi</x:t>
        </x:is>
      </x:c>
      <x:c r="F362" s="8" t="inlineStr">
        <x:is>
          <x:t xml:space="preserve">Sửa nguồn; tái tạo bản xuất; đọc lại và ghi bằng chứng</x:t>
        </x:is>
      </x:c>
    </x:row>
    <x:row r="363" ht="38" customHeight="1">
      <x:c r="A363" s="8" t="inlineStr">
        <x:is>
          <x:t xml:space="preserve">F19</x:t>
        </x:is>
      </x:c>
      <x:c r="B363" s="8" t="inlineStr">
        <x:is>
          <x:t xml:space="preserve">Phạm vi / mục tiêu / pending</x:t>
        </x:is>
      </x:c>
      <x:c r="C363" s="8" t="inlineStr">
        <x:is>
          <x:t xml:space="preserve">DOC-011</x:t>
        </x:is>
      </x:c>
      <x:c r="D363" s="8" t="inlineStr">
        <x:is>
          <x:t xml:space="preserve">Không biến đề xuất thành quyết định</x:t>
        </x:is>
      </x:c>
      <x:c r="E363" s="8" t="inlineStr">
        <x:is>
          <x:t xml:space="preserve">Rà soát khi chức năng đổi</x:t>
        </x:is>
      </x:c>
      <x:c r="F363" s="8" t="inlineStr">
        <x:is>
          <x:t xml:space="preserve">Sửa nguồn; tái tạo bản xuất; đọc lại và ghi bằng chứng</x:t>
        </x:is>
      </x:c>
    </x:row>
    <x:row r="364" ht="38" customHeight="1">
      <x:c r="A364" s="8" t="inlineStr">
        <x:is>
          <x:t xml:space="preserve">F19</x:t>
        </x:is>
      </x:c>
      <x:c r="B364" s="8" t="inlineStr">
        <x:is>
          <x:t xml:space="preserve">Phạm vi / mục tiêu / pending</x:t>
        </x:is>
      </x:c>
      <x:c r="C364" s="8" t="inlineStr">
        <x:is>
          <x:t xml:space="preserve">DOC-016</x:t>
        </x:is>
      </x:c>
      <x:c r="D364" s="8" t="inlineStr">
        <x:is>
          <x:t xml:space="preserve">Không biến đề xuất thành quyết định</x:t>
        </x:is>
      </x:c>
      <x:c r="E364" s="8" t="inlineStr">
        <x:is>
          <x:t xml:space="preserve">Rà soát khi chức năng đổi</x:t>
        </x:is>
      </x:c>
      <x:c r="F364" s="8" t="inlineStr">
        <x:is>
          <x:t xml:space="preserve">Sửa nguồn; tái tạo bản xuất; đọc lại và ghi bằng chứng</x:t>
        </x:is>
      </x:c>
    </x:row>
    <x:row r="365" ht="38" customHeight="1">
      <x:c r="A365" s="8" t="inlineStr">
        <x:is>
          <x:t xml:space="preserve">F19</x:t>
        </x:is>
      </x:c>
      <x:c r="B365" s="8" t="inlineStr">
        <x:is>
          <x:t xml:space="preserve">Phạm vi / mục tiêu / pending</x:t>
        </x:is>
      </x:c>
      <x:c r="C365" s="8" t="inlineStr">
        <x:is>
          <x:t xml:space="preserve">DOC-017</x:t>
        </x:is>
      </x:c>
      <x:c r="D365" s="8" t="inlineStr">
        <x:is>
          <x:t xml:space="preserve">Không biến đề xuất thành quyết định</x:t>
        </x:is>
      </x:c>
      <x:c r="E365" s="8" t="inlineStr">
        <x:is>
          <x:t xml:space="preserve">Rà soát khi chức năng đổi</x:t>
        </x:is>
      </x:c>
      <x:c r="F365" s="8" t="inlineStr">
        <x:is>
          <x:t xml:space="preserve">Sửa nguồn; tái tạo bản xuất; đọc lại và ghi bằng chứng</x:t>
        </x:is>
      </x:c>
    </x:row>
    <x:row r="366" ht="38" customHeight="1">
      <x:c r="A366" s="8" t="inlineStr">
        <x:is>
          <x:t xml:space="preserve">F19</x:t>
        </x:is>
      </x:c>
      <x:c r="B366" s="8" t="inlineStr">
        <x:is>
          <x:t xml:space="preserve">Phạm vi / mục tiêu / pending</x:t>
        </x:is>
      </x:c>
      <x:c r="C366" s="8" t="inlineStr">
        <x:is>
          <x:t xml:space="preserve">DOC-018</x:t>
        </x:is>
      </x:c>
      <x:c r="D366" s="8" t="inlineStr">
        <x:is>
          <x:t xml:space="preserve">Không biến đề xuất thành quyết định</x:t>
        </x:is>
      </x:c>
      <x:c r="E366" s="8" t="inlineStr">
        <x:is>
          <x:t xml:space="preserve">Rà soát khi chức năng đổi</x:t>
        </x:is>
      </x:c>
      <x:c r="F366" s="8" t="inlineStr">
        <x:is>
          <x:t xml:space="preserve">Sửa nguồn; tái tạo bản xuất; đọc lại và ghi bằng chứng</x:t>
        </x:is>
      </x:c>
    </x:row>
    <x:row r="367" ht="38" customHeight="1">
      <x:c r="A367" s="8" t="inlineStr">
        <x:is>
          <x:t xml:space="preserve">F19</x:t>
        </x:is>
      </x:c>
      <x:c r="B367" s="8" t="inlineStr">
        <x:is>
          <x:t xml:space="preserve">Phạm vi / mục tiêu / pending</x:t>
        </x:is>
      </x:c>
      <x:c r="C367" s="8" t="inlineStr">
        <x:is>
          <x:t xml:space="preserve">DOC-025</x:t>
        </x:is>
      </x:c>
      <x:c r="D367" s="8" t="inlineStr">
        <x:is>
          <x:t xml:space="preserve">Không biến đề xuất thành quyết định</x:t>
        </x:is>
      </x:c>
      <x:c r="E367" s="8" t="inlineStr">
        <x:is>
          <x:t xml:space="preserve">Rà soát khi chức năng đổi</x:t>
        </x:is>
      </x:c>
      <x:c r="F367" s="8" t="inlineStr">
        <x:is>
          <x:t xml:space="preserve">Sửa nguồn; tái tạo bản xuất; đọc lại và ghi bằng chứng</x:t>
        </x:is>
      </x:c>
    </x:row>
    <x:row r="368" ht="38" customHeight="1">
      <x:c r="A368" s="8" t="inlineStr">
        <x:is>
          <x:t xml:space="preserve">F19</x:t>
        </x:is>
      </x:c>
      <x:c r="B368" s="8" t="inlineStr">
        <x:is>
          <x:t xml:space="preserve">Phạm vi / mục tiêu / pending</x:t>
        </x:is>
      </x:c>
      <x:c r="C368" s="8" t="inlineStr">
        <x:is>
          <x:t xml:space="preserve">DOC-026</x:t>
        </x:is>
      </x:c>
      <x:c r="D368" s="8" t="inlineStr">
        <x:is>
          <x:t xml:space="preserve">Không biến đề xuất thành quyết định</x:t>
        </x:is>
      </x:c>
      <x:c r="E368" s="8" t="inlineStr">
        <x:is>
          <x:t xml:space="preserve">Rà soát khi chức năng đổi</x:t>
        </x:is>
      </x:c>
      <x:c r="F368" s="8" t="inlineStr">
        <x:is>
          <x:t xml:space="preserve">Sửa nguồn; tái tạo bản xuất; đọc lại và ghi bằng chứng</x:t>
        </x:is>
      </x:c>
    </x:row>
    <x:row r="369" ht="38" customHeight="1">
      <x:c r="A369" s="8" t="inlineStr">
        <x:is>
          <x:t xml:space="preserve">F19</x:t>
        </x:is>
      </x:c>
      <x:c r="B369" s="8" t="inlineStr">
        <x:is>
          <x:t xml:space="preserve">Phạm vi / mục tiêu / pending</x:t>
        </x:is>
      </x:c>
      <x:c r="C369" s="8" t="inlineStr">
        <x:is>
          <x:t xml:space="preserve">DOC-027</x:t>
        </x:is>
      </x:c>
      <x:c r="D369" s="8" t="inlineStr">
        <x:is>
          <x:t xml:space="preserve">Không biến đề xuất thành quyết định</x:t>
        </x:is>
      </x:c>
      <x:c r="E369" s="8" t="inlineStr">
        <x:is>
          <x:t xml:space="preserve">Rà soát khi chức năng đổi</x:t>
        </x:is>
      </x:c>
      <x:c r="F369" s="8" t="inlineStr">
        <x:is>
          <x:t xml:space="preserve">Sửa nguồn; tái tạo bản xuất; đọc lại và ghi bằng chứng</x:t>
        </x:is>
      </x:c>
    </x:row>
    <x:row r="370" ht="38" customHeight="1">
      <x:c r="A370" s="8" t="inlineStr">
        <x:is>
          <x:t xml:space="preserve">F19</x:t>
        </x:is>
      </x:c>
      <x:c r="B370" s="8" t="inlineStr">
        <x:is>
          <x:t xml:space="preserve">Phạm vi / mục tiêu / pending</x:t>
        </x:is>
      </x:c>
      <x:c r="C370" s="8" t="inlineStr">
        <x:is>
          <x:t xml:space="preserve">DOC-028</x:t>
        </x:is>
      </x:c>
      <x:c r="D370" s="8" t="inlineStr">
        <x:is>
          <x:t xml:space="preserve">Không biến đề xuất thành quyết định</x:t>
        </x:is>
      </x:c>
      <x:c r="E370" s="8" t="inlineStr">
        <x:is>
          <x:t xml:space="preserve">Rà soát khi chức năng đổi</x:t>
        </x:is>
      </x:c>
      <x:c r="F370" s="8" t="inlineStr">
        <x:is>
          <x:t xml:space="preserve">Sửa nguồn; tái tạo bản xuất; đọc lại và ghi bằng chứng</x:t>
        </x:is>
      </x:c>
    </x:row>
    <x:row r="371" ht="38" customHeight="1">
      <x:c r="A371" s="8" t="inlineStr">
        <x:is>
          <x:t xml:space="preserve">F19</x:t>
        </x:is>
      </x:c>
      <x:c r="B371" s="8" t="inlineStr">
        <x:is>
          <x:t xml:space="preserve">Phạm vi / mục tiêu / pending</x:t>
        </x:is>
      </x:c>
      <x:c r="C371" s="8" t="inlineStr">
        <x:is>
          <x:t xml:space="preserve">DOC-029</x:t>
        </x:is>
      </x:c>
      <x:c r="D371" s="8" t="inlineStr">
        <x:is>
          <x:t xml:space="preserve">Không biến đề xuất thành quyết định</x:t>
        </x:is>
      </x:c>
      <x:c r="E371" s="8" t="inlineStr">
        <x:is>
          <x:t xml:space="preserve">Rà soát khi chức năng đổi</x:t>
        </x:is>
      </x:c>
      <x:c r="F371" s="8" t="inlineStr">
        <x:is>
          <x:t xml:space="preserve">Sửa nguồn; tái tạo bản xuất; đọc lại và ghi bằng chứng</x:t>
        </x:is>
      </x:c>
    </x:row>
    <x:row r="372" ht="38" customHeight="1">
      <x:c r="A372" s="8" t="inlineStr">
        <x:is>
          <x:t xml:space="preserve">F19</x:t>
        </x:is>
      </x:c>
      <x:c r="B372" s="8" t="inlineStr">
        <x:is>
          <x:t xml:space="preserve">Phạm vi / mục tiêu / pending</x:t>
        </x:is>
      </x:c>
      <x:c r="C372" s="8" t="inlineStr">
        <x:is>
          <x:t xml:space="preserve">DOC-030</x:t>
        </x:is>
      </x:c>
      <x:c r="D372" s="8" t="inlineStr">
        <x:is>
          <x:t xml:space="preserve">Không biến đề xuất thành quyết định</x:t>
        </x:is>
      </x:c>
      <x:c r="E372" s="8" t="inlineStr">
        <x:is>
          <x:t xml:space="preserve">Rà soát khi chức năng đổi</x:t>
        </x:is>
      </x:c>
      <x:c r="F372" s="8" t="inlineStr">
        <x:is>
          <x:t xml:space="preserve">Sửa nguồn; tái tạo bản xuất; đọc lại và ghi bằng chứng</x:t>
        </x:is>
      </x:c>
    </x:row>
    <x:row r="373" ht="38" customHeight="1">
      <x:c r="A373" s="8" t="inlineStr">
        <x:is>
          <x:t xml:space="preserve">F19</x:t>
        </x:is>
      </x:c>
      <x:c r="B373" s="8" t="inlineStr">
        <x:is>
          <x:t xml:space="preserve">Phạm vi / mục tiêu / pending</x:t>
        </x:is>
      </x:c>
      <x:c r="C373" s="8" t="inlineStr">
        <x:is>
          <x:t xml:space="preserve">DOC-031</x:t>
        </x:is>
      </x:c>
      <x:c r="D373" s="8" t="inlineStr">
        <x:is>
          <x:t xml:space="preserve">Không biến đề xuất thành quyết định</x:t>
        </x:is>
      </x:c>
      <x:c r="E373" s="8" t="inlineStr">
        <x:is>
          <x:t xml:space="preserve">Rà soát khi chức năng đổi</x:t>
        </x:is>
      </x:c>
      <x:c r="F373" s="8" t="inlineStr">
        <x:is>
          <x:t xml:space="preserve">Sửa nguồn; tái tạo bản xuất; đọc lại và ghi bằng chứng</x:t>
        </x:is>
      </x:c>
    </x:row>
    <x:row r="374" ht="38" customHeight="1">
      <x:c r="A374" s="8" t="inlineStr">
        <x:is>
          <x:t xml:space="preserve">F19</x:t>
        </x:is>
      </x:c>
      <x:c r="B374" s="8" t="inlineStr">
        <x:is>
          <x:t xml:space="preserve">Phạm vi / mục tiêu / pending</x:t>
        </x:is>
      </x:c>
      <x:c r="C374" s="8" t="inlineStr">
        <x:is>
          <x:t xml:space="preserve">DOC-033</x:t>
        </x:is>
      </x:c>
      <x:c r="D374" s="8" t="inlineStr">
        <x:is>
          <x:t xml:space="preserve">Không biến đề xuất thành quyết định</x:t>
        </x:is>
      </x:c>
      <x:c r="E374" s="8" t="inlineStr">
        <x:is>
          <x:t xml:space="preserve">Rà soát khi chức năng đổi</x:t>
        </x:is>
      </x:c>
      <x:c r="F374" s="8" t="inlineStr">
        <x:is>
          <x:t xml:space="preserve">Sửa nguồn; tái tạo bản xuất; đọc lại và ghi bằng chứng</x:t>
        </x:is>
      </x:c>
    </x:row>
    <x:row r="375" ht="38" customHeight="1">
      <x:c r="A375" s="8" t="inlineStr">
        <x:is>
          <x:t xml:space="preserve">F20</x:t>
        </x:is>
      </x:c>
      <x:c r="B375" s="8" t="inlineStr">
        <x:is>
          <x:t xml:space="preserve">Quản lý tài liệu / đồng bộ</x:t>
        </x:is>
      </x:c>
      <x:c r="C375" s="8" t="inlineStr">
        <x:is>
          <x:t xml:space="preserve">DOC-000</x:t>
        </x:is>
      </x:c>
      <x:c r="D375" s="8" t="inlineStr">
        <x:is>
          <x:t xml:space="preserve">Luôn dùng sổ quản lý này; cập nhật đủ tài liệu liên quan</x:t>
        </x:is>
      </x:c>
      <x:c r="E375" s="8" t="inlineStr">
        <x:is>
          <x:t xml:space="preserve">Rà soát khi chức năng đổi</x:t>
        </x:is>
      </x:c>
      <x:c r="F375" s="8" t="inlineStr">
        <x:is>
          <x:t xml:space="preserve">Sửa nguồn; tái tạo bản xuất; đọc lại và ghi bằng chứng</x:t>
        </x:is>
      </x:c>
    </x:row>
    <x:row r="376" ht="38" customHeight="1">
      <x:c r="A376" s="8" t="inlineStr">
        <x:is>
          <x:t xml:space="preserve">F20</x:t>
        </x:is>
      </x:c>
      <x:c r="B376" s="8" t="inlineStr">
        <x:is>
          <x:t xml:space="preserve">Quản lý tài liệu / đồng bộ</x:t>
        </x:is>
      </x:c>
      <x:c r="C376" s="8" t="inlineStr">
        <x:is>
          <x:t xml:space="preserve">RULE-001</x:t>
        </x:is>
      </x:c>
      <x:c r="D376" s="8" t="inlineStr">
        <x:is>
          <x:t xml:space="preserve">Luôn dùng sổ quản lý này; cập nhật đủ tài liệu liên quan</x:t>
        </x:is>
      </x:c>
      <x:c r="E376" s="8" t="inlineStr">
        <x:is>
          <x:t xml:space="preserve">Rà soát khi chức năng đổi</x:t>
        </x:is>
      </x:c>
      <x:c r="F376" s="8" t="inlineStr">
        <x:is>
          <x:t xml:space="preserve">Sửa nguồn; tái tạo bản xuất; đọc lại và ghi bằng chứng</x:t>
        </x:is>
      </x:c>
    </x:row>
    <x:row r="377" ht="38" customHeight="1">
      <x:c r="A377" s="8" t="inlineStr">
        <x:is>
          <x:t xml:space="preserve">F20</x:t>
        </x:is>
      </x:c>
      <x:c r="B377" s="8" t="inlineStr">
        <x:is>
          <x:t xml:space="preserve">Quản lý tài liệu / đồng bộ</x:t>
        </x:is>
      </x:c>
      <x:c r="C377" s="8" t="inlineStr">
        <x:is>
          <x:t xml:space="preserve">DOC-011</x:t>
        </x:is>
      </x:c>
      <x:c r="D377" s="8" t="inlineStr">
        <x:is>
          <x:t xml:space="preserve">Luôn dùng sổ quản lý này; cập nhật đủ tài liệu liên quan</x:t>
        </x:is>
      </x:c>
      <x:c r="E377" s="8" t="inlineStr">
        <x:is>
          <x:t xml:space="preserve">Rà soát khi chức năng đổi</x:t>
        </x:is>
      </x:c>
      <x:c r="F377" s="8" t="inlineStr">
        <x:is>
          <x:t xml:space="preserve">Sửa nguồn; tái tạo bản xuất; đọc lại và ghi bằng chứng</x:t>
        </x:is>
      </x:c>
    </x:row>
    <x:row r="378" ht="52" customHeight="1">
      <x:c r="A378" s="20" t="inlineStr">
        <x:is>
          <x:t xml:space="preserve">F01</x:t>
        </x:is>
      </x:c>
      <x:c r="B378" s="20" t="inlineStr">
        <x:is>
          <x:t xml:space="preserve">Tài khoản / đăng nhập</x:t>
        </x:is>
      </x:c>
      <x:c r="C378" s="20" t="inlineStr">
        <x:is>
          <x:t xml:space="preserve">PLAN-001</x:t>
        </x:is>
      </x:c>
      <x:c r="D378" s="20" t="inlineStr">
        <x:is>
          <x:t xml:space="preserve">Điện thoại, email, phiên, khôi phục, quyền riêng tư</x:t>
        </x:is>
      </x:c>
      <x:c r="E378" s="20" t="inlineStr">
        <x:is>
          <x:t xml:space="preserve">Khi chức năng hoặc hợp đồng kỹ thuật đổi</x:t>
        </x:is>
      </x:c>
      <x:c r="F378" s="20" t="inlineStr">
        <x:is>
          <x:t xml:space="preserve">Cập nhật nguồn JSON/MD/OpenAPI/DDL tương ứng, tái tạo viewer/ZIP và ghi kiểm chứng</x:t>
        </x:is>
      </x:c>
    </x:row>
    <x:row r="379" ht="52" customHeight="1">
      <x:c r="A379" s="20" t="inlineStr">
        <x:is>
          <x:t xml:space="preserve">F01</x:t>
        </x:is>
      </x:c>
      <x:c r="B379" s="20" t="inlineStr">
        <x:is>
          <x:t xml:space="preserve">Tài khoản / đăng nhập</x:t>
        </x:is>
      </x:c>
      <x:c r="C379" s="20" t="inlineStr">
        <x:is>
          <x:t xml:space="preserve">PLAN-002</x:t>
        </x:is>
      </x:c>
      <x:c r="D379" s="20" t="inlineStr">
        <x:is>
          <x:t xml:space="preserve">Điện thoại, email, phiên, khôi phục, quyền riêng tư</x:t>
        </x:is>
      </x:c>
      <x:c r="E379" s="20" t="inlineStr">
        <x:is>
          <x:t xml:space="preserve">Khi chức năng hoặc hợp đồng kỹ thuật đổi</x:t>
        </x:is>
      </x:c>
      <x:c r="F379" s="20" t="inlineStr">
        <x:is>
          <x:t xml:space="preserve">Cập nhật nguồn JSON/MD/OpenAPI/DDL tương ứng, tái tạo viewer/ZIP và ghi kiểm chứng</x:t>
        </x:is>
      </x:c>
    </x:row>
    <x:row r="380" ht="52" customHeight="1">
      <x:c r="A380" s="20" t="inlineStr">
        <x:is>
          <x:t xml:space="preserve">F01</x:t>
        </x:is>
      </x:c>
      <x:c r="B380" s="20" t="inlineStr">
        <x:is>
          <x:t xml:space="preserve">Tài khoản / đăng nhập</x:t>
        </x:is>
      </x:c>
      <x:c r="C380" s="20" t="inlineStr">
        <x:is>
          <x:t xml:space="preserve">PLAN-003</x:t>
        </x:is>
      </x:c>
      <x:c r="D380" s="20" t="inlineStr">
        <x:is>
          <x:t xml:space="preserve">Điện thoại, email, phiên, khôi phục, quyền riêng tư</x:t>
        </x:is>
      </x:c>
      <x:c r="E380" s="20" t="inlineStr">
        <x:is>
          <x:t xml:space="preserve">Khi chức năng hoặc hợp đồng kỹ thuật đổi</x:t>
        </x:is>
      </x:c>
      <x:c r="F380" s="20" t="inlineStr">
        <x:is>
          <x:t xml:space="preserve">Cập nhật nguồn JSON/MD/OpenAPI/DDL tương ứng, tái tạo viewer/ZIP và ghi kiểm chứng</x:t>
        </x:is>
      </x:c>
    </x:row>
    <x:row r="381" ht="52" customHeight="1">
      <x:c r="A381" s="20" t="inlineStr">
        <x:is>
          <x:t xml:space="preserve">F01</x:t>
        </x:is>
      </x:c>
      <x:c r="B381" s="20" t="inlineStr">
        <x:is>
          <x:t xml:space="preserve">Tài khoản / đăng nhập</x:t>
        </x:is>
      </x:c>
      <x:c r="C381" s="20" t="inlineStr">
        <x:is>
          <x:t xml:space="preserve">PLAN-008</x:t>
        </x:is>
      </x:c>
      <x:c r="D381" s="20" t="inlineStr">
        <x:is>
          <x:t xml:space="preserve">Điện thoại, email, phiên, khôi phục, quyền riêng tư</x:t>
        </x:is>
      </x:c>
      <x:c r="E381" s="20" t="inlineStr">
        <x:is>
          <x:t xml:space="preserve">Khi chức năng hoặc hợp đồng kỹ thuật đổi</x:t>
        </x:is>
      </x:c>
      <x:c r="F381" s="20" t="inlineStr">
        <x:is>
          <x:t xml:space="preserve">Cập nhật nguồn JSON/MD/OpenAPI/DDL tương ứng, tái tạo viewer/ZIP và ghi kiểm chứng</x:t>
        </x:is>
      </x:c>
    </x:row>
    <x:row r="382" ht="52" customHeight="1">
      <x:c r="A382" s="20" t="inlineStr">
        <x:is>
          <x:t xml:space="preserve">F01</x:t>
        </x:is>
      </x:c>
      <x:c r="B382" s="20" t="inlineStr">
        <x:is>
          <x:t xml:space="preserve">Tài khoản / đăng nhập</x:t>
        </x:is>
      </x:c>
      <x:c r="C382" s="20" t="inlineStr">
        <x:is>
          <x:t xml:space="preserve">DOC-037</x:t>
        </x:is>
      </x:c>
      <x:c r="D382" s="20" t="inlineStr">
        <x:is>
          <x:t xml:space="preserve">Điện thoại, email, phiên, khôi phục, quyền riêng tư</x:t>
        </x:is>
      </x:c>
      <x:c r="E382" s="20" t="inlineStr">
        <x:is>
          <x:t xml:space="preserve">Khi chức năng hoặc hợp đồng kỹ thuật đổi</x:t>
        </x:is>
      </x:c>
      <x:c r="F382" s="20" t="inlineStr">
        <x:is>
          <x:t xml:space="preserve">Cập nhật nguồn JSON/MD/OpenAPI/DDL tương ứng, tái tạo viewer/ZIP và ghi kiểm chứng</x:t>
        </x:is>
      </x:c>
    </x:row>
    <x:row r="383" ht="52" customHeight="1">
      <x:c r="A383" s="20" t="inlineStr">
        <x:is>
          <x:t xml:space="preserve">F01</x:t>
        </x:is>
      </x:c>
      <x:c r="B383" s="20" t="inlineStr">
        <x:is>
          <x:t xml:space="preserve">Tài khoản / đăng nhập</x:t>
        </x:is>
      </x:c>
      <x:c r="C383" s="20" t="inlineStr">
        <x:is>
          <x:t xml:space="preserve">DOC-038</x:t>
        </x:is>
      </x:c>
      <x:c r="D383" s="20" t="inlineStr">
        <x:is>
          <x:t xml:space="preserve">Điện thoại, email, phiên, khôi phục, quyền riêng tư</x:t>
        </x:is>
      </x:c>
      <x:c r="E383" s="20" t="inlineStr">
        <x:is>
          <x:t xml:space="preserve">Khi chức năng hoặc hợp đồng kỹ thuật đổi</x:t>
        </x:is>
      </x:c>
      <x:c r="F383" s="20" t="inlineStr">
        <x:is>
          <x:t xml:space="preserve">Cập nhật nguồn JSON/MD/OpenAPI/DDL tương ứng, tái tạo viewer/ZIP và ghi kiểm chứng</x:t>
        </x:is>
      </x:c>
    </x:row>
    <x:row r="384" ht="52" customHeight="1">
      <x:c r="A384" s="20" t="inlineStr">
        <x:is>
          <x:t xml:space="preserve">F01</x:t>
        </x:is>
      </x:c>
      <x:c r="B384" s="20" t="inlineStr">
        <x:is>
          <x:t xml:space="preserve">Tài khoản / đăng nhập</x:t>
        </x:is>
      </x:c>
      <x:c r="C384" s="20" t="inlineStr">
        <x:is>
          <x:t xml:space="preserve">DOC-039</x:t>
        </x:is>
      </x:c>
      <x:c r="D384" s="20" t="inlineStr">
        <x:is>
          <x:t xml:space="preserve">Điện thoại, email, phiên, khôi phục, quyền riêng tư</x:t>
        </x:is>
      </x:c>
      <x:c r="E384" s="20" t="inlineStr">
        <x:is>
          <x:t xml:space="preserve">Khi chức năng hoặc hợp đồng kỹ thuật đổi</x:t>
        </x:is>
      </x:c>
      <x:c r="F384" s="20" t="inlineStr">
        <x:is>
          <x:t xml:space="preserve">Cập nhật nguồn JSON/MD/OpenAPI/DDL tương ứng, tái tạo viewer/ZIP và ghi kiểm chứng</x:t>
        </x:is>
      </x:c>
    </x:row>
    <x:row r="385" ht="52" customHeight="1">
      <x:c r="A385" s="20" t="inlineStr">
        <x:is>
          <x:t xml:space="preserve">F01</x:t>
        </x:is>
      </x:c>
      <x:c r="B385" s="20" t="inlineStr">
        <x:is>
          <x:t xml:space="preserve">Tài khoản / đăng nhập</x:t>
        </x:is>
      </x:c>
      <x:c r="C385" s="20" t="inlineStr">
        <x:is>
          <x:t xml:space="preserve">DOC-040</x:t>
        </x:is>
      </x:c>
      <x:c r="D385" s="20" t="inlineStr">
        <x:is>
          <x:t xml:space="preserve">Điện thoại, email, phiên, khôi phục, quyền riêng tư</x:t>
        </x:is>
      </x:c>
      <x:c r="E385" s="20" t="inlineStr">
        <x:is>
          <x:t xml:space="preserve">Khi chức năng hoặc hợp đồng kỹ thuật đổi</x:t>
        </x:is>
      </x:c>
      <x:c r="F385" s="20" t="inlineStr">
        <x:is>
          <x:t xml:space="preserve">Cập nhật nguồn JSON/MD/OpenAPI/DDL tương ứng, tái tạo viewer/ZIP và ghi kiểm chứng</x:t>
        </x:is>
      </x:c>
    </x:row>
    <x:row r="386" ht="52" customHeight="1">
      <x:c r="A386" s="20" t="inlineStr">
        <x:is>
          <x:t xml:space="preserve">F01</x:t>
        </x:is>
      </x:c>
      <x:c r="B386" s="20" t="inlineStr">
        <x:is>
          <x:t xml:space="preserve">Tài khoản / đăng nhập</x:t>
        </x:is>
      </x:c>
      <x:c r="C386" s="20" t="inlineStr">
        <x:is>
          <x:t xml:space="preserve">DOC-041</x:t>
        </x:is>
      </x:c>
      <x:c r="D386" s="20" t="inlineStr">
        <x:is>
          <x:t xml:space="preserve">Điện thoại, email, phiên, khôi phục, quyền riêng tư</x:t>
        </x:is>
      </x:c>
      <x:c r="E386" s="20" t="inlineStr">
        <x:is>
          <x:t xml:space="preserve">Khi chức năng hoặc hợp đồng kỹ thuật đổi</x:t>
        </x:is>
      </x:c>
      <x:c r="F386" s="20" t="inlineStr">
        <x:is>
          <x:t xml:space="preserve">Cập nhật nguồn JSON/MD/OpenAPI/DDL tương ứng, tái tạo viewer/ZIP và ghi kiểm chứng</x:t>
        </x:is>
      </x:c>
    </x:row>
    <x:row r="387" ht="52" customHeight="1">
      <x:c r="A387" s="20" t="inlineStr">
        <x:is>
          <x:t xml:space="preserve">F01</x:t>
        </x:is>
      </x:c>
      <x:c r="B387" s="20" t="inlineStr">
        <x:is>
          <x:t xml:space="preserve">Tài khoản / đăng nhập</x:t>
        </x:is>
      </x:c>
      <x:c r="C387" s="20" t="inlineStr">
        <x:is>
          <x:t xml:space="preserve">DOC-042</x:t>
        </x:is>
      </x:c>
      <x:c r="D387" s="20" t="inlineStr">
        <x:is>
          <x:t xml:space="preserve">Điện thoại, email, phiên, khôi phục, quyền riêng tư</x:t>
        </x:is>
      </x:c>
      <x:c r="E387" s="20" t="inlineStr">
        <x:is>
          <x:t xml:space="preserve">Khi chức năng hoặc hợp đồng kỹ thuật đổi</x:t>
        </x:is>
      </x:c>
      <x:c r="F387" s="20" t="inlineStr">
        <x:is>
          <x:t xml:space="preserve">Cập nhật nguồn JSON/MD/OpenAPI/DDL tương ứng, tái tạo viewer/ZIP và ghi kiểm chứng</x:t>
        </x:is>
      </x:c>
    </x:row>
    <x:row r="388" ht="52" customHeight="1">
      <x:c r="A388" s="20" t="inlineStr">
        <x:is>
          <x:t xml:space="preserve">F01</x:t>
        </x:is>
      </x:c>
      <x:c r="B388" s="20" t="inlineStr">
        <x:is>
          <x:t xml:space="preserve">Tài khoản / đăng nhập</x:t>
        </x:is>
      </x:c>
      <x:c r="C388" s="20" t="inlineStr">
        <x:is>
          <x:t xml:space="preserve">DOC-043</x:t>
        </x:is>
      </x:c>
      <x:c r="D388" s="20" t="inlineStr">
        <x:is>
          <x:t xml:space="preserve">Điện thoại, email, phiên, khôi phục, quyền riêng tư</x:t>
        </x:is>
      </x:c>
      <x:c r="E388" s="20" t="inlineStr">
        <x:is>
          <x:t xml:space="preserve">Khi chức năng hoặc hợp đồng kỹ thuật đổi</x:t>
        </x:is>
      </x:c>
      <x:c r="F388" s="20" t="inlineStr">
        <x:is>
          <x:t xml:space="preserve">Cập nhật nguồn JSON/MD/OpenAPI/DDL tương ứng, tái tạo viewer/ZIP và ghi kiểm chứng</x:t>
        </x:is>
      </x:c>
    </x:row>
    <x:row r="389" ht="52" customHeight="1">
      <x:c r="A389" s="20" t="inlineStr">
        <x:is>
          <x:t xml:space="preserve">F01</x:t>
        </x:is>
      </x:c>
      <x:c r="B389" s="20" t="inlineStr">
        <x:is>
          <x:t xml:space="preserve">Tài khoản / đăng nhập</x:t>
        </x:is>
      </x:c>
      <x:c r="C389" s="20" t="inlineStr">
        <x:is>
          <x:t xml:space="preserve">DOC-044</x:t>
        </x:is>
      </x:c>
      <x:c r="D389" s="20" t="inlineStr">
        <x:is>
          <x:t xml:space="preserve">Điện thoại, email, phiên, khôi phục, quyền riêng tư</x:t>
        </x:is>
      </x:c>
      <x:c r="E389" s="20" t="inlineStr">
        <x:is>
          <x:t xml:space="preserve">Khi chức năng hoặc hợp đồng kỹ thuật đổi</x:t>
        </x:is>
      </x:c>
      <x:c r="F389" s="20" t="inlineStr">
        <x:is>
          <x:t xml:space="preserve">Cập nhật nguồn JSON/MD/OpenAPI/DDL tương ứng, tái tạo viewer/ZIP và ghi kiểm chứng</x:t>
        </x:is>
      </x:c>
    </x:row>
    <x:row r="390" ht="52" customHeight="1">
      <x:c r="A390" s="20" t="inlineStr">
        <x:is>
          <x:t xml:space="preserve">F01</x:t>
        </x:is>
      </x:c>
      <x:c r="B390" s="20" t="inlineStr">
        <x:is>
          <x:t xml:space="preserve">Tài khoản / đăng nhập</x:t>
        </x:is>
      </x:c>
      <x:c r="C390" s="20" t="inlineStr">
        <x:is>
          <x:t xml:space="preserve">DOC-045</x:t>
        </x:is>
      </x:c>
      <x:c r="D390" s="20" t="inlineStr">
        <x:is>
          <x:t xml:space="preserve">Điện thoại, email, phiên, khôi phục, quyền riêng tư</x:t>
        </x:is>
      </x:c>
      <x:c r="E390" s="20" t="inlineStr">
        <x:is>
          <x:t xml:space="preserve">Khi chức năng hoặc hợp đồng kỹ thuật đổi</x:t>
        </x:is>
      </x:c>
      <x:c r="F390" s="20" t="inlineStr">
        <x:is>
          <x:t xml:space="preserve">Cập nhật nguồn JSON/MD/OpenAPI/DDL tương ứng, tái tạo viewer/ZIP và ghi kiểm chứng</x:t>
        </x:is>
      </x:c>
    </x:row>
    <x:row r="391" ht="52" customHeight="1">
      <x:c r="A391" s="20" t="inlineStr">
        <x:is>
          <x:t xml:space="preserve">F01</x:t>
        </x:is>
      </x:c>
      <x:c r="B391" s="20" t="inlineStr">
        <x:is>
          <x:t xml:space="preserve">Tài khoản / đăng nhập</x:t>
        </x:is>
      </x:c>
      <x:c r="C391" s="20" t="inlineStr">
        <x:is>
          <x:t xml:space="preserve">DOC-046</x:t>
        </x:is>
      </x:c>
      <x:c r="D391" s="20" t="inlineStr">
        <x:is>
          <x:t xml:space="preserve">Điện thoại, email, phiên, khôi phục, quyền riêng tư</x:t>
        </x:is>
      </x:c>
      <x:c r="E391" s="20" t="inlineStr">
        <x:is>
          <x:t xml:space="preserve">Khi chức năng hoặc hợp đồng kỹ thuật đổi</x:t>
        </x:is>
      </x:c>
      <x:c r="F391" s="20" t="inlineStr">
        <x:is>
          <x:t xml:space="preserve">Cập nhật nguồn JSON/MD/OpenAPI/DDL tương ứng, tái tạo viewer/ZIP và ghi kiểm chứng</x:t>
        </x:is>
      </x:c>
    </x:row>
    <x:row r="392" ht="52" customHeight="1">
      <x:c r="A392" s="20" t="inlineStr">
        <x:is>
          <x:t xml:space="preserve">F01</x:t>
        </x:is>
      </x:c>
      <x:c r="B392" s="20" t="inlineStr">
        <x:is>
          <x:t xml:space="preserve">Tài khoản / đăng nhập</x:t>
        </x:is>
      </x:c>
      <x:c r="C392" s="20" t="inlineStr">
        <x:is>
          <x:t xml:space="preserve">DOC-047</x:t>
        </x:is>
      </x:c>
      <x:c r="D392" s="20" t="inlineStr">
        <x:is>
          <x:t xml:space="preserve">Điện thoại, email, phiên, khôi phục, quyền riêng tư</x:t>
        </x:is>
      </x:c>
      <x:c r="E392" s="20" t="inlineStr">
        <x:is>
          <x:t xml:space="preserve">Khi chức năng hoặc hợp đồng kỹ thuật đổi</x:t>
        </x:is>
      </x:c>
      <x:c r="F392" s="20" t="inlineStr">
        <x:is>
          <x:t xml:space="preserve">Cập nhật nguồn JSON/MD/OpenAPI/DDL tương ứng, tái tạo viewer/ZIP và ghi kiểm chứng</x:t>
        </x:is>
      </x:c>
    </x:row>
    <x:row r="393" ht="52" customHeight="1">
      <x:c r="A393" s="20" t="inlineStr">
        <x:is>
          <x:t xml:space="preserve">F01</x:t>
        </x:is>
      </x:c>
      <x:c r="B393" s="20" t="inlineStr">
        <x:is>
          <x:t xml:space="preserve">Tài khoản / đăng nhập</x:t>
        </x:is>
      </x:c>
      <x:c r="C393" s="20" t="inlineStr">
        <x:is>
          <x:t xml:space="preserve">DOC-048</x:t>
        </x:is>
      </x:c>
      <x:c r="D393" s="20" t="inlineStr">
        <x:is>
          <x:t xml:space="preserve">Điện thoại, email, phiên, khôi phục, quyền riêng tư</x:t>
        </x:is>
      </x:c>
      <x:c r="E393" s="20" t="inlineStr">
        <x:is>
          <x:t xml:space="preserve">Khi chức năng hoặc hợp đồng kỹ thuật đổi</x:t>
        </x:is>
      </x:c>
      <x:c r="F393" s="20" t="inlineStr">
        <x:is>
          <x:t xml:space="preserve">Cập nhật nguồn JSON/MD/OpenAPI/DDL tương ứng, tái tạo viewer/ZIP và ghi kiểm chứng</x:t>
        </x:is>
      </x:c>
    </x:row>
    <x:row r="394" ht="52" customHeight="1">
      <x:c r="A394" s="20" t="inlineStr">
        <x:is>
          <x:t xml:space="preserve">F02</x:t>
        </x:is>
      </x:c>
      <x:c r="B394" s="20" t="inlineStr">
        <x:is>
          <x:t xml:space="preserve">Danh mục / kỹ năng đa ngành</x:t>
        </x:is>
      </x:c>
      <x:c r="C394" s="20" t="inlineStr">
        <x:is>
          <x:t xml:space="preserve">PLAN-001</x:t>
        </x:is>
      </x:c>
      <x:c r="D394" s="20" t="inlineStr">
        <x:is>
          <x:t xml:space="preserve">Ngành và kỹ năng cấu hình, ẩn kỹ năng cũ</x:t>
        </x:is>
      </x:c>
      <x:c r="E394" s="20" t="inlineStr">
        <x:is>
          <x:t xml:space="preserve">Khi chức năng hoặc hợp đồng kỹ thuật đổi</x:t>
        </x:is>
      </x:c>
      <x:c r="F394" s="20" t="inlineStr">
        <x:is>
          <x:t xml:space="preserve">Cập nhật nguồn JSON/MD/OpenAPI/DDL tương ứng, tái tạo viewer/ZIP và ghi kiểm chứng</x:t>
        </x:is>
      </x:c>
    </x:row>
    <x:row r="395" ht="52" customHeight="1">
      <x:c r="A395" s="20" t="inlineStr">
        <x:is>
          <x:t xml:space="preserve">F02</x:t>
        </x:is>
      </x:c>
      <x:c r="B395" s="20" t="inlineStr">
        <x:is>
          <x:t xml:space="preserve">Danh mục / kỹ năng đa ngành</x:t>
        </x:is>
      </x:c>
      <x:c r="C395" s="20" t="inlineStr">
        <x:is>
          <x:t xml:space="preserve">PLAN-002</x:t>
        </x:is>
      </x:c>
      <x:c r="D395" s="20" t="inlineStr">
        <x:is>
          <x:t xml:space="preserve">Ngành và kỹ năng cấu hình, ẩn kỹ năng cũ</x:t>
        </x:is>
      </x:c>
      <x:c r="E395" s="20" t="inlineStr">
        <x:is>
          <x:t xml:space="preserve">Khi chức năng hoặc hợp đồng kỹ thuật đổi</x:t>
        </x:is>
      </x:c>
      <x:c r="F395" s="20" t="inlineStr">
        <x:is>
          <x:t xml:space="preserve">Cập nhật nguồn JSON/MD/OpenAPI/DDL tương ứng, tái tạo viewer/ZIP và ghi kiểm chứng</x:t>
        </x:is>
      </x:c>
    </x:row>
    <x:row r="396" ht="52" customHeight="1">
      <x:c r="A396" s="20" t="inlineStr">
        <x:is>
          <x:t xml:space="preserve">F02</x:t>
        </x:is>
      </x:c>
      <x:c r="B396" s="20" t="inlineStr">
        <x:is>
          <x:t xml:space="preserve">Danh mục / kỹ năng đa ngành</x:t>
        </x:is>
      </x:c>
      <x:c r="C396" s="20" t="inlineStr">
        <x:is>
          <x:t xml:space="preserve">PLAN-003</x:t>
        </x:is>
      </x:c>
      <x:c r="D396" s="20" t="inlineStr">
        <x:is>
          <x:t xml:space="preserve">Ngành và kỹ năng cấu hình, ẩn kỹ năng cũ</x:t>
        </x:is>
      </x:c>
      <x:c r="E396" s="20" t="inlineStr">
        <x:is>
          <x:t xml:space="preserve">Khi chức năng hoặc hợp đồng kỹ thuật đổi</x:t>
        </x:is>
      </x:c>
      <x:c r="F396" s="20" t="inlineStr">
        <x:is>
          <x:t xml:space="preserve">Cập nhật nguồn JSON/MD/OpenAPI/DDL tương ứng, tái tạo viewer/ZIP và ghi kiểm chứng</x:t>
        </x:is>
      </x:c>
    </x:row>
    <x:row r="397" ht="52" customHeight="1">
      <x:c r="A397" s="20" t="inlineStr">
        <x:is>
          <x:t xml:space="preserve">F02</x:t>
        </x:is>
      </x:c>
      <x:c r="B397" s="20" t="inlineStr">
        <x:is>
          <x:t xml:space="preserve">Danh mục / kỹ năng đa ngành</x:t>
        </x:is>
      </x:c>
      <x:c r="C397" s="20" t="inlineStr">
        <x:is>
          <x:t xml:space="preserve">PLAN-008</x:t>
        </x:is>
      </x:c>
      <x:c r="D397" s="20" t="inlineStr">
        <x:is>
          <x:t xml:space="preserve">Ngành và kỹ năng cấu hình, ẩn kỹ năng cũ</x:t>
        </x:is>
      </x:c>
      <x:c r="E397" s="20" t="inlineStr">
        <x:is>
          <x:t xml:space="preserve">Khi chức năng hoặc hợp đồng kỹ thuật đổi</x:t>
        </x:is>
      </x:c>
      <x:c r="F397" s="20" t="inlineStr">
        <x:is>
          <x:t xml:space="preserve">Cập nhật nguồn JSON/MD/OpenAPI/DDL tương ứng, tái tạo viewer/ZIP và ghi kiểm chứng</x:t>
        </x:is>
      </x:c>
    </x:row>
    <x:row r="398" ht="52" customHeight="1">
      <x:c r="A398" s="20" t="inlineStr">
        <x:is>
          <x:t xml:space="preserve">F02</x:t>
        </x:is>
      </x:c>
      <x:c r="B398" s="20" t="inlineStr">
        <x:is>
          <x:t xml:space="preserve">Danh mục / kỹ năng đa ngành</x:t>
        </x:is>
      </x:c>
      <x:c r="C398" s="20" t="inlineStr">
        <x:is>
          <x:t xml:space="preserve">DOC-037</x:t>
        </x:is>
      </x:c>
      <x:c r="D398" s="20" t="inlineStr">
        <x:is>
          <x:t xml:space="preserve">Ngành và kỹ năng cấu hình, ẩn kỹ năng cũ</x:t>
        </x:is>
      </x:c>
      <x:c r="E398" s="20" t="inlineStr">
        <x:is>
          <x:t xml:space="preserve">Khi chức năng hoặc hợp đồng kỹ thuật đổi</x:t>
        </x:is>
      </x:c>
      <x:c r="F398" s="20" t="inlineStr">
        <x:is>
          <x:t xml:space="preserve">Cập nhật nguồn JSON/MD/OpenAPI/DDL tương ứng, tái tạo viewer/ZIP và ghi kiểm chứng</x:t>
        </x:is>
      </x:c>
    </x:row>
    <x:row r="399" ht="52" customHeight="1">
      <x:c r="A399" s="20" t="inlineStr">
        <x:is>
          <x:t xml:space="preserve">F02</x:t>
        </x:is>
      </x:c>
      <x:c r="B399" s="20" t="inlineStr">
        <x:is>
          <x:t xml:space="preserve">Danh mục / kỹ năng đa ngành</x:t>
        </x:is>
      </x:c>
      <x:c r="C399" s="20" t="inlineStr">
        <x:is>
          <x:t xml:space="preserve">DOC-038</x:t>
        </x:is>
      </x:c>
      <x:c r="D399" s="20" t="inlineStr">
        <x:is>
          <x:t xml:space="preserve">Ngành và kỹ năng cấu hình, ẩn kỹ năng cũ</x:t>
        </x:is>
      </x:c>
      <x:c r="E399" s="20" t="inlineStr">
        <x:is>
          <x:t xml:space="preserve">Khi chức năng hoặc hợp đồng kỹ thuật đổi</x:t>
        </x:is>
      </x:c>
      <x:c r="F399" s="20" t="inlineStr">
        <x:is>
          <x:t xml:space="preserve">Cập nhật nguồn JSON/MD/OpenAPI/DDL tương ứng, tái tạo viewer/ZIP và ghi kiểm chứng</x:t>
        </x:is>
      </x:c>
    </x:row>
    <x:row r="400" ht="52" customHeight="1">
      <x:c r="A400" s="20" t="inlineStr">
        <x:is>
          <x:t xml:space="preserve">F02</x:t>
        </x:is>
      </x:c>
      <x:c r="B400" s="20" t="inlineStr">
        <x:is>
          <x:t xml:space="preserve">Danh mục / kỹ năng đa ngành</x:t>
        </x:is>
      </x:c>
      <x:c r="C400" s="20" t="inlineStr">
        <x:is>
          <x:t xml:space="preserve">DOC-039</x:t>
        </x:is>
      </x:c>
      <x:c r="D400" s="20" t="inlineStr">
        <x:is>
          <x:t xml:space="preserve">Ngành và kỹ năng cấu hình, ẩn kỹ năng cũ</x:t>
        </x:is>
      </x:c>
      <x:c r="E400" s="20" t="inlineStr">
        <x:is>
          <x:t xml:space="preserve">Khi chức năng hoặc hợp đồng kỹ thuật đổi</x:t>
        </x:is>
      </x:c>
      <x:c r="F400" s="20" t="inlineStr">
        <x:is>
          <x:t xml:space="preserve">Cập nhật nguồn JSON/MD/OpenAPI/DDL tương ứng, tái tạo viewer/ZIP và ghi kiểm chứng</x:t>
        </x:is>
      </x:c>
    </x:row>
    <x:row r="401" ht="52" customHeight="1">
      <x:c r="A401" s="20" t="inlineStr">
        <x:is>
          <x:t xml:space="preserve">F02</x:t>
        </x:is>
      </x:c>
      <x:c r="B401" s="20" t="inlineStr">
        <x:is>
          <x:t xml:space="preserve">Danh mục / kỹ năng đa ngành</x:t>
        </x:is>
      </x:c>
      <x:c r="C401" s="20" t="inlineStr">
        <x:is>
          <x:t xml:space="preserve">DOC-040</x:t>
        </x:is>
      </x:c>
      <x:c r="D401" s="20" t="inlineStr">
        <x:is>
          <x:t xml:space="preserve">Ngành và kỹ năng cấu hình, ẩn kỹ năng cũ</x:t>
        </x:is>
      </x:c>
      <x:c r="E401" s="20" t="inlineStr">
        <x:is>
          <x:t xml:space="preserve">Khi chức năng hoặc hợp đồng kỹ thuật đổi</x:t>
        </x:is>
      </x:c>
      <x:c r="F401" s="20" t="inlineStr">
        <x:is>
          <x:t xml:space="preserve">Cập nhật nguồn JSON/MD/OpenAPI/DDL tương ứng, tái tạo viewer/ZIP và ghi kiểm chứng</x:t>
        </x:is>
      </x:c>
    </x:row>
    <x:row r="402" ht="52" customHeight="1">
      <x:c r="A402" s="20" t="inlineStr">
        <x:is>
          <x:t xml:space="preserve">F02</x:t>
        </x:is>
      </x:c>
      <x:c r="B402" s="20" t="inlineStr">
        <x:is>
          <x:t xml:space="preserve">Danh mục / kỹ năng đa ngành</x:t>
        </x:is>
      </x:c>
      <x:c r="C402" s="20" t="inlineStr">
        <x:is>
          <x:t xml:space="preserve">DOC-041</x:t>
        </x:is>
      </x:c>
      <x:c r="D402" s="20" t="inlineStr">
        <x:is>
          <x:t xml:space="preserve">Ngành và kỹ năng cấu hình, ẩn kỹ năng cũ</x:t>
        </x:is>
      </x:c>
      <x:c r="E402" s="20" t="inlineStr">
        <x:is>
          <x:t xml:space="preserve">Khi chức năng hoặc hợp đồng kỹ thuật đổi</x:t>
        </x:is>
      </x:c>
      <x:c r="F402" s="20" t="inlineStr">
        <x:is>
          <x:t xml:space="preserve">Cập nhật nguồn JSON/MD/OpenAPI/DDL tương ứng, tái tạo viewer/ZIP và ghi kiểm chứng</x:t>
        </x:is>
      </x:c>
    </x:row>
    <x:row r="403" ht="52" customHeight="1">
      <x:c r="A403" s="20" t="inlineStr">
        <x:is>
          <x:t xml:space="preserve">F02</x:t>
        </x:is>
      </x:c>
      <x:c r="B403" s="20" t="inlineStr">
        <x:is>
          <x:t xml:space="preserve">Danh mục / kỹ năng đa ngành</x:t>
        </x:is>
      </x:c>
      <x:c r="C403" s="20" t="inlineStr">
        <x:is>
          <x:t xml:space="preserve">DOC-042</x:t>
        </x:is>
      </x:c>
      <x:c r="D403" s="20" t="inlineStr">
        <x:is>
          <x:t xml:space="preserve">Ngành và kỹ năng cấu hình, ẩn kỹ năng cũ</x:t>
        </x:is>
      </x:c>
      <x:c r="E403" s="20" t="inlineStr">
        <x:is>
          <x:t xml:space="preserve">Khi chức năng hoặc hợp đồng kỹ thuật đổi</x:t>
        </x:is>
      </x:c>
      <x:c r="F403" s="20" t="inlineStr">
        <x:is>
          <x:t xml:space="preserve">Cập nhật nguồn JSON/MD/OpenAPI/DDL tương ứng, tái tạo viewer/ZIP và ghi kiểm chứng</x:t>
        </x:is>
      </x:c>
    </x:row>
    <x:row r="404" ht="52" customHeight="1">
      <x:c r="A404" s="20" t="inlineStr">
        <x:is>
          <x:t xml:space="preserve">F02</x:t>
        </x:is>
      </x:c>
      <x:c r="B404" s="20" t="inlineStr">
        <x:is>
          <x:t xml:space="preserve">Danh mục / kỹ năng đa ngành</x:t>
        </x:is>
      </x:c>
      <x:c r="C404" s="20" t="inlineStr">
        <x:is>
          <x:t xml:space="preserve">DOC-043</x:t>
        </x:is>
      </x:c>
      <x:c r="D404" s="20" t="inlineStr">
        <x:is>
          <x:t xml:space="preserve">Ngành và kỹ năng cấu hình, ẩn kỹ năng cũ</x:t>
        </x:is>
      </x:c>
      <x:c r="E404" s="20" t="inlineStr">
        <x:is>
          <x:t xml:space="preserve">Khi chức năng hoặc hợp đồng kỹ thuật đổi</x:t>
        </x:is>
      </x:c>
      <x:c r="F404" s="20" t="inlineStr">
        <x:is>
          <x:t xml:space="preserve">Cập nhật nguồn JSON/MD/OpenAPI/DDL tương ứng, tái tạo viewer/ZIP và ghi kiểm chứng</x:t>
        </x:is>
      </x:c>
    </x:row>
    <x:row r="405" ht="52" customHeight="1">
      <x:c r="A405" s="20" t="inlineStr">
        <x:is>
          <x:t xml:space="preserve">F02</x:t>
        </x:is>
      </x:c>
      <x:c r="B405" s="20" t="inlineStr">
        <x:is>
          <x:t xml:space="preserve">Danh mục / kỹ năng đa ngành</x:t>
        </x:is>
      </x:c>
      <x:c r="C405" s="20" t="inlineStr">
        <x:is>
          <x:t xml:space="preserve">DOC-044</x:t>
        </x:is>
      </x:c>
      <x:c r="D405" s="20" t="inlineStr">
        <x:is>
          <x:t xml:space="preserve">Ngành và kỹ năng cấu hình, ẩn kỹ năng cũ</x:t>
        </x:is>
      </x:c>
      <x:c r="E405" s="20" t="inlineStr">
        <x:is>
          <x:t xml:space="preserve">Khi chức năng hoặc hợp đồng kỹ thuật đổi</x:t>
        </x:is>
      </x:c>
      <x:c r="F405" s="20" t="inlineStr">
        <x:is>
          <x:t xml:space="preserve">Cập nhật nguồn JSON/MD/OpenAPI/DDL tương ứng, tái tạo viewer/ZIP và ghi kiểm chứng</x:t>
        </x:is>
      </x:c>
    </x:row>
    <x:row r="406" ht="52" customHeight="1">
      <x:c r="A406" s="20" t="inlineStr">
        <x:is>
          <x:t xml:space="preserve">F02</x:t>
        </x:is>
      </x:c>
      <x:c r="B406" s="20" t="inlineStr">
        <x:is>
          <x:t xml:space="preserve">Danh mục / kỹ năng đa ngành</x:t>
        </x:is>
      </x:c>
      <x:c r="C406" s="20" t="inlineStr">
        <x:is>
          <x:t xml:space="preserve">DOC-045</x:t>
        </x:is>
      </x:c>
      <x:c r="D406" s="20" t="inlineStr">
        <x:is>
          <x:t xml:space="preserve">Ngành và kỹ năng cấu hình, ẩn kỹ năng cũ</x:t>
        </x:is>
      </x:c>
      <x:c r="E406" s="20" t="inlineStr">
        <x:is>
          <x:t xml:space="preserve">Khi chức năng hoặc hợp đồng kỹ thuật đổi</x:t>
        </x:is>
      </x:c>
      <x:c r="F406" s="20" t="inlineStr">
        <x:is>
          <x:t xml:space="preserve">Cập nhật nguồn JSON/MD/OpenAPI/DDL tương ứng, tái tạo viewer/ZIP và ghi kiểm chứng</x:t>
        </x:is>
      </x:c>
    </x:row>
    <x:row r="407" ht="52" customHeight="1">
      <x:c r="A407" s="20" t="inlineStr">
        <x:is>
          <x:t xml:space="preserve">F02</x:t>
        </x:is>
      </x:c>
      <x:c r="B407" s="20" t="inlineStr">
        <x:is>
          <x:t xml:space="preserve">Danh mục / kỹ năng đa ngành</x:t>
        </x:is>
      </x:c>
      <x:c r="C407" s="20" t="inlineStr">
        <x:is>
          <x:t xml:space="preserve">DOC-046</x:t>
        </x:is>
      </x:c>
      <x:c r="D407" s="20" t="inlineStr">
        <x:is>
          <x:t xml:space="preserve">Ngành và kỹ năng cấu hình, ẩn kỹ năng cũ</x:t>
        </x:is>
      </x:c>
      <x:c r="E407" s="20" t="inlineStr">
        <x:is>
          <x:t xml:space="preserve">Khi chức năng hoặc hợp đồng kỹ thuật đổi</x:t>
        </x:is>
      </x:c>
      <x:c r="F407" s="20" t="inlineStr">
        <x:is>
          <x:t xml:space="preserve">Cập nhật nguồn JSON/MD/OpenAPI/DDL tương ứng, tái tạo viewer/ZIP và ghi kiểm chứng</x:t>
        </x:is>
      </x:c>
    </x:row>
    <x:row r="408" ht="52" customHeight="1">
      <x:c r="A408" s="20" t="inlineStr">
        <x:is>
          <x:t xml:space="preserve">F02</x:t>
        </x:is>
      </x:c>
      <x:c r="B408" s="20" t="inlineStr">
        <x:is>
          <x:t xml:space="preserve">Danh mục / kỹ năng đa ngành</x:t>
        </x:is>
      </x:c>
      <x:c r="C408" s="20" t="inlineStr">
        <x:is>
          <x:t xml:space="preserve">DOC-047</x:t>
        </x:is>
      </x:c>
      <x:c r="D408" s="20" t="inlineStr">
        <x:is>
          <x:t xml:space="preserve">Ngành và kỹ năng cấu hình, ẩn kỹ năng cũ</x:t>
        </x:is>
      </x:c>
      <x:c r="E408" s="20" t="inlineStr">
        <x:is>
          <x:t xml:space="preserve">Khi chức năng hoặc hợp đồng kỹ thuật đổi</x:t>
        </x:is>
      </x:c>
      <x:c r="F408" s="20" t="inlineStr">
        <x:is>
          <x:t xml:space="preserve">Cập nhật nguồn JSON/MD/OpenAPI/DDL tương ứng, tái tạo viewer/ZIP và ghi kiểm chứng</x:t>
        </x:is>
      </x:c>
    </x:row>
    <x:row r="409" ht="52" customHeight="1">
      <x:c r="A409" s="20" t="inlineStr">
        <x:is>
          <x:t xml:space="preserve">F02</x:t>
        </x:is>
      </x:c>
      <x:c r="B409" s="20" t="inlineStr">
        <x:is>
          <x:t xml:space="preserve">Danh mục / kỹ năng đa ngành</x:t>
        </x:is>
      </x:c>
      <x:c r="C409" s="20" t="inlineStr">
        <x:is>
          <x:t xml:space="preserve">DOC-048</x:t>
        </x:is>
      </x:c>
      <x:c r="D409" s="20" t="inlineStr">
        <x:is>
          <x:t xml:space="preserve">Ngành và kỹ năng cấu hình, ẩn kỹ năng cũ</x:t>
        </x:is>
      </x:c>
      <x:c r="E409" s="20" t="inlineStr">
        <x:is>
          <x:t xml:space="preserve">Khi chức năng hoặc hợp đồng kỹ thuật đổi</x:t>
        </x:is>
      </x:c>
      <x:c r="F409" s="20" t="inlineStr">
        <x:is>
          <x:t xml:space="preserve">Cập nhật nguồn JSON/MD/OpenAPI/DDL tương ứng, tái tạo viewer/ZIP và ghi kiểm chứng</x:t>
        </x:is>
      </x:c>
    </x:row>
    <x:row r="410" ht="52" customHeight="1">
      <x:c r="A410" s="20" t="inlineStr">
        <x:is>
          <x:t xml:space="preserve">F03</x:t>
        </x:is>
      </x:c>
      <x:c r="B410" s="20" t="inlineStr">
        <x:is>
          <x:t xml:space="preserve">Hồ sơ / xác minh partner</x:t>
        </x:is>
      </x:c>
      <x:c r="C410" s="20" t="inlineStr">
        <x:is>
          <x:t xml:space="preserve">PLAN-001</x:t>
        </x:is>
      </x:c>
      <x:c r="D410" s="20" t="inlineStr">
        <x:is>
          <x:t xml:space="preserve">Cá nhân, cửa hàng, doanh nghiệp; trạng thái xác minh</x:t>
        </x:is>
      </x:c>
      <x:c r="E410" s="20" t="inlineStr">
        <x:is>
          <x:t xml:space="preserve">Khi chức năng hoặc hợp đồng kỹ thuật đổi</x:t>
        </x:is>
      </x:c>
      <x:c r="F410" s="20" t="inlineStr">
        <x:is>
          <x:t xml:space="preserve">Cập nhật nguồn JSON/MD/OpenAPI/DDL tương ứng, tái tạo viewer/ZIP và ghi kiểm chứng</x:t>
        </x:is>
      </x:c>
    </x:row>
    <x:row r="411" ht="52" customHeight="1">
      <x:c r="A411" s="20" t="inlineStr">
        <x:is>
          <x:t xml:space="preserve">F03</x:t>
        </x:is>
      </x:c>
      <x:c r="B411" s="20" t="inlineStr">
        <x:is>
          <x:t xml:space="preserve">Hồ sơ / xác minh partner</x:t>
        </x:is>
      </x:c>
      <x:c r="C411" s="20" t="inlineStr">
        <x:is>
          <x:t xml:space="preserve">PLAN-002</x:t>
        </x:is>
      </x:c>
      <x:c r="D411" s="20" t="inlineStr">
        <x:is>
          <x:t xml:space="preserve">Cá nhân, cửa hàng, doanh nghiệp; trạng thái xác minh</x:t>
        </x:is>
      </x:c>
      <x:c r="E411" s="20" t="inlineStr">
        <x:is>
          <x:t xml:space="preserve">Khi chức năng hoặc hợp đồng kỹ thuật đổi</x:t>
        </x:is>
      </x:c>
      <x:c r="F411" s="20" t="inlineStr">
        <x:is>
          <x:t xml:space="preserve">Cập nhật nguồn JSON/MD/OpenAPI/DDL tương ứng, tái tạo viewer/ZIP và ghi kiểm chứng</x:t>
        </x:is>
      </x:c>
    </x:row>
    <x:row r="412" ht="52" customHeight="1">
      <x:c r="A412" s="20" t="inlineStr">
        <x:is>
          <x:t xml:space="preserve">F03</x:t>
        </x:is>
      </x:c>
      <x:c r="B412" s="20" t="inlineStr">
        <x:is>
          <x:t xml:space="preserve">Hồ sơ / xác minh partner</x:t>
        </x:is>
      </x:c>
      <x:c r="C412" s="20" t="inlineStr">
        <x:is>
          <x:t xml:space="preserve">PLAN-003</x:t>
        </x:is>
      </x:c>
      <x:c r="D412" s="20" t="inlineStr">
        <x:is>
          <x:t xml:space="preserve">Cá nhân, cửa hàng, doanh nghiệp; trạng thái xác minh</x:t>
        </x:is>
      </x:c>
      <x:c r="E412" s="20" t="inlineStr">
        <x:is>
          <x:t xml:space="preserve">Khi chức năng hoặc hợp đồng kỹ thuật đổi</x:t>
        </x:is>
      </x:c>
      <x:c r="F412" s="20" t="inlineStr">
        <x:is>
          <x:t xml:space="preserve">Cập nhật nguồn JSON/MD/OpenAPI/DDL tương ứng, tái tạo viewer/ZIP và ghi kiểm chứng</x:t>
        </x:is>
      </x:c>
    </x:row>
    <x:row r="413" ht="52" customHeight="1">
      <x:c r="A413" s="20" t="inlineStr">
        <x:is>
          <x:t xml:space="preserve">F03</x:t>
        </x:is>
      </x:c>
      <x:c r="B413" s="20" t="inlineStr">
        <x:is>
          <x:t xml:space="preserve">Hồ sơ / xác minh partner</x:t>
        </x:is>
      </x:c>
      <x:c r="C413" s="20" t="inlineStr">
        <x:is>
          <x:t xml:space="preserve">PLAN-008</x:t>
        </x:is>
      </x:c>
      <x:c r="D413" s="20" t="inlineStr">
        <x:is>
          <x:t xml:space="preserve">Cá nhân, cửa hàng, doanh nghiệp; trạng thái xác minh</x:t>
        </x:is>
      </x:c>
      <x:c r="E413" s="20" t="inlineStr">
        <x:is>
          <x:t xml:space="preserve">Khi chức năng hoặc hợp đồng kỹ thuật đổi</x:t>
        </x:is>
      </x:c>
      <x:c r="F413" s="20" t="inlineStr">
        <x:is>
          <x:t xml:space="preserve">Cập nhật nguồn JSON/MD/OpenAPI/DDL tương ứng, tái tạo viewer/ZIP và ghi kiểm chứng</x:t>
        </x:is>
      </x:c>
    </x:row>
    <x:row r="414" ht="52" customHeight="1">
      <x:c r="A414" s="20" t="inlineStr">
        <x:is>
          <x:t xml:space="preserve">F03</x:t>
        </x:is>
      </x:c>
      <x:c r="B414" s="20" t="inlineStr">
        <x:is>
          <x:t xml:space="preserve">Hồ sơ / xác minh partner</x:t>
        </x:is>
      </x:c>
      <x:c r="C414" s="20" t="inlineStr">
        <x:is>
          <x:t xml:space="preserve">DOC-037</x:t>
        </x:is>
      </x:c>
      <x:c r="D414" s="20" t="inlineStr">
        <x:is>
          <x:t xml:space="preserve">Cá nhân, cửa hàng, doanh nghiệp; trạng thái xác minh</x:t>
        </x:is>
      </x:c>
      <x:c r="E414" s="20" t="inlineStr">
        <x:is>
          <x:t xml:space="preserve">Khi chức năng hoặc hợp đồng kỹ thuật đổi</x:t>
        </x:is>
      </x:c>
      <x:c r="F414" s="20" t="inlineStr">
        <x:is>
          <x:t xml:space="preserve">Cập nhật nguồn JSON/MD/OpenAPI/DDL tương ứng, tái tạo viewer/ZIP và ghi kiểm chứng</x:t>
        </x:is>
      </x:c>
    </x:row>
    <x:row r="415" ht="52" customHeight="1">
      <x:c r="A415" s="20" t="inlineStr">
        <x:is>
          <x:t xml:space="preserve">F03</x:t>
        </x:is>
      </x:c>
      <x:c r="B415" s="20" t="inlineStr">
        <x:is>
          <x:t xml:space="preserve">Hồ sơ / xác minh partner</x:t>
        </x:is>
      </x:c>
      <x:c r="C415" s="20" t="inlineStr">
        <x:is>
          <x:t xml:space="preserve">DOC-038</x:t>
        </x:is>
      </x:c>
      <x:c r="D415" s="20" t="inlineStr">
        <x:is>
          <x:t xml:space="preserve">Cá nhân, cửa hàng, doanh nghiệp; trạng thái xác minh</x:t>
        </x:is>
      </x:c>
      <x:c r="E415" s="20" t="inlineStr">
        <x:is>
          <x:t xml:space="preserve">Khi chức năng hoặc hợp đồng kỹ thuật đổi</x:t>
        </x:is>
      </x:c>
      <x:c r="F415" s="20" t="inlineStr">
        <x:is>
          <x:t xml:space="preserve">Cập nhật nguồn JSON/MD/OpenAPI/DDL tương ứng, tái tạo viewer/ZIP và ghi kiểm chứng</x:t>
        </x:is>
      </x:c>
    </x:row>
    <x:row r="416" ht="52" customHeight="1">
      <x:c r="A416" s="20" t="inlineStr">
        <x:is>
          <x:t xml:space="preserve">F03</x:t>
        </x:is>
      </x:c>
      <x:c r="B416" s="20" t="inlineStr">
        <x:is>
          <x:t xml:space="preserve">Hồ sơ / xác minh partner</x:t>
        </x:is>
      </x:c>
      <x:c r="C416" s="20" t="inlineStr">
        <x:is>
          <x:t xml:space="preserve">DOC-039</x:t>
        </x:is>
      </x:c>
      <x:c r="D416" s="20" t="inlineStr">
        <x:is>
          <x:t xml:space="preserve">Cá nhân, cửa hàng, doanh nghiệp; trạng thái xác minh</x:t>
        </x:is>
      </x:c>
      <x:c r="E416" s="20" t="inlineStr">
        <x:is>
          <x:t xml:space="preserve">Khi chức năng hoặc hợp đồng kỹ thuật đổi</x:t>
        </x:is>
      </x:c>
      <x:c r="F416" s="20" t="inlineStr">
        <x:is>
          <x:t xml:space="preserve">Cập nhật nguồn JSON/MD/OpenAPI/DDL tương ứng, tái tạo viewer/ZIP và ghi kiểm chứng</x:t>
        </x:is>
      </x:c>
    </x:row>
    <x:row r="417" ht="52" customHeight="1">
      <x:c r="A417" s="20" t="inlineStr">
        <x:is>
          <x:t xml:space="preserve">F03</x:t>
        </x:is>
      </x:c>
      <x:c r="B417" s="20" t="inlineStr">
        <x:is>
          <x:t xml:space="preserve">Hồ sơ / xác minh partner</x:t>
        </x:is>
      </x:c>
      <x:c r="C417" s="20" t="inlineStr">
        <x:is>
          <x:t xml:space="preserve">DOC-040</x:t>
        </x:is>
      </x:c>
      <x:c r="D417" s="20" t="inlineStr">
        <x:is>
          <x:t xml:space="preserve">Cá nhân, cửa hàng, doanh nghiệp; trạng thái xác minh</x:t>
        </x:is>
      </x:c>
      <x:c r="E417" s="20" t="inlineStr">
        <x:is>
          <x:t xml:space="preserve">Khi chức năng hoặc hợp đồng kỹ thuật đổi</x:t>
        </x:is>
      </x:c>
      <x:c r="F417" s="20" t="inlineStr">
        <x:is>
          <x:t xml:space="preserve">Cập nhật nguồn JSON/MD/OpenAPI/DDL tương ứng, tái tạo viewer/ZIP và ghi kiểm chứng</x:t>
        </x:is>
      </x:c>
    </x:row>
    <x:row r="418" ht="52" customHeight="1">
      <x:c r="A418" s="20" t="inlineStr">
        <x:is>
          <x:t xml:space="preserve">F03</x:t>
        </x:is>
      </x:c>
      <x:c r="B418" s="20" t="inlineStr">
        <x:is>
          <x:t xml:space="preserve">Hồ sơ / xác minh partner</x:t>
        </x:is>
      </x:c>
      <x:c r="C418" s="20" t="inlineStr">
        <x:is>
          <x:t xml:space="preserve">DOC-041</x:t>
        </x:is>
      </x:c>
      <x:c r="D418" s="20" t="inlineStr">
        <x:is>
          <x:t xml:space="preserve">Cá nhân, cửa hàng, doanh nghiệp; trạng thái xác minh</x:t>
        </x:is>
      </x:c>
      <x:c r="E418" s="20" t="inlineStr">
        <x:is>
          <x:t xml:space="preserve">Khi chức năng hoặc hợp đồng kỹ thuật đổi</x:t>
        </x:is>
      </x:c>
      <x:c r="F418" s="20" t="inlineStr">
        <x:is>
          <x:t xml:space="preserve">Cập nhật nguồn JSON/MD/OpenAPI/DDL tương ứng, tái tạo viewer/ZIP và ghi kiểm chứng</x:t>
        </x:is>
      </x:c>
    </x:row>
    <x:row r="419" ht="52" customHeight="1">
      <x:c r="A419" s="20" t="inlineStr">
        <x:is>
          <x:t xml:space="preserve">F03</x:t>
        </x:is>
      </x:c>
      <x:c r="B419" s="20" t="inlineStr">
        <x:is>
          <x:t xml:space="preserve">Hồ sơ / xác minh partner</x:t>
        </x:is>
      </x:c>
      <x:c r="C419" s="20" t="inlineStr">
        <x:is>
          <x:t xml:space="preserve">DOC-042</x:t>
        </x:is>
      </x:c>
      <x:c r="D419" s="20" t="inlineStr">
        <x:is>
          <x:t xml:space="preserve">Cá nhân, cửa hàng, doanh nghiệp; trạng thái xác minh</x:t>
        </x:is>
      </x:c>
      <x:c r="E419" s="20" t="inlineStr">
        <x:is>
          <x:t xml:space="preserve">Khi chức năng hoặc hợp đồng kỹ thuật đổi</x:t>
        </x:is>
      </x:c>
      <x:c r="F419" s="20" t="inlineStr">
        <x:is>
          <x:t xml:space="preserve">Cập nhật nguồn JSON/MD/OpenAPI/DDL tương ứng, tái tạo viewer/ZIP và ghi kiểm chứng</x:t>
        </x:is>
      </x:c>
    </x:row>
    <x:row r="420" ht="52" customHeight="1">
      <x:c r="A420" s="20" t="inlineStr">
        <x:is>
          <x:t xml:space="preserve">F03</x:t>
        </x:is>
      </x:c>
      <x:c r="B420" s="20" t="inlineStr">
        <x:is>
          <x:t xml:space="preserve">Hồ sơ / xác minh partner</x:t>
        </x:is>
      </x:c>
      <x:c r="C420" s="20" t="inlineStr">
        <x:is>
          <x:t xml:space="preserve">DOC-043</x:t>
        </x:is>
      </x:c>
      <x:c r="D420" s="20" t="inlineStr">
        <x:is>
          <x:t xml:space="preserve">Cá nhân, cửa hàng, doanh nghiệp; trạng thái xác minh</x:t>
        </x:is>
      </x:c>
      <x:c r="E420" s="20" t="inlineStr">
        <x:is>
          <x:t xml:space="preserve">Khi chức năng hoặc hợp đồng kỹ thuật đổi</x:t>
        </x:is>
      </x:c>
      <x:c r="F420" s="20" t="inlineStr">
        <x:is>
          <x:t xml:space="preserve">Cập nhật nguồn JSON/MD/OpenAPI/DDL tương ứng, tái tạo viewer/ZIP và ghi kiểm chứng</x:t>
        </x:is>
      </x:c>
    </x:row>
    <x:row r="421" ht="52" customHeight="1">
      <x:c r="A421" s="20" t="inlineStr">
        <x:is>
          <x:t xml:space="preserve">F03</x:t>
        </x:is>
      </x:c>
      <x:c r="B421" s="20" t="inlineStr">
        <x:is>
          <x:t xml:space="preserve">Hồ sơ / xác minh partner</x:t>
        </x:is>
      </x:c>
      <x:c r="C421" s="20" t="inlineStr">
        <x:is>
          <x:t xml:space="preserve">DOC-044</x:t>
        </x:is>
      </x:c>
      <x:c r="D421" s="20" t="inlineStr">
        <x:is>
          <x:t xml:space="preserve">Cá nhân, cửa hàng, doanh nghiệp; trạng thái xác minh</x:t>
        </x:is>
      </x:c>
      <x:c r="E421" s="20" t="inlineStr">
        <x:is>
          <x:t xml:space="preserve">Khi chức năng hoặc hợp đồng kỹ thuật đổi</x:t>
        </x:is>
      </x:c>
      <x:c r="F421" s="20" t="inlineStr">
        <x:is>
          <x:t xml:space="preserve">Cập nhật nguồn JSON/MD/OpenAPI/DDL tương ứng, tái tạo viewer/ZIP và ghi kiểm chứng</x:t>
        </x:is>
      </x:c>
    </x:row>
    <x:row r="422" ht="52" customHeight="1">
      <x:c r="A422" s="20" t="inlineStr">
        <x:is>
          <x:t xml:space="preserve">F03</x:t>
        </x:is>
      </x:c>
      <x:c r="B422" s="20" t="inlineStr">
        <x:is>
          <x:t xml:space="preserve">Hồ sơ / xác minh partner</x:t>
        </x:is>
      </x:c>
      <x:c r="C422" s="20" t="inlineStr">
        <x:is>
          <x:t xml:space="preserve">DOC-045</x:t>
        </x:is>
      </x:c>
      <x:c r="D422" s="20" t="inlineStr">
        <x:is>
          <x:t xml:space="preserve">Cá nhân, cửa hàng, doanh nghiệp; trạng thái xác minh</x:t>
        </x:is>
      </x:c>
      <x:c r="E422" s="20" t="inlineStr">
        <x:is>
          <x:t xml:space="preserve">Khi chức năng hoặc hợp đồng kỹ thuật đổi</x:t>
        </x:is>
      </x:c>
      <x:c r="F422" s="20" t="inlineStr">
        <x:is>
          <x:t xml:space="preserve">Cập nhật nguồn JSON/MD/OpenAPI/DDL tương ứng, tái tạo viewer/ZIP và ghi kiểm chứng</x:t>
        </x:is>
      </x:c>
    </x:row>
    <x:row r="423" ht="52" customHeight="1">
      <x:c r="A423" s="20" t="inlineStr">
        <x:is>
          <x:t xml:space="preserve">F03</x:t>
        </x:is>
      </x:c>
      <x:c r="B423" s="20" t="inlineStr">
        <x:is>
          <x:t xml:space="preserve">Hồ sơ / xác minh partner</x:t>
        </x:is>
      </x:c>
      <x:c r="C423" s="20" t="inlineStr">
        <x:is>
          <x:t xml:space="preserve">DOC-046</x:t>
        </x:is>
      </x:c>
      <x:c r="D423" s="20" t="inlineStr">
        <x:is>
          <x:t xml:space="preserve">Cá nhân, cửa hàng, doanh nghiệp; trạng thái xác minh</x:t>
        </x:is>
      </x:c>
      <x:c r="E423" s="20" t="inlineStr">
        <x:is>
          <x:t xml:space="preserve">Khi chức năng hoặc hợp đồng kỹ thuật đổi</x:t>
        </x:is>
      </x:c>
      <x:c r="F423" s="20" t="inlineStr">
        <x:is>
          <x:t xml:space="preserve">Cập nhật nguồn JSON/MD/OpenAPI/DDL tương ứng, tái tạo viewer/ZIP và ghi kiểm chứng</x:t>
        </x:is>
      </x:c>
    </x:row>
    <x:row r="424" ht="52" customHeight="1">
      <x:c r="A424" s="20" t="inlineStr">
        <x:is>
          <x:t xml:space="preserve">F03</x:t>
        </x:is>
      </x:c>
      <x:c r="B424" s="20" t="inlineStr">
        <x:is>
          <x:t xml:space="preserve">Hồ sơ / xác minh partner</x:t>
        </x:is>
      </x:c>
      <x:c r="C424" s="20" t="inlineStr">
        <x:is>
          <x:t xml:space="preserve">DOC-047</x:t>
        </x:is>
      </x:c>
      <x:c r="D424" s="20" t="inlineStr">
        <x:is>
          <x:t xml:space="preserve">Cá nhân, cửa hàng, doanh nghiệp; trạng thái xác minh</x:t>
        </x:is>
      </x:c>
      <x:c r="E424" s="20" t="inlineStr">
        <x:is>
          <x:t xml:space="preserve">Khi chức năng hoặc hợp đồng kỹ thuật đổi</x:t>
        </x:is>
      </x:c>
      <x:c r="F424" s="20" t="inlineStr">
        <x:is>
          <x:t xml:space="preserve">Cập nhật nguồn JSON/MD/OpenAPI/DDL tương ứng, tái tạo viewer/ZIP và ghi kiểm chứng</x:t>
        </x:is>
      </x:c>
    </x:row>
    <x:row r="425" ht="52" customHeight="1">
      <x:c r="A425" s="20" t="inlineStr">
        <x:is>
          <x:t xml:space="preserve">F03</x:t>
        </x:is>
      </x:c>
      <x:c r="B425" s="20" t="inlineStr">
        <x:is>
          <x:t xml:space="preserve">Hồ sơ / xác minh partner</x:t>
        </x:is>
      </x:c>
      <x:c r="C425" s="20" t="inlineStr">
        <x:is>
          <x:t xml:space="preserve">DOC-048</x:t>
        </x:is>
      </x:c>
      <x:c r="D425" s="20" t="inlineStr">
        <x:is>
          <x:t xml:space="preserve">Cá nhân, cửa hàng, doanh nghiệp; trạng thái xác minh</x:t>
        </x:is>
      </x:c>
      <x:c r="E425" s="20" t="inlineStr">
        <x:is>
          <x:t xml:space="preserve">Khi chức năng hoặc hợp đồng kỹ thuật đổi</x:t>
        </x:is>
      </x:c>
      <x:c r="F425" s="20" t="inlineStr">
        <x:is>
          <x:t xml:space="preserve">Cập nhật nguồn JSON/MD/OpenAPI/DDL tương ứng, tái tạo viewer/ZIP và ghi kiểm chứng</x:t>
        </x:is>
      </x:c>
    </x:row>
    <x:row r="426" ht="52" customHeight="1">
      <x:c r="A426" s="20" t="inlineStr">
        <x:is>
          <x:t xml:space="preserve">F04</x:t>
        </x:is>
      </x:c>
      <x:c r="B426" s="20" t="inlineStr">
        <x:is>
          <x:t xml:space="preserve">Tìm kiếm / bản đồ / vùng phục vụ</x:t>
        </x:is>
      </x:c>
      <x:c r="C426" s="20" t="inlineStr">
        <x:is>
          <x:t xml:space="preserve">PLAN-001</x:t>
        </x:is>
      </x:c>
      <x:c r="D426" s="20" t="inlineStr">
        <x:is>
          <x:t xml:space="preserve">Mặc định 10km, mở rộng, vị trí khách hoặc cửa hàng</x:t>
        </x:is>
      </x:c>
      <x:c r="E426" s="20" t="inlineStr">
        <x:is>
          <x:t xml:space="preserve">Khi chức năng hoặc hợp đồng kỹ thuật đổi</x:t>
        </x:is>
      </x:c>
      <x:c r="F426" s="20" t="inlineStr">
        <x:is>
          <x:t xml:space="preserve">Cập nhật nguồn JSON/MD/OpenAPI/DDL tương ứng, tái tạo viewer/ZIP và ghi kiểm chứng</x:t>
        </x:is>
      </x:c>
    </x:row>
    <x:row r="427" ht="52" customHeight="1">
      <x:c r="A427" s="20" t="inlineStr">
        <x:is>
          <x:t xml:space="preserve">F04</x:t>
        </x:is>
      </x:c>
      <x:c r="B427" s="20" t="inlineStr">
        <x:is>
          <x:t xml:space="preserve">Tìm kiếm / bản đồ / vùng phục vụ</x:t>
        </x:is>
      </x:c>
      <x:c r="C427" s="20" t="inlineStr">
        <x:is>
          <x:t xml:space="preserve">PLAN-002</x:t>
        </x:is>
      </x:c>
      <x:c r="D427" s="20" t="inlineStr">
        <x:is>
          <x:t xml:space="preserve">Mặc định 10km, mở rộng, vị trí khách hoặc cửa hàng</x:t>
        </x:is>
      </x:c>
      <x:c r="E427" s="20" t="inlineStr">
        <x:is>
          <x:t xml:space="preserve">Khi chức năng hoặc hợp đồng kỹ thuật đổi</x:t>
        </x:is>
      </x:c>
      <x:c r="F427" s="20" t="inlineStr">
        <x:is>
          <x:t xml:space="preserve">Cập nhật nguồn JSON/MD/OpenAPI/DDL tương ứng, tái tạo viewer/ZIP và ghi kiểm chứng</x:t>
        </x:is>
      </x:c>
    </x:row>
    <x:row r="428" ht="52" customHeight="1">
      <x:c r="A428" s="20" t="inlineStr">
        <x:is>
          <x:t xml:space="preserve">F04</x:t>
        </x:is>
      </x:c>
      <x:c r="B428" s="20" t="inlineStr">
        <x:is>
          <x:t xml:space="preserve">Tìm kiếm / bản đồ / vùng phục vụ</x:t>
        </x:is>
      </x:c>
      <x:c r="C428" s="20" t="inlineStr">
        <x:is>
          <x:t xml:space="preserve">PLAN-003</x:t>
        </x:is>
      </x:c>
      <x:c r="D428" s="20" t="inlineStr">
        <x:is>
          <x:t xml:space="preserve">Mặc định 10km, mở rộng, vị trí khách hoặc cửa hàng</x:t>
        </x:is>
      </x:c>
      <x:c r="E428" s="20" t="inlineStr">
        <x:is>
          <x:t xml:space="preserve">Khi chức năng hoặc hợp đồng kỹ thuật đổi</x:t>
        </x:is>
      </x:c>
      <x:c r="F428" s="20" t="inlineStr">
        <x:is>
          <x:t xml:space="preserve">Cập nhật nguồn JSON/MD/OpenAPI/DDL tương ứng, tái tạo viewer/ZIP và ghi kiểm chứng</x:t>
        </x:is>
      </x:c>
    </x:row>
    <x:row r="429" ht="52" customHeight="1">
      <x:c r="A429" s="20" t="inlineStr">
        <x:is>
          <x:t xml:space="preserve">F04</x:t>
        </x:is>
      </x:c>
      <x:c r="B429" s="20" t="inlineStr">
        <x:is>
          <x:t xml:space="preserve">Tìm kiếm / bản đồ / vùng phục vụ</x:t>
        </x:is>
      </x:c>
      <x:c r="C429" s="20" t="inlineStr">
        <x:is>
          <x:t xml:space="preserve">PLAN-008</x:t>
        </x:is>
      </x:c>
      <x:c r="D429" s="20" t="inlineStr">
        <x:is>
          <x:t xml:space="preserve">Mặc định 10km, mở rộng, vị trí khách hoặc cửa hàng</x:t>
        </x:is>
      </x:c>
      <x:c r="E429" s="20" t="inlineStr">
        <x:is>
          <x:t xml:space="preserve">Khi chức năng hoặc hợp đồng kỹ thuật đổi</x:t>
        </x:is>
      </x:c>
      <x:c r="F429" s="20" t="inlineStr">
        <x:is>
          <x:t xml:space="preserve">Cập nhật nguồn JSON/MD/OpenAPI/DDL tương ứng, tái tạo viewer/ZIP và ghi kiểm chứng</x:t>
        </x:is>
      </x:c>
    </x:row>
    <x:row r="430" ht="52" customHeight="1">
      <x:c r="A430" s="20" t="inlineStr">
        <x:is>
          <x:t xml:space="preserve">F04</x:t>
        </x:is>
      </x:c>
      <x:c r="B430" s="20" t="inlineStr">
        <x:is>
          <x:t xml:space="preserve">Tìm kiếm / bản đồ / vùng phục vụ</x:t>
        </x:is>
      </x:c>
      <x:c r="C430" s="20" t="inlineStr">
        <x:is>
          <x:t xml:space="preserve">DOC-037</x:t>
        </x:is>
      </x:c>
      <x:c r="D430" s="20" t="inlineStr">
        <x:is>
          <x:t xml:space="preserve">Mặc định 10km, mở rộng, vị trí khách hoặc cửa hàng</x:t>
        </x:is>
      </x:c>
      <x:c r="E430" s="20" t="inlineStr">
        <x:is>
          <x:t xml:space="preserve">Khi chức năng hoặc hợp đồng kỹ thuật đổi</x:t>
        </x:is>
      </x:c>
      <x:c r="F430" s="20" t="inlineStr">
        <x:is>
          <x:t xml:space="preserve">Cập nhật nguồn JSON/MD/OpenAPI/DDL tương ứng, tái tạo viewer/ZIP và ghi kiểm chứng</x:t>
        </x:is>
      </x:c>
    </x:row>
    <x:row r="431" ht="52" customHeight="1">
      <x:c r="A431" s="20" t="inlineStr">
        <x:is>
          <x:t xml:space="preserve">F04</x:t>
        </x:is>
      </x:c>
      <x:c r="B431" s="20" t="inlineStr">
        <x:is>
          <x:t xml:space="preserve">Tìm kiếm / bản đồ / vùng phục vụ</x:t>
        </x:is>
      </x:c>
      <x:c r="C431" s="20" t="inlineStr">
        <x:is>
          <x:t xml:space="preserve">DOC-038</x:t>
        </x:is>
      </x:c>
      <x:c r="D431" s="20" t="inlineStr">
        <x:is>
          <x:t xml:space="preserve">Mặc định 10km, mở rộng, vị trí khách hoặc cửa hàng</x:t>
        </x:is>
      </x:c>
      <x:c r="E431" s="20" t="inlineStr">
        <x:is>
          <x:t xml:space="preserve">Khi chức năng hoặc hợp đồng kỹ thuật đổi</x:t>
        </x:is>
      </x:c>
      <x:c r="F431" s="20" t="inlineStr">
        <x:is>
          <x:t xml:space="preserve">Cập nhật nguồn JSON/MD/OpenAPI/DDL tương ứng, tái tạo viewer/ZIP và ghi kiểm chứng</x:t>
        </x:is>
      </x:c>
    </x:row>
    <x:row r="432" ht="52" customHeight="1">
      <x:c r="A432" s="20" t="inlineStr">
        <x:is>
          <x:t xml:space="preserve">F04</x:t>
        </x:is>
      </x:c>
      <x:c r="B432" s="20" t="inlineStr">
        <x:is>
          <x:t xml:space="preserve">Tìm kiếm / bản đồ / vùng phục vụ</x:t>
        </x:is>
      </x:c>
      <x:c r="C432" s="20" t="inlineStr">
        <x:is>
          <x:t xml:space="preserve">DOC-039</x:t>
        </x:is>
      </x:c>
      <x:c r="D432" s="20" t="inlineStr">
        <x:is>
          <x:t xml:space="preserve">Mặc định 10km, mở rộng, vị trí khách hoặc cửa hàng</x:t>
        </x:is>
      </x:c>
      <x:c r="E432" s="20" t="inlineStr">
        <x:is>
          <x:t xml:space="preserve">Khi chức năng hoặc hợp đồng kỹ thuật đổi</x:t>
        </x:is>
      </x:c>
      <x:c r="F432" s="20" t="inlineStr">
        <x:is>
          <x:t xml:space="preserve">Cập nhật nguồn JSON/MD/OpenAPI/DDL tương ứng, tái tạo viewer/ZIP và ghi kiểm chứng</x:t>
        </x:is>
      </x:c>
    </x:row>
    <x:row r="433" ht="52" customHeight="1">
      <x:c r="A433" s="20" t="inlineStr">
        <x:is>
          <x:t xml:space="preserve">F04</x:t>
        </x:is>
      </x:c>
      <x:c r="B433" s="20" t="inlineStr">
        <x:is>
          <x:t xml:space="preserve">Tìm kiếm / bản đồ / vùng phục vụ</x:t>
        </x:is>
      </x:c>
      <x:c r="C433" s="20" t="inlineStr">
        <x:is>
          <x:t xml:space="preserve">DOC-040</x:t>
        </x:is>
      </x:c>
      <x:c r="D433" s="20" t="inlineStr">
        <x:is>
          <x:t xml:space="preserve">Mặc định 10km, mở rộng, vị trí khách hoặc cửa hàng</x:t>
        </x:is>
      </x:c>
      <x:c r="E433" s="20" t="inlineStr">
        <x:is>
          <x:t xml:space="preserve">Khi chức năng hoặc hợp đồng kỹ thuật đổi</x:t>
        </x:is>
      </x:c>
      <x:c r="F433" s="20" t="inlineStr">
        <x:is>
          <x:t xml:space="preserve">Cập nhật nguồn JSON/MD/OpenAPI/DDL tương ứng, tái tạo viewer/ZIP và ghi kiểm chứng</x:t>
        </x:is>
      </x:c>
    </x:row>
    <x:row r="434" ht="52" customHeight="1">
      <x:c r="A434" s="20" t="inlineStr">
        <x:is>
          <x:t xml:space="preserve">F04</x:t>
        </x:is>
      </x:c>
      <x:c r="B434" s="20" t="inlineStr">
        <x:is>
          <x:t xml:space="preserve">Tìm kiếm / bản đồ / vùng phục vụ</x:t>
        </x:is>
      </x:c>
      <x:c r="C434" s="20" t="inlineStr">
        <x:is>
          <x:t xml:space="preserve">DOC-041</x:t>
        </x:is>
      </x:c>
      <x:c r="D434" s="20" t="inlineStr">
        <x:is>
          <x:t xml:space="preserve">Mặc định 10km, mở rộng, vị trí khách hoặc cửa hàng</x:t>
        </x:is>
      </x:c>
      <x:c r="E434" s="20" t="inlineStr">
        <x:is>
          <x:t xml:space="preserve">Khi chức năng hoặc hợp đồng kỹ thuật đổi</x:t>
        </x:is>
      </x:c>
      <x:c r="F434" s="20" t="inlineStr">
        <x:is>
          <x:t xml:space="preserve">Cập nhật nguồn JSON/MD/OpenAPI/DDL tương ứng, tái tạo viewer/ZIP và ghi kiểm chứng</x:t>
        </x:is>
      </x:c>
    </x:row>
    <x:row r="435" ht="52" customHeight="1">
      <x:c r="A435" s="20" t="inlineStr">
        <x:is>
          <x:t xml:space="preserve">F04</x:t>
        </x:is>
      </x:c>
      <x:c r="B435" s="20" t="inlineStr">
        <x:is>
          <x:t xml:space="preserve">Tìm kiếm / bản đồ / vùng phục vụ</x:t>
        </x:is>
      </x:c>
      <x:c r="C435" s="20" t="inlineStr">
        <x:is>
          <x:t xml:space="preserve">DOC-042</x:t>
        </x:is>
      </x:c>
      <x:c r="D435" s="20" t="inlineStr">
        <x:is>
          <x:t xml:space="preserve">Mặc định 10km, mở rộng, vị trí khách hoặc cửa hàng</x:t>
        </x:is>
      </x:c>
      <x:c r="E435" s="20" t="inlineStr">
        <x:is>
          <x:t xml:space="preserve">Khi chức năng hoặc hợp đồng kỹ thuật đổi</x:t>
        </x:is>
      </x:c>
      <x:c r="F435" s="20" t="inlineStr">
        <x:is>
          <x:t xml:space="preserve">Cập nhật nguồn JSON/MD/OpenAPI/DDL tương ứng, tái tạo viewer/ZIP và ghi kiểm chứng</x:t>
        </x:is>
      </x:c>
    </x:row>
    <x:row r="436" ht="52" customHeight="1">
      <x:c r="A436" s="20" t="inlineStr">
        <x:is>
          <x:t xml:space="preserve">F04</x:t>
        </x:is>
      </x:c>
      <x:c r="B436" s="20" t="inlineStr">
        <x:is>
          <x:t xml:space="preserve">Tìm kiếm / bản đồ / vùng phục vụ</x:t>
        </x:is>
      </x:c>
      <x:c r="C436" s="20" t="inlineStr">
        <x:is>
          <x:t xml:space="preserve">DOC-043</x:t>
        </x:is>
      </x:c>
      <x:c r="D436" s="20" t="inlineStr">
        <x:is>
          <x:t xml:space="preserve">Mặc định 10km, mở rộng, vị trí khách hoặc cửa hàng</x:t>
        </x:is>
      </x:c>
      <x:c r="E436" s="20" t="inlineStr">
        <x:is>
          <x:t xml:space="preserve">Khi chức năng hoặc hợp đồng kỹ thuật đổi</x:t>
        </x:is>
      </x:c>
      <x:c r="F436" s="20" t="inlineStr">
        <x:is>
          <x:t xml:space="preserve">Cập nhật nguồn JSON/MD/OpenAPI/DDL tương ứng, tái tạo viewer/ZIP và ghi kiểm chứng</x:t>
        </x:is>
      </x:c>
    </x:row>
    <x:row r="437" ht="52" customHeight="1">
      <x:c r="A437" s="20" t="inlineStr">
        <x:is>
          <x:t xml:space="preserve">F04</x:t>
        </x:is>
      </x:c>
      <x:c r="B437" s="20" t="inlineStr">
        <x:is>
          <x:t xml:space="preserve">Tìm kiếm / bản đồ / vùng phục vụ</x:t>
        </x:is>
      </x:c>
      <x:c r="C437" s="20" t="inlineStr">
        <x:is>
          <x:t xml:space="preserve">DOC-044</x:t>
        </x:is>
      </x:c>
      <x:c r="D437" s="20" t="inlineStr">
        <x:is>
          <x:t xml:space="preserve">Mặc định 10km, mở rộng, vị trí khách hoặc cửa hàng</x:t>
        </x:is>
      </x:c>
      <x:c r="E437" s="20" t="inlineStr">
        <x:is>
          <x:t xml:space="preserve">Khi chức năng hoặc hợp đồng kỹ thuật đổi</x:t>
        </x:is>
      </x:c>
      <x:c r="F437" s="20" t="inlineStr">
        <x:is>
          <x:t xml:space="preserve">Cập nhật nguồn JSON/MD/OpenAPI/DDL tương ứng, tái tạo viewer/ZIP và ghi kiểm chứng</x:t>
        </x:is>
      </x:c>
    </x:row>
    <x:row r="438" ht="52" customHeight="1">
      <x:c r="A438" s="20" t="inlineStr">
        <x:is>
          <x:t xml:space="preserve">F04</x:t>
        </x:is>
      </x:c>
      <x:c r="B438" s="20" t="inlineStr">
        <x:is>
          <x:t xml:space="preserve">Tìm kiếm / bản đồ / vùng phục vụ</x:t>
        </x:is>
      </x:c>
      <x:c r="C438" s="20" t="inlineStr">
        <x:is>
          <x:t xml:space="preserve">DOC-045</x:t>
        </x:is>
      </x:c>
      <x:c r="D438" s="20" t="inlineStr">
        <x:is>
          <x:t xml:space="preserve">Mặc định 10km, mở rộng, vị trí khách hoặc cửa hàng</x:t>
        </x:is>
      </x:c>
      <x:c r="E438" s="20" t="inlineStr">
        <x:is>
          <x:t xml:space="preserve">Khi chức năng hoặc hợp đồng kỹ thuật đổi</x:t>
        </x:is>
      </x:c>
      <x:c r="F438" s="20" t="inlineStr">
        <x:is>
          <x:t xml:space="preserve">Cập nhật nguồn JSON/MD/OpenAPI/DDL tương ứng, tái tạo viewer/ZIP và ghi kiểm chứng</x:t>
        </x:is>
      </x:c>
    </x:row>
    <x:row r="439" ht="52" customHeight="1">
      <x:c r="A439" s="20" t="inlineStr">
        <x:is>
          <x:t xml:space="preserve">F04</x:t>
        </x:is>
      </x:c>
      <x:c r="B439" s="20" t="inlineStr">
        <x:is>
          <x:t xml:space="preserve">Tìm kiếm / bản đồ / vùng phục vụ</x:t>
        </x:is>
      </x:c>
      <x:c r="C439" s="20" t="inlineStr">
        <x:is>
          <x:t xml:space="preserve">DOC-046</x:t>
        </x:is>
      </x:c>
      <x:c r="D439" s="20" t="inlineStr">
        <x:is>
          <x:t xml:space="preserve">Mặc định 10km, mở rộng, vị trí khách hoặc cửa hàng</x:t>
        </x:is>
      </x:c>
      <x:c r="E439" s="20" t="inlineStr">
        <x:is>
          <x:t xml:space="preserve">Khi chức năng hoặc hợp đồng kỹ thuật đổi</x:t>
        </x:is>
      </x:c>
      <x:c r="F439" s="20" t="inlineStr">
        <x:is>
          <x:t xml:space="preserve">Cập nhật nguồn JSON/MD/OpenAPI/DDL tương ứng, tái tạo viewer/ZIP và ghi kiểm chứng</x:t>
        </x:is>
      </x:c>
    </x:row>
    <x:row r="440" ht="52" customHeight="1">
      <x:c r="A440" s="20" t="inlineStr">
        <x:is>
          <x:t xml:space="preserve">F04</x:t>
        </x:is>
      </x:c>
      <x:c r="B440" s="20" t="inlineStr">
        <x:is>
          <x:t xml:space="preserve">Tìm kiếm / bản đồ / vùng phục vụ</x:t>
        </x:is>
      </x:c>
      <x:c r="C440" s="20" t="inlineStr">
        <x:is>
          <x:t xml:space="preserve">DOC-047</x:t>
        </x:is>
      </x:c>
      <x:c r="D440" s="20" t="inlineStr">
        <x:is>
          <x:t xml:space="preserve">Mặc định 10km, mở rộng, vị trí khách hoặc cửa hàng</x:t>
        </x:is>
      </x:c>
      <x:c r="E440" s="20" t="inlineStr">
        <x:is>
          <x:t xml:space="preserve">Khi chức năng hoặc hợp đồng kỹ thuật đổi</x:t>
        </x:is>
      </x:c>
      <x:c r="F440" s="20" t="inlineStr">
        <x:is>
          <x:t xml:space="preserve">Cập nhật nguồn JSON/MD/OpenAPI/DDL tương ứng, tái tạo viewer/ZIP và ghi kiểm chứng</x:t>
        </x:is>
      </x:c>
    </x:row>
    <x:row r="441" ht="52" customHeight="1">
      <x:c r="A441" s="20" t="inlineStr">
        <x:is>
          <x:t xml:space="preserve">F04</x:t>
        </x:is>
      </x:c>
      <x:c r="B441" s="20" t="inlineStr">
        <x:is>
          <x:t xml:space="preserve">Tìm kiếm / bản đồ / vùng phục vụ</x:t>
        </x:is>
      </x:c>
      <x:c r="C441" s="20" t="inlineStr">
        <x:is>
          <x:t xml:space="preserve">DOC-048</x:t>
        </x:is>
      </x:c>
      <x:c r="D441" s="20" t="inlineStr">
        <x:is>
          <x:t xml:space="preserve">Mặc định 10km, mở rộng, vị trí khách hoặc cửa hàng</x:t>
        </x:is>
      </x:c>
      <x:c r="E441" s="20" t="inlineStr">
        <x:is>
          <x:t xml:space="preserve">Khi chức năng hoặc hợp đồng kỹ thuật đổi</x:t>
        </x:is>
      </x:c>
      <x:c r="F441" s="20" t="inlineStr">
        <x:is>
          <x:t xml:space="preserve">Cập nhật nguồn JSON/MD/OpenAPI/DDL tương ứng, tái tạo viewer/ZIP và ghi kiểm chứng</x:t>
        </x:is>
      </x:c>
    </x:row>
    <x:row r="442" ht="52" customHeight="1">
      <x:c r="A442" s="20" t="inlineStr">
        <x:is>
          <x:t xml:space="preserve">F05</x:t>
        </x:is>
      </x:c>
      <x:c r="B442" s="20" t="inlineStr">
        <x:is>
          <x:t xml:space="preserve">Bật / tắt nhận việc</x:t>
        </x:is>
      </x:c>
      <x:c r="C442" s="20" t="inlineStr">
        <x:is>
          <x:t xml:space="preserve">PLAN-001</x:t>
        </x:is>
      </x:c>
      <x:c r="D442" s="20" t="inlineStr">
        <x:is>
          <x:t xml:space="preserve">Tắt ẩn tìm kiếm và chặn yêu cầu mới; giữ việc cũ</x:t>
        </x:is>
      </x:c>
      <x:c r="E442" s="20" t="inlineStr">
        <x:is>
          <x:t xml:space="preserve">Khi chức năng hoặc hợp đồng kỹ thuật đổi</x:t>
        </x:is>
      </x:c>
      <x:c r="F442" s="20" t="inlineStr">
        <x:is>
          <x:t xml:space="preserve">Cập nhật nguồn JSON/MD/OpenAPI/DDL tương ứng, tái tạo viewer/ZIP và ghi kiểm chứng</x:t>
        </x:is>
      </x:c>
    </x:row>
    <x:row r="443" ht="52" customHeight="1">
      <x:c r="A443" s="20" t="inlineStr">
        <x:is>
          <x:t xml:space="preserve">F05</x:t>
        </x:is>
      </x:c>
      <x:c r="B443" s="20" t="inlineStr">
        <x:is>
          <x:t xml:space="preserve">Bật / tắt nhận việc</x:t>
        </x:is>
      </x:c>
      <x:c r="C443" s="20" t="inlineStr">
        <x:is>
          <x:t xml:space="preserve">PLAN-002</x:t>
        </x:is>
      </x:c>
      <x:c r="D443" s="20" t="inlineStr">
        <x:is>
          <x:t xml:space="preserve">Tắt ẩn tìm kiếm và chặn yêu cầu mới; giữ việc cũ</x:t>
        </x:is>
      </x:c>
      <x:c r="E443" s="20" t="inlineStr">
        <x:is>
          <x:t xml:space="preserve">Khi chức năng hoặc hợp đồng kỹ thuật đổi</x:t>
        </x:is>
      </x:c>
      <x:c r="F443" s="20" t="inlineStr">
        <x:is>
          <x:t xml:space="preserve">Cập nhật nguồn JSON/MD/OpenAPI/DDL tương ứng, tái tạo viewer/ZIP và ghi kiểm chứng</x:t>
        </x:is>
      </x:c>
    </x:row>
    <x:row r="444" ht="52" customHeight="1">
      <x:c r="A444" s="20" t="inlineStr">
        <x:is>
          <x:t xml:space="preserve">F05</x:t>
        </x:is>
      </x:c>
      <x:c r="B444" s="20" t="inlineStr">
        <x:is>
          <x:t xml:space="preserve">Bật / tắt nhận việc</x:t>
        </x:is>
      </x:c>
      <x:c r="C444" s="20" t="inlineStr">
        <x:is>
          <x:t xml:space="preserve">PLAN-003</x:t>
        </x:is>
      </x:c>
      <x:c r="D444" s="20" t="inlineStr">
        <x:is>
          <x:t xml:space="preserve">Tắt ẩn tìm kiếm và chặn yêu cầu mới; giữ việc cũ</x:t>
        </x:is>
      </x:c>
      <x:c r="E444" s="20" t="inlineStr">
        <x:is>
          <x:t xml:space="preserve">Khi chức năng hoặc hợp đồng kỹ thuật đổi</x:t>
        </x:is>
      </x:c>
      <x:c r="F444" s="20" t="inlineStr">
        <x:is>
          <x:t xml:space="preserve">Cập nhật nguồn JSON/MD/OpenAPI/DDL tương ứng, tái tạo viewer/ZIP và ghi kiểm chứng</x:t>
        </x:is>
      </x:c>
    </x:row>
    <x:row r="445" ht="52" customHeight="1">
      <x:c r="A445" s="20" t="inlineStr">
        <x:is>
          <x:t xml:space="preserve">F05</x:t>
        </x:is>
      </x:c>
      <x:c r="B445" s="20" t="inlineStr">
        <x:is>
          <x:t xml:space="preserve">Bật / tắt nhận việc</x:t>
        </x:is>
      </x:c>
      <x:c r="C445" s="20" t="inlineStr">
        <x:is>
          <x:t xml:space="preserve">PLAN-008</x:t>
        </x:is>
      </x:c>
      <x:c r="D445" s="20" t="inlineStr">
        <x:is>
          <x:t xml:space="preserve">Tắt ẩn tìm kiếm và chặn yêu cầu mới; giữ việc cũ</x:t>
        </x:is>
      </x:c>
      <x:c r="E445" s="20" t="inlineStr">
        <x:is>
          <x:t xml:space="preserve">Khi chức năng hoặc hợp đồng kỹ thuật đổi</x:t>
        </x:is>
      </x:c>
      <x:c r="F445" s="20" t="inlineStr">
        <x:is>
          <x:t xml:space="preserve">Cập nhật nguồn JSON/MD/OpenAPI/DDL tương ứng, tái tạo viewer/ZIP và ghi kiểm chứng</x:t>
        </x:is>
      </x:c>
    </x:row>
    <x:row r="446" ht="52" customHeight="1">
      <x:c r="A446" s="20" t="inlineStr">
        <x:is>
          <x:t xml:space="preserve">F05</x:t>
        </x:is>
      </x:c>
      <x:c r="B446" s="20" t="inlineStr">
        <x:is>
          <x:t xml:space="preserve">Bật / tắt nhận việc</x:t>
        </x:is>
      </x:c>
      <x:c r="C446" s="20" t="inlineStr">
        <x:is>
          <x:t xml:space="preserve">DOC-037</x:t>
        </x:is>
      </x:c>
      <x:c r="D446" s="20" t="inlineStr">
        <x:is>
          <x:t xml:space="preserve">Tắt ẩn tìm kiếm và chặn yêu cầu mới; giữ việc cũ</x:t>
        </x:is>
      </x:c>
      <x:c r="E446" s="20" t="inlineStr">
        <x:is>
          <x:t xml:space="preserve">Khi chức năng hoặc hợp đồng kỹ thuật đổi</x:t>
        </x:is>
      </x:c>
      <x:c r="F446" s="20" t="inlineStr">
        <x:is>
          <x:t xml:space="preserve">Cập nhật nguồn JSON/MD/OpenAPI/DDL tương ứng, tái tạo viewer/ZIP và ghi kiểm chứng</x:t>
        </x:is>
      </x:c>
    </x:row>
    <x:row r="447" ht="52" customHeight="1">
      <x:c r="A447" s="20" t="inlineStr">
        <x:is>
          <x:t xml:space="preserve">F05</x:t>
        </x:is>
      </x:c>
      <x:c r="B447" s="20" t="inlineStr">
        <x:is>
          <x:t xml:space="preserve">Bật / tắt nhận việc</x:t>
        </x:is>
      </x:c>
      <x:c r="C447" s="20" t="inlineStr">
        <x:is>
          <x:t xml:space="preserve">DOC-038</x:t>
        </x:is>
      </x:c>
      <x:c r="D447" s="20" t="inlineStr">
        <x:is>
          <x:t xml:space="preserve">Tắt ẩn tìm kiếm và chặn yêu cầu mới; giữ việc cũ</x:t>
        </x:is>
      </x:c>
      <x:c r="E447" s="20" t="inlineStr">
        <x:is>
          <x:t xml:space="preserve">Khi chức năng hoặc hợp đồng kỹ thuật đổi</x:t>
        </x:is>
      </x:c>
      <x:c r="F447" s="20" t="inlineStr">
        <x:is>
          <x:t xml:space="preserve">Cập nhật nguồn JSON/MD/OpenAPI/DDL tương ứng, tái tạo viewer/ZIP và ghi kiểm chứng</x:t>
        </x:is>
      </x:c>
    </x:row>
    <x:row r="448" ht="52" customHeight="1">
      <x:c r="A448" s="20" t="inlineStr">
        <x:is>
          <x:t xml:space="preserve">F05</x:t>
        </x:is>
      </x:c>
      <x:c r="B448" s="20" t="inlineStr">
        <x:is>
          <x:t xml:space="preserve">Bật / tắt nhận việc</x:t>
        </x:is>
      </x:c>
      <x:c r="C448" s="20" t="inlineStr">
        <x:is>
          <x:t xml:space="preserve">DOC-039</x:t>
        </x:is>
      </x:c>
      <x:c r="D448" s="20" t="inlineStr">
        <x:is>
          <x:t xml:space="preserve">Tắt ẩn tìm kiếm và chặn yêu cầu mới; giữ việc cũ</x:t>
        </x:is>
      </x:c>
      <x:c r="E448" s="20" t="inlineStr">
        <x:is>
          <x:t xml:space="preserve">Khi chức năng hoặc hợp đồng kỹ thuật đổi</x:t>
        </x:is>
      </x:c>
      <x:c r="F448" s="20" t="inlineStr">
        <x:is>
          <x:t xml:space="preserve">Cập nhật nguồn JSON/MD/OpenAPI/DDL tương ứng, tái tạo viewer/ZIP và ghi kiểm chứng</x:t>
        </x:is>
      </x:c>
    </x:row>
    <x:row r="449" ht="52" customHeight="1">
      <x:c r="A449" s="20" t="inlineStr">
        <x:is>
          <x:t xml:space="preserve">F05</x:t>
        </x:is>
      </x:c>
      <x:c r="B449" s="20" t="inlineStr">
        <x:is>
          <x:t xml:space="preserve">Bật / tắt nhận việc</x:t>
        </x:is>
      </x:c>
      <x:c r="C449" s="20" t="inlineStr">
        <x:is>
          <x:t xml:space="preserve">DOC-040</x:t>
        </x:is>
      </x:c>
      <x:c r="D449" s="20" t="inlineStr">
        <x:is>
          <x:t xml:space="preserve">Tắt ẩn tìm kiếm và chặn yêu cầu mới; giữ việc cũ</x:t>
        </x:is>
      </x:c>
      <x:c r="E449" s="20" t="inlineStr">
        <x:is>
          <x:t xml:space="preserve">Khi chức năng hoặc hợp đồng kỹ thuật đổi</x:t>
        </x:is>
      </x:c>
      <x:c r="F449" s="20" t="inlineStr">
        <x:is>
          <x:t xml:space="preserve">Cập nhật nguồn JSON/MD/OpenAPI/DDL tương ứng, tái tạo viewer/ZIP và ghi kiểm chứng</x:t>
        </x:is>
      </x:c>
    </x:row>
    <x:row r="450" ht="52" customHeight="1">
      <x:c r="A450" s="20" t="inlineStr">
        <x:is>
          <x:t xml:space="preserve">F05</x:t>
        </x:is>
      </x:c>
      <x:c r="B450" s="20" t="inlineStr">
        <x:is>
          <x:t xml:space="preserve">Bật / tắt nhận việc</x:t>
        </x:is>
      </x:c>
      <x:c r="C450" s="20" t="inlineStr">
        <x:is>
          <x:t xml:space="preserve">DOC-041</x:t>
        </x:is>
      </x:c>
      <x:c r="D450" s="20" t="inlineStr">
        <x:is>
          <x:t xml:space="preserve">Tắt ẩn tìm kiếm và chặn yêu cầu mới; giữ việc cũ</x:t>
        </x:is>
      </x:c>
      <x:c r="E450" s="20" t="inlineStr">
        <x:is>
          <x:t xml:space="preserve">Khi chức năng hoặc hợp đồng kỹ thuật đổi</x:t>
        </x:is>
      </x:c>
      <x:c r="F450" s="20" t="inlineStr">
        <x:is>
          <x:t xml:space="preserve">Cập nhật nguồn JSON/MD/OpenAPI/DDL tương ứng, tái tạo viewer/ZIP và ghi kiểm chứng</x:t>
        </x:is>
      </x:c>
    </x:row>
    <x:row r="451" ht="52" customHeight="1">
      <x:c r="A451" s="20" t="inlineStr">
        <x:is>
          <x:t xml:space="preserve">F05</x:t>
        </x:is>
      </x:c>
      <x:c r="B451" s="20" t="inlineStr">
        <x:is>
          <x:t xml:space="preserve">Bật / tắt nhận việc</x:t>
        </x:is>
      </x:c>
      <x:c r="C451" s="20" t="inlineStr">
        <x:is>
          <x:t xml:space="preserve">DOC-042</x:t>
        </x:is>
      </x:c>
      <x:c r="D451" s="20" t="inlineStr">
        <x:is>
          <x:t xml:space="preserve">Tắt ẩn tìm kiếm và chặn yêu cầu mới; giữ việc cũ</x:t>
        </x:is>
      </x:c>
      <x:c r="E451" s="20" t="inlineStr">
        <x:is>
          <x:t xml:space="preserve">Khi chức năng hoặc hợp đồng kỹ thuật đổi</x:t>
        </x:is>
      </x:c>
      <x:c r="F451" s="20" t="inlineStr">
        <x:is>
          <x:t xml:space="preserve">Cập nhật nguồn JSON/MD/OpenAPI/DDL tương ứng, tái tạo viewer/ZIP và ghi kiểm chứng</x:t>
        </x:is>
      </x:c>
    </x:row>
    <x:row r="452" ht="52" customHeight="1">
      <x:c r="A452" s="20" t="inlineStr">
        <x:is>
          <x:t xml:space="preserve">F05</x:t>
        </x:is>
      </x:c>
      <x:c r="B452" s="20" t="inlineStr">
        <x:is>
          <x:t xml:space="preserve">Bật / tắt nhận việc</x:t>
        </x:is>
      </x:c>
      <x:c r="C452" s="20" t="inlineStr">
        <x:is>
          <x:t xml:space="preserve">DOC-043</x:t>
        </x:is>
      </x:c>
      <x:c r="D452" s="20" t="inlineStr">
        <x:is>
          <x:t xml:space="preserve">Tắt ẩn tìm kiếm và chặn yêu cầu mới; giữ việc cũ</x:t>
        </x:is>
      </x:c>
      <x:c r="E452" s="20" t="inlineStr">
        <x:is>
          <x:t xml:space="preserve">Khi chức năng hoặc hợp đồng kỹ thuật đổi</x:t>
        </x:is>
      </x:c>
      <x:c r="F452" s="20" t="inlineStr">
        <x:is>
          <x:t xml:space="preserve">Cập nhật nguồn JSON/MD/OpenAPI/DDL tương ứng, tái tạo viewer/ZIP và ghi kiểm chứng</x:t>
        </x:is>
      </x:c>
    </x:row>
    <x:row r="453" ht="52" customHeight="1">
      <x:c r="A453" s="20" t="inlineStr">
        <x:is>
          <x:t xml:space="preserve">F05</x:t>
        </x:is>
      </x:c>
      <x:c r="B453" s="20" t="inlineStr">
        <x:is>
          <x:t xml:space="preserve">Bật / tắt nhận việc</x:t>
        </x:is>
      </x:c>
      <x:c r="C453" s="20" t="inlineStr">
        <x:is>
          <x:t xml:space="preserve">DOC-044</x:t>
        </x:is>
      </x:c>
      <x:c r="D453" s="20" t="inlineStr">
        <x:is>
          <x:t xml:space="preserve">Tắt ẩn tìm kiếm và chặn yêu cầu mới; giữ việc cũ</x:t>
        </x:is>
      </x:c>
      <x:c r="E453" s="20" t="inlineStr">
        <x:is>
          <x:t xml:space="preserve">Khi chức năng hoặc hợp đồng kỹ thuật đổi</x:t>
        </x:is>
      </x:c>
      <x:c r="F453" s="20" t="inlineStr">
        <x:is>
          <x:t xml:space="preserve">Cập nhật nguồn JSON/MD/OpenAPI/DDL tương ứng, tái tạo viewer/ZIP và ghi kiểm chứng</x:t>
        </x:is>
      </x:c>
    </x:row>
    <x:row r="454" ht="52" customHeight="1">
      <x:c r="A454" s="20" t="inlineStr">
        <x:is>
          <x:t xml:space="preserve">F05</x:t>
        </x:is>
      </x:c>
      <x:c r="B454" s="20" t="inlineStr">
        <x:is>
          <x:t xml:space="preserve">Bật / tắt nhận việc</x:t>
        </x:is>
      </x:c>
      <x:c r="C454" s="20" t="inlineStr">
        <x:is>
          <x:t xml:space="preserve">DOC-045</x:t>
        </x:is>
      </x:c>
      <x:c r="D454" s="20" t="inlineStr">
        <x:is>
          <x:t xml:space="preserve">Tắt ẩn tìm kiếm và chặn yêu cầu mới; giữ việc cũ</x:t>
        </x:is>
      </x:c>
      <x:c r="E454" s="20" t="inlineStr">
        <x:is>
          <x:t xml:space="preserve">Khi chức năng hoặc hợp đồng kỹ thuật đổi</x:t>
        </x:is>
      </x:c>
      <x:c r="F454" s="20" t="inlineStr">
        <x:is>
          <x:t xml:space="preserve">Cập nhật nguồn JSON/MD/OpenAPI/DDL tương ứng, tái tạo viewer/ZIP và ghi kiểm chứng</x:t>
        </x:is>
      </x:c>
    </x:row>
    <x:row r="455" ht="52" customHeight="1">
      <x:c r="A455" s="20" t="inlineStr">
        <x:is>
          <x:t xml:space="preserve">F05</x:t>
        </x:is>
      </x:c>
      <x:c r="B455" s="20" t="inlineStr">
        <x:is>
          <x:t xml:space="preserve">Bật / tắt nhận việc</x:t>
        </x:is>
      </x:c>
      <x:c r="C455" s="20" t="inlineStr">
        <x:is>
          <x:t xml:space="preserve">DOC-046</x:t>
        </x:is>
      </x:c>
      <x:c r="D455" s="20" t="inlineStr">
        <x:is>
          <x:t xml:space="preserve">Tắt ẩn tìm kiếm và chặn yêu cầu mới; giữ việc cũ</x:t>
        </x:is>
      </x:c>
      <x:c r="E455" s="20" t="inlineStr">
        <x:is>
          <x:t xml:space="preserve">Khi chức năng hoặc hợp đồng kỹ thuật đổi</x:t>
        </x:is>
      </x:c>
      <x:c r="F455" s="20" t="inlineStr">
        <x:is>
          <x:t xml:space="preserve">Cập nhật nguồn JSON/MD/OpenAPI/DDL tương ứng, tái tạo viewer/ZIP và ghi kiểm chứng</x:t>
        </x:is>
      </x:c>
    </x:row>
    <x:row r="456" ht="52" customHeight="1">
      <x:c r="A456" s="20" t="inlineStr">
        <x:is>
          <x:t xml:space="preserve">F05</x:t>
        </x:is>
      </x:c>
      <x:c r="B456" s="20" t="inlineStr">
        <x:is>
          <x:t xml:space="preserve">Bật / tắt nhận việc</x:t>
        </x:is>
      </x:c>
      <x:c r="C456" s="20" t="inlineStr">
        <x:is>
          <x:t xml:space="preserve">DOC-047</x:t>
        </x:is>
      </x:c>
      <x:c r="D456" s="20" t="inlineStr">
        <x:is>
          <x:t xml:space="preserve">Tắt ẩn tìm kiếm và chặn yêu cầu mới; giữ việc cũ</x:t>
        </x:is>
      </x:c>
      <x:c r="E456" s="20" t="inlineStr">
        <x:is>
          <x:t xml:space="preserve">Khi chức năng hoặc hợp đồng kỹ thuật đổi</x:t>
        </x:is>
      </x:c>
      <x:c r="F456" s="20" t="inlineStr">
        <x:is>
          <x:t xml:space="preserve">Cập nhật nguồn JSON/MD/OpenAPI/DDL tương ứng, tái tạo viewer/ZIP và ghi kiểm chứng</x:t>
        </x:is>
      </x:c>
    </x:row>
    <x:row r="457" ht="52" customHeight="1">
      <x:c r="A457" s="20" t="inlineStr">
        <x:is>
          <x:t xml:space="preserve">F05</x:t>
        </x:is>
      </x:c>
      <x:c r="B457" s="20" t="inlineStr">
        <x:is>
          <x:t xml:space="preserve">Bật / tắt nhận việc</x:t>
        </x:is>
      </x:c>
      <x:c r="C457" s="20" t="inlineStr">
        <x:is>
          <x:t xml:space="preserve">DOC-048</x:t>
        </x:is>
      </x:c>
      <x:c r="D457" s="20" t="inlineStr">
        <x:is>
          <x:t xml:space="preserve">Tắt ẩn tìm kiếm và chặn yêu cầu mới; giữ việc cũ</x:t>
        </x:is>
      </x:c>
      <x:c r="E457" s="20" t="inlineStr">
        <x:is>
          <x:t xml:space="preserve">Khi chức năng hoặc hợp đồng kỹ thuật đổi</x:t>
        </x:is>
      </x:c>
      <x:c r="F457" s="20" t="inlineStr">
        <x:is>
          <x:t xml:space="preserve">Cập nhật nguồn JSON/MD/OpenAPI/DDL tương ứng, tái tạo viewer/ZIP và ghi kiểm chứng</x:t>
        </x:is>
      </x:c>
    </x:row>
    <x:row r="458" ht="52" customHeight="1">
      <x:c r="A458" s="20" t="inlineStr">
        <x:is>
          <x:t xml:space="preserve">F06</x:t>
        </x:is>
      </x:c>
      <x:c r="B458" s="20" t="inlineStr">
        <x:is>
          <x:t xml:space="preserve">Thuê ngay / hẹn trước</x:t>
        </x:is>
      </x:c>
      <x:c r="C458" s="20" t="inlineStr">
        <x:is>
          <x:t xml:space="preserve">PLAN-001</x:t>
        </x:is>
      </x:c>
      <x:c r="D458" s="20" t="inlineStr">
        <x:is>
          <x:t xml:space="preserve">Nhận, từ chối, ETA và yêu cầu nhẹ</x:t>
        </x:is>
      </x:c>
      <x:c r="E458" s="20" t="inlineStr">
        <x:is>
          <x:t xml:space="preserve">Khi chức năng hoặc hợp đồng kỹ thuật đổi</x:t>
        </x:is>
      </x:c>
      <x:c r="F458" s="20" t="inlineStr">
        <x:is>
          <x:t xml:space="preserve">Cập nhật nguồn JSON/MD/OpenAPI/DDL tương ứng, tái tạo viewer/ZIP và ghi kiểm chứng</x:t>
        </x:is>
      </x:c>
    </x:row>
    <x:row r="459" ht="52" customHeight="1">
      <x:c r="A459" s="20" t="inlineStr">
        <x:is>
          <x:t xml:space="preserve">F06</x:t>
        </x:is>
      </x:c>
      <x:c r="B459" s="20" t="inlineStr">
        <x:is>
          <x:t xml:space="preserve">Thuê ngay / hẹn trước</x:t>
        </x:is>
      </x:c>
      <x:c r="C459" s="20" t="inlineStr">
        <x:is>
          <x:t xml:space="preserve">PLAN-002</x:t>
        </x:is>
      </x:c>
      <x:c r="D459" s="20" t="inlineStr">
        <x:is>
          <x:t xml:space="preserve">Nhận, từ chối, ETA và yêu cầu nhẹ</x:t>
        </x:is>
      </x:c>
      <x:c r="E459" s="20" t="inlineStr">
        <x:is>
          <x:t xml:space="preserve">Khi chức năng hoặc hợp đồng kỹ thuật đổi</x:t>
        </x:is>
      </x:c>
      <x:c r="F459" s="20" t="inlineStr">
        <x:is>
          <x:t xml:space="preserve">Cập nhật nguồn JSON/MD/OpenAPI/DDL tương ứng, tái tạo viewer/ZIP và ghi kiểm chứng</x:t>
        </x:is>
      </x:c>
    </x:row>
    <x:row r="460" ht="52" customHeight="1">
      <x:c r="A460" s="20" t="inlineStr">
        <x:is>
          <x:t xml:space="preserve">F06</x:t>
        </x:is>
      </x:c>
      <x:c r="B460" s="20" t="inlineStr">
        <x:is>
          <x:t xml:space="preserve">Thuê ngay / hẹn trước</x:t>
        </x:is>
      </x:c>
      <x:c r="C460" s="20" t="inlineStr">
        <x:is>
          <x:t xml:space="preserve">PLAN-003</x:t>
        </x:is>
      </x:c>
      <x:c r="D460" s="20" t="inlineStr">
        <x:is>
          <x:t xml:space="preserve">Nhận, từ chối, ETA và yêu cầu nhẹ</x:t>
        </x:is>
      </x:c>
      <x:c r="E460" s="20" t="inlineStr">
        <x:is>
          <x:t xml:space="preserve">Khi chức năng hoặc hợp đồng kỹ thuật đổi</x:t>
        </x:is>
      </x:c>
      <x:c r="F460" s="20" t="inlineStr">
        <x:is>
          <x:t xml:space="preserve">Cập nhật nguồn JSON/MD/OpenAPI/DDL tương ứng, tái tạo viewer/ZIP và ghi kiểm chứng</x:t>
        </x:is>
      </x:c>
    </x:row>
    <x:row r="461" ht="52" customHeight="1">
      <x:c r="A461" s="20" t="inlineStr">
        <x:is>
          <x:t xml:space="preserve">F06</x:t>
        </x:is>
      </x:c>
      <x:c r="B461" s="20" t="inlineStr">
        <x:is>
          <x:t xml:space="preserve">Thuê ngay / hẹn trước</x:t>
        </x:is>
      </x:c>
      <x:c r="C461" s="20" t="inlineStr">
        <x:is>
          <x:t xml:space="preserve">PLAN-008</x:t>
        </x:is>
      </x:c>
      <x:c r="D461" s="20" t="inlineStr">
        <x:is>
          <x:t xml:space="preserve">Nhận, từ chối, ETA và yêu cầu nhẹ</x:t>
        </x:is>
      </x:c>
      <x:c r="E461" s="20" t="inlineStr">
        <x:is>
          <x:t xml:space="preserve">Khi chức năng hoặc hợp đồng kỹ thuật đổi</x:t>
        </x:is>
      </x:c>
      <x:c r="F461" s="20" t="inlineStr">
        <x:is>
          <x:t xml:space="preserve">Cập nhật nguồn JSON/MD/OpenAPI/DDL tương ứng, tái tạo viewer/ZIP và ghi kiểm chứng</x:t>
        </x:is>
      </x:c>
    </x:row>
    <x:row r="462" ht="52" customHeight="1">
      <x:c r="A462" s="20" t="inlineStr">
        <x:is>
          <x:t xml:space="preserve">F06</x:t>
        </x:is>
      </x:c>
      <x:c r="B462" s="20" t="inlineStr">
        <x:is>
          <x:t xml:space="preserve">Thuê ngay / hẹn trước</x:t>
        </x:is>
      </x:c>
      <x:c r="C462" s="20" t="inlineStr">
        <x:is>
          <x:t xml:space="preserve">DOC-037</x:t>
        </x:is>
      </x:c>
      <x:c r="D462" s="20" t="inlineStr">
        <x:is>
          <x:t xml:space="preserve">Nhận, từ chối, ETA và yêu cầu nhẹ</x:t>
        </x:is>
      </x:c>
      <x:c r="E462" s="20" t="inlineStr">
        <x:is>
          <x:t xml:space="preserve">Khi chức năng hoặc hợp đồng kỹ thuật đổi</x:t>
        </x:is>
      </x:c>
      <x:c r="F462" s="20" t="inlineStr">
        <x:is>
          <x:t xml:space="preserve">Cập nhật nguồn JSON/MD/OpenAPI/DDL tương ứng, tái tạo viewer/ZIP và ghi kiểm chứng</x:t>
        </x:is>
      </x:c>
    </x:row>
    <x:row r="463" ht="52" customHeight="1">
      <x:c r="A463" s="20" t="inlineStr">
        <x:is>
          <x:t xml:space="preserve">F06</x:t>
        </x:is>
      </x:c>
      <x:c r="B463" s="20" t="inlineStr">
        <x:is>
          <x:t xml:space="preserve">Thuê ngay / hẹn trước</x:t>
        </x:is>
      </x:c>
      <x:c r="C463" s="20" t="inlineStr">
        <x:is>
          <x:t xml:space="preserve">DOC-038</x:t>
        </x:is>
      </x:c>
      <x:c r="D463" s="20" t="inlineStr">
        <x:is>
          <x:t xml:space="preserve">Nhận, từ chối, ETA và yêu cầu nhẹ</x:t>
        </x:is>
      </x:c>
      <x:c r="E463" s="20" t="inlineStr">
        <x:is>
          <x:t xml:space="preserve">Khi chức năng hoặc hợp đồng kỹ thuật đổi</x:t>
        </x:is>
      </x:c>
      <x:c r="F463" s="20" t="inlineStr">
        <x:is>
          <x:t xml:space="preserve">Cập nhật nguồn JSON/MD/OpenAPI/DDL tương ứng, tái tạo viewer/ZIP và ghi kiểm chứng</x:t>
        </x:is>
      </x:c>
    </x:row>
    <x:row r="464" ht="52" customHeight="1">
      <x:c r="A464" s="20" t="inlineStr">
        <x:is>
          <x:t xml:space="preserve">F06</x:t>
        </x:is>
      </x:c>
      <x:c r="B464" s="20" t="inlineStr">
        <x:is>
          <x:t xml:space="preserve">Thuê ngay / hẹn trước</x:t>
        </x:is>
      </x:c>
      <x:c r="C464" s="20" t="inlineStr">
        <x:is>
          <x:t xml:space="preserve">DOC-039</x:t>
        </x:is>
      </x:c>
      <x:c r="D464" s="20" t="inlineStr">
        <x:is>
          <x:t xml:space="preserve">Nhận, từ chối, ETA và yêu cầu nhẹ</x:t>
        </x:is>
      </x:c>
      <x:c r="E464" s="20" t="inlineStr">
        <x:is>
          <x:t xml:space="preserve">Khi chức năng hoặc hợp đồng kỹ thuật đổi</x:t>
        </x:is>
      </x:c>
      <x:c r="F464" s="20" t="inlineStr">
        <x:is>
          <x:t xml:space="preserve">Cập nhật nguồn JSON/MD/OpenAPI/DDL tương ứng, tái tạo viewer/ZIP và ghi kiểm chứng</x:t>
        </x:is>
      </x:c>
    </x:row>
    <x:row r="465" ht="52" customHeight="1">
      <x:c r="A465" s="20" t="inlineStr">
        <x:is>
          <x:t xml:space="preserve">F06</x:t>
        </x:is>
      </x:c>
      <x:c r="B465" s="20" t="inlineStr">
        <x:is>
          <x:t xml:space="preserve">Thuê ngay / hẹn trước</x:t>
        </x:is>
      </x:c>
      <x:c r="C465" s="20" t="inlineStr">
        <x:is>
          <x:t xml:space="preserve">DOC-040</x:t>
        </x:is>
      </x:c>
      <x:c r="D465" s="20" t="inlineStr">
        <x:is>
          <x:t xml:space="preserve">Nhận, từ chối, ETA và yêu cầu nhẹ</x:t>
        </x:is>
      </x:c>
      <x:c r="E465" s="20" t="inlineStr">
        <x:is>
          <x:t xml:space="preserve">Khi chức năng hoặc hợp đồng kỹ thuật đổi</x:t>
        </x:is>
      </x:c>
      <x:c r="F465" s="20" t="inlineStr">
        <x:is>
          <x:t xml:space="preserve">Cập nhật nguồn JSON/MD/OpenAPI/DDL tương ứng, tái tạo viewer/ZIP và ghi kiểm chứng</x:t>
        </x:is>
      </x:c>
    </x:row>
    <x:row r="466" ht="52" customHeight="1">
      <x:c r="A466" s="20" t="inlineStr">
        <x:is>
          <x:t xml:space="preserve">F06</x:t>
        </x:is>
      </x:c>
      <x:c r="B466" s="20" t="inlineStr">
        <x:is>
          <x:t xml:space="preserve">Thuê ngay / hẹn trước</x:t>
        </x:is>
      </x:c>
      <x:c r="C466" s="20" t="inlineStr">
        <x:is>
          <x:t xml:space="preserve">DOC-041</x:t>
        </x:is>
      </x:c>
      <x:c r="D466" s="20" t="inlineStr">
        <x:is>
          <x:t xml:space="preserve">Nhận, từ chối, ETA và yêu cầu nhẹ</x:t>
        </x:is>
      </x:c>
      <x:c r="E466" s="20" t="inlineStr">
        <x:is>
          <x:t xml:space="preserve">Khi chức năng hoặc hợp đồng kỹ thuật đổi</x:t>
        </x:is>
      </x:c>
      <x:c r="F466" s="20" t="inlineStr">
        <x:is>
          <x:t xml:space="preserve">Cập nhật nguồn JSON/MD/OpenAPI/DDL tương ứng, tái tạo viewer/ZIP và ghi kiểm chứng</x:t>
        </x:is>
      </x:c>
    </x:row>
    <x:row r="467" ht="52" customHeight="1">
      <x:c r="A467" s="20" t="inlineStr">
        <x:is>
          <x:t xml:space="preserve">F06</x:t>
        </x:is>
      </x:c>
      <x:c r="B467" s="20" t="inlineStr">
        <x:is>
          <x:t xml:space="preserve">Thuê ngay / hẹn trước</x:t>
        </x:is>
      </x:c>
      <x:c r="C467" s="20" t="inlineStr">
        <x:is>
          <x:t xml:space="preserve">DOC-042</x:t>
        </x:is>
      </x:c>
      <x:c r="D467" s="20" t="inlineStr">
        <x:is>
          <x:t xml:space="preserve">Nhận, từ chối, ETA và yêu cầu nhẹ</x:t>
        </x:is>
      </x:c>
      <x:c r="E467" s="20" t="inlineStr">
        <x:is>
          <x:t xml:space="preserve">Khi chức năng hoặc hợp đồng kỹ thuật đổi</x:t>
        </x:is>
      </x:c>
      <x:c r="F467" s="20" t="inlineStr">
        <x:is>
          <x:t xml:space="preserve">Cập nhật nguồn JSON/MD/OpenAPI/DDL tương ứng, tái tạo viewer/ZIP và ghi kiểm chứng</x:t>
        </x:is>
      </x:c>
    </x:row>
    <x:row r="468" ht="52" customHeight="1">
      <x:c r="A468" s="20" t="inlineStr">
        <x:is>
          <x:t xml:space="preserve">F06</x:t>
        </x:is>
      </x:c>
      <x:c r="B468" s="20" t="inlineStr">
        <x:is>
          <x:t xml:space="preserve">Thuê ngay / hẹn trước</x:t>
        </x:is>
      </x:c>
      <x:c r="C468" s="20" t="inlineStr">
        <x:is>
          <x:t xml:space="preserve">DOC-043</x:t>
        </x:is>
      </x:c>
      <x:c r="D468" s="20" t="inlineStr">
        <x:is>
          <x:t xml:space="preserve">Nhận, từ chối, ETA và yêu cầu nhẹ</x:t>
        </x:is>
      </x:c>
      <x:c r="E468" s="20" t="inlineStr">
        <x:is>
          <x:t xml:space="preserve">Khi chức năng hoặc hợp đồng kỹ thuật đổi</x:t>
        </x:is>
      </x:c>
      <x:c r="F468" s="20" t="inlineStr">
        <x:is>
          <x:t xml:space="preserve">Cập nhật nguồn JSON/MD/OpenAPI/DDL tương ứng, tái tạo viewer/ZIP và ghi kiểm chứng</x:t>
        </x:is>
      </x:c>
    </x:row>
    <x:row r="469" ht="52" customHeight="1">
      <x:c r="A469" s="20" t="inlineStr">
        <x:is>
          <x:t xml:space="preserve">F06</x:t>
        </x:is>
      </x:c>
      <x:c r="B469" s="20" t="inlineStr">
        <x:is>
          <x:t xml:space="preserve">Thuê ngay / hẹn trước</x:t>
        </x:is>
      </x:c>
      <x:c r="C469" s="20" t="inlineStr">
        <x:is>
          <x:t xml:space="preserve">DOC-044</x:t>
        </x:is>
      </x:c>
      <x:c r="D469" s="20" t="inlineStr">
        <x:is>
          <x:t xml:space="preserve">Nhận, từ chối, ETA và yêu cầu nhẹ</x:t>
        </x:is>
      </x:c>
      <x:c r="E469" s="20" t="inlineStr">
        <x:is>
          <x:t xml:space="preserve">Khi chức năng hoặc hợp đồng kỹ thuật đổi</x:t>
        </x:is>
      </x:c>
      <x:c r="F469" s="20" t="inlineStr">
        <x:is>
          <x:t xml:space="preserve">Cập nhật nguồn JSON/MD/OpenAPI/DDL tương ứng, tái tạo viewer/ZIP và ghi kiểm chứng</x:t>
        </x:is>
      </x:c>
    </x:row>
    <x:row r="470" ht="52" customHeight="1">
      <x:c r="A470" s="20" t="inlineStr">
        <x:is>
          <x:t xml:space="preserve">F06</x:t>
        </x:is>
      </x:c>
      <x:c r="B470" s="20" t="inlineStr">
        <x:is>
          <x:t xml:space="preserve">Thuê ngay / hẹn trước</x:t>
        </x:is>
      </x:c>
      <x:c r="C470" s="20" t="inlineStr">
        <x:is>
          <x:t xml:space="preserve">DOC-045</x:t>
        </x:is>
      </x:c>
      <x:c r="D470" s="20" t="inlineStr">
        <x:is>
          <x:t xml:space="preserve">Nhận, từ chối, ETA và yêu cầu nhẹ</x:t>
        </x:is>
      </x:c>
      <x:c r="E470" s="20" t="inlineStr">
        <x:is>
          <x:t xml:space="preserve">Khi chức năng hoặc hợp đồng kỹ thuật đổi</x:t>
        </x:is>
      </x:c>
      <x:c r="F470" s="20" t="inlineStr">
        <x:is>
          <x:t xml:space="preserve">Cập nhật nguồn JSON/MD/OpenAPI/DDL tương ứng, tái tạo viewer/ZIP và ghi kiểm chứng</x:t>
        </x:is>
      </x:c>
    </x:row>
    <x:row r="471" ht="52" customHeight="1">
      <x:c r="A471" s="20" t="inlineStr">
        <x:is>
          <x:t xml:space="preserve">F06</x:t>
        </x:is>
      </x:c>
      <x:c r="B471" s="20" t="inlineStr">
        <x:is>
          <x:t xml:space="preserve">Thuê ngay / hẹn trước</x:t>
        </x:is>
      </x:c>
      <x:c r="C471" s="20" t="inlineStr">
        <x:is>
          <x:t xml:space="preserve">DOC-046</x:t>
        </x:is>
      </x:c>
      <x:c r="D471" s="20" t="inlineStr">
        <x:is>
          <x:t xml:space="preserve">Nhận, từ chối, ETA và yêu cầu nhẹ</x:t>
        </x:is>
      </x:c>
      <x:c r="E471" s="20" t="inlineStr">
        <x:is>
          <x:t xml:space="preserve">Khi chức năng hoặc hợp đồng kỹ thuật đổi</x:t>
        </x:is>
      </x:c>
      <x:c r="F471" s="20" t="inlineStr">
        <x:is>
          <x:t xml:space="preserve">Cập nhật nguồn JSON/MD/OpenAPI/DDL tương ứng, tái tạo viewer/ZIP và ghi kiểm chứng</x:t>
        </x:is>
      </x:c>
    </x:row>
    <x:row r="472" ht="52" customHeight="1">
      <x:c r="A472" s="20" t="inlineStr">
        <x:is>
          <x:t xml:space="preserve">F06</x:t>
        </x:is>
      </x:c>
      <x:c r="B472" s="20" t="inlineStr">
        <x:is>
          <x:t xml:space="preserve">Thuê ngay / hẹn trước</x:t>
        </x:is>
      </x:c>
      <x:c r="C472" s="20" t="inlineStr">
        <x:is>
          <x:t xml:space="preserve">DOC-047</x:t>
        </x:is>
      </x:c>
      <x:c r="D472" s="20" t="inlineStr">
        <x:is>
          <x:t xml:space="preserve">Nhận, từ chối, ETA và yêu cầu nhẹ</x:t>
        </x:is>
      </x:c>
      <x:c r="E472" s="20" t="inlineStr">
        <x:is>
          <x:t xml:space="preserve">Khi chức năng hoặc hợp đồng kỹ thuật đổi</x:t>
        </x:is>
      </x:c>
      <x:c r="F472" s="20" t="inlineStr">
        <x:is>
          <x:t xml:space="preserve">Cập nhật nguồn JSON/MD/OpenAPI/DDL tương ứng, tái tạo viewer/ZIP và ghi kiểm chứng</x:t>
        </x:is>
      </x:c>
    </x:row>
    <x:row r="473" ht="52" customHeight="1">
      <x:c r="A473" s="20" t="inlineStr">
        <x:is>
          <x:t xml:space="preserve">F06</x:t>
        </x:is>
      </x:c>
      <x:c r="B473" s="20" t="inlineStr">
        <x:is>
          <x:t xml:space="preserve">Thuê ngay / hẹn trước</x:t>
        </x:is>
      </x:c>
      <x:c r="C473" s="20" t="inlineStr">
        <x:is>
          <x:t xml:space="preserve">DOC-048</x:t>
        </x:is>
      </x:c>
      <x:c r="D473" s="20" t="inlineStr">
        <x:is>
          <x:t xml:space="preserve">Nhận, từ chối, ETA và yêu cầu nhẹ</x:t>
        </x:is>
      </x:c>
      <x:c r="E473" s="20" t="inlineStr">
        <x:is>
          <x:t xml:space="preserve">Khi chức năng hoặc hợp đồng kỹ thuật đổi</x:t>
        </x:is>
      </x:c>
      <x:c r="F473" s="20" t="inlineStr">
        <x:is>
          <x:t xml:space="preserve">Cập nhật nguồn JSON/MD/OpenAPI/DDL tương ứng, tái tạo viewer/ZIP và ghi kiểm chứng</x:t>
        </x:is>
      </x:c>
    </x:row>
    <x:row r="474" ht="52" customHeight="1">
      <x:c r="A474" s="20" t="inlineStr">
        <x:is>
          <x:t xml:space="preserve">F07</x:t>
        </x:is>
      </x:c>
      <x:c r="B474" s="20" t="inlineStr">
        <x:is>
          <x:t xml:space="preserve">Đổi lịch / dừng việc</x:t>
        </x:is>
      </x:c>
      <x:c r="C474" s="20" t="inlineStr">
        <x:is>
          <x:t xml:space="preserve">PLAN-001</x:t>
        </x:is>
      </x:c>
      <x:c r="D474" s="20" t="inlineStr">
        <x:is>
          <x:t xml:space="preserve">Không cần bên kia xác nhận lịch; nhắc 24h/1h</x:t>
        </x:is>
      </x:c>
      <x:c r="E474" s="20" t="inlineStr">
        <x:is>
          <x:t xml:space="preserve">Khi chức năng hoặc hợp đồng kỹ thuật đổi</x:t>
        </x:is>
      </x:c>
      <x:c r="F474" s="20" t="inlineStr">
        <x:is>
          <x:t xml:space="preserve">Cập nhật nguồn JSON/MD/OpenAPI/DDL tương ứng, tái tạo viewer/ZIP và ghi kiểm chứng</x:t>
        </x:is>
      </x:c>
    </x:row>
    <x:row r="475" ht="52" customHeight="1">
      <x:c r="A475" s="20" t="inlineStr">
        <x:is>
          <x:t xml:space="preserve">F07</x:t>
        </x:is>
      </x:c>
      <x:c r="B475" s="20" t="inlineStr">
        <x:is>
          <x:t xml:space="preserve">Đổi lịch / dừng việc</x:t>
        </x:is>
      </x:c>
      <x:c r="C475" s="20" t="inlineStr">
        <x:is>
          <x:t xml:space="preserve">PLAN-002</x:t>
        </x:is>
      </x:c>
      <x:c r="D475" s="20" t="inlineStr">
        <x:is>
          <x:t xml:space="preserve">Không cần bên kia xác nhận lịch; nhắc 24h/1h</x:t>
        </x:is>
      </x:c>
      <x:c r="E475" s="20" t="inlineStr">
        <x:is>
          <x:t xml:space="preserve">Khi chức năng hoặc hợp đồng kỹ thuật đổi</x:t>
        </x:is>
      </x:c>
      <x:c r="F475" s="20" t="inlineStr">
        <x:is>
          <x:t xml:space="preserve">Cập nhật nguồn JSON/MD/OpenAPI/DDL tương ứng, tái tạo viewer/ZIP và ghi kiểm chứng</x:t>
        </x:is>
      </x:c>
    </x:row>
    <x:row r="476" ht="52" customHeight="1">
      <x:c r="A476" s="20" t="inlineStr">
        <x:is>
          <x:t xml:space="preserve">F07</x:t>
        </x:is>
      </x:c>
      <x:c r="B476" s="20" t="inlineStr">
        <x:is>
          <x:t xml:space="preserve">Đổi lịch / dừng việc</x:t>
        </x:is>
      </x:c>
      <x:c r="C476" s="20" t="inlineStr">
        <x:is>
          <x:t xml:space="preserve">PLAN-003</x:t>
        </x:is>
      </x:c>
      <x:c r="D476" s="20" t="inlineStr">
        <x:is>
          <x:t xml:space="preserve">Không cần bên kia xác nhận lịch; nhắc 24h/1h</x:t>
        </x:is>
      </x:c>
      <x:c r="E476" s="20" t="inlineStr">
        <x:is>
          <x:t xml:space="preserve">Khi chức năng hoặc hợp đồng kỹ thuật đổi</x:t>
        </x:is>
      </x:c>
      <x:c r="F476" s="20" t="inlineStr">
        <x:is>
          <x:t xml:space="preserve">Cập nhật nguồn JSON/MD/OpenAPI/DDL tương ứng, tái tạo viewer/ZIP và ghi kiểm chứng</x:t>
        </x:is>
      </x:c>
    </x:row>
    <x:row r="477" ht="52" customHeight="1">
      <x:c r="A477" s="20" t="inlineStr">
        <x:is>
          <x:t xml:space="preserve">F07</x:t>
        </x:is>
      </x:c>
      <x:c r="B477" s="20" t="inlineStr">
        <x:is>
          <x:t xml:space="preserve">Đổi lịch / dừng việc</x:t>
        </x:is>
      </x:c>
      <x:c r="C477" s="20" t="inlineStr">
        <x:is>
          <x:t xml:space="preserve">PLAN-008</x:t>
        </x:is>
      </x:c>
      <x:c r="D477" s="20" t="inlineStr">
        <x:is>
          <x:t xml:space="preserve">Không cần bên kia xác nhận lịch; nhắc 24h/1h</x:t>
        </x:is>
      </x:c>
      <x:c r="E477" s="20" t="inlineStr">
        <x:is>
          <x:t xml:space="preserve">Khi chức năng hoặc hợp đồng kỹ thuật đổi</x:t>
        </x:is>
      </x:c>
      <x:c r="F477" s="20" t="inlineStr">
        <x:is>
          <x:t xml:space="preserve">Cập nhật nguồn JSON/MD/OpenAPI/DDL tương ứng, tái tạo viewer/ZIP và ghi kiểm chứng</x:t>
        </x:is>
      </x:c>
    </x:row>
    <x:row r="478" ht="52" customHeight="1">
      <x:c r="A478" s="20" t="inlineStr">
        <x:is>
          <x:t xml:space="preserve">F07</x:t>
        </x:is>
      </x:c>
      <x:c r="B478" s="20" t="inlineStr">
        <x:is>
          <x:t xml:space="preserve">Đổi lịch / dừng việc</x:t>
        </x:is>
      </x:c>
      <x:c r="C478" s="20" t="inlineStr">
        <x:is>
          <x:t xml:space="preserve">DOC-037</x:t>
        </x:is>
      </x:c>
      <x:c r="D478" s="20" t="inlineStr">
        <x:is>
          <x:t xml:space="preserve">Không cần bên kia xác nhận lịch; nhắc 24h/1h</x:t>
        </x:is>
      </x:c>
      <x:c r="E478" s="20" t="inlineStr">
        <x:is>
          <x:t xml:space="preserve">Khi chức năng hoặc hợp đồng kỹ thuật đổi</x:t>
        </x:is>
      </x:c>
      <x:c r="F478" s="20" t="inlineStr">
        <x:is>
          <x:t xml:space="preserve">Cập nhật nguồn JSON/MD/OpenAPI/DDL tương ứng, tái tạo viewer/ZIP và ghi kiểm chứng</x:t>
        </x:is>
      </x:c>
    </x:row>
    <x:row r="479" ht="52" customHeight="1">
      <x:c r="A479" s="20" t="inlineStr">
        <x:is>
          <x:t xml:space="preserve">F07</x:t>
        </x:is>
      </x:c>
      <x:c r="B479" s="20" t="inlineStr">
        <x:is>
          <x:t xml:space="preserve">Đổi lịch / dừng việc</x:t>
        </x:is>
      </x:c>
      <x:c r="C479" s="20" t="inlineStr">
        <x:is>
          <x:t xml:space="preserve">DOC-038</x:t>
        </x:is>
      </x:c>
      <x:c r="D479" s="20" t="inlineStr">
        <x:is>
          <x:t xml:space="preserve">Không cần bên kia xác nhận lịch; nhắc 24h/1h</x:t>
        </x:is>
      </x:c>
      <x:c r="E479" s="20" t="inlineStr">
        <x:is>
          <x:t xml:space="preserve">Khi chức năng hoặc hợp đồng kỹ thuật đổi</x:t>
        </x:is>
      </x:c>
      <x:c r="F479" s="20" t="inlineStr">
        <x:is>
          <x:t xml:space="preserve">Cập nhật nguồn JSON/MD/OpenAPI/DDL tương ứng, tái tạo viewer/ZIP và ghi kiểm chứng</x:t>
        </x:is>
      </x:c>
    </x:row>
    <x:row r="480" ht="52" customHeight="1">
      <x:c r="A480" s="20" t="inlineStr">
        <x:is>
          <x:t xml:space="preserve">F07</x:t>
        </x:is>
      </x:c>
      <x:c r="B480" s="20" t="inlineStr">
        <x:is>
          <x:t xml:space="preserve">Đổi lịch / dừng việc</x:t>
        </x:is>
      </x:c>
      <x:c r="C480" s="20" t="inlineStr">
        <x:is>
          <x:t xml:space="preserve">DOC-039</x:t>
        </x:is>
      </x:c>
      <x:c r="D480" s="20" t="inlineStr">
        <x:is>
          <x:t xml:space="preserve">Không cần bên kia xác nhận lịch; nhắc 24h/1h</x:t>
        </x:is>
      </x:c>
      <x:c r="E480" s="20" t="inlineStr">
        <x:is>
          <x:t xml:space="preserve">Khi chức năng hoặc hợp đồng kỹ thuật đổi</x:t>
        </x:is>
      </x:c>
      <x:c r="F480" s="20" t="inlineStr">
        <x:is>
          <x:t xml:space="preserve">Cập nhật nguồn JSON/MD/OpenAPI/DDL tương ứng, tái tạo viewer/ZIP và ghi kiểm chứng</x:t>
        </x:is>
      </x:c>
    </x:row>
    <x:row r="481" ht="52" customHeight="1">
      <x:c r="A481" s="20" t="inlineStr">
        <x:is>
          <x:t xml:space="preserve">F07</x:t>
        </x:is>
      </x:c>
      <x:c r="B481" s="20" t="inlineStr">
        <x:is>
          <x:t xml:space="preserve">Đổi lịch / dừng việc</x:t>
        </x:is>
      </x:c>
      <x:c r="C481" s="20" t="inlineStr">
        <x:is>
          <x:t xml:space="preserve">DOC-040</x:t>
        </x:is>
      </x:c>
      <x:c r="D481" s="20" t="inlineStr">
        <x:is>
          <x:t xml:space="preserve">Không cần bên kia xác nhận lịch; nhắc 24h/1h</x:t>
        </x:is>
      </x:c>
      <x:c r="E481" s="20" t="inlineStr">
        <x:is>
          <x:t xml:space="preserve">Khi chức năng hoặc hợp đồng kỹ thuật đổi</x:t>
        </x:is>
      </x:c>
      <x:c r="F481" s="20" t="inlineStr">
        <x:is>
          <x:t xml:space="preserve">Cập nhật nguồn JSON/MD/OpenAPI/DDL tương ứng, tái tạo viewer/ZIP và ghi kiểm chứng</x:t>
        </x:is>
      </x:c>
    </x:row>
    <x:row r="482" ht="52" customHeight="1">
      <x:c r="A482" s="20" t="inlineStr">
        <x:is>
          <x:t xml:space="preserve">F07</x:t>
        </x:is>
      </x:c>
      <x:c r="B482" s="20" t="inlineStr">
        <x:is>
          <x:t xml:space="preserve">Đổi lịch / dừng việc</x:t>
        </x:is>
      </x:c>
      <x:c r="C482" s="20" t="inlineStr">
        <x:is>
          <x:t xml:space="preserve">DOC-041</x:t>
        </x:is>
      </x:c>
      <x:c r="D482" s="20" t="inlineStr">
        <x:is>
          <x:t xml:space="preserve">Không cần bên kia xác nhận lịch; nhắc 24h/1h</x:t>
        </x:is>
      </x:c>
      <x:c r="E482" s="20" t="inlineStr">
        <x:is>
          <x:t xml:space="preserve">Khi chức năng hoặc hợp đồng kỹ thuật đổi</x:t>
        </x:is>
      </x:c>
      <x:c r="F482" s="20" t="inlineStr">
        <x:is>
          <x:t xml:space="preserve">Cập nhật nguồn JSON/MD/OpenAPI/DDL tương ứng, tái tạo viewer/ZIP và ghi kiểm chứng</x:t>
        </x:is>
      </x:c>
    </x:row>
    <x:row r="483" ht="52" customHeight="1">
      <x:c r="A483" s="20" t="inlineStr">
        <x:is>
          <x:t xml:space="preserve">F07</x:t>
        </x:is>
      </x:c>
      <x:c r="B483" s="20" t="inlineStr">
        <x:is>
          <x:t xml:space="preserve">Đổi lịch / dừng việc</x:t>
        </x:is>
      </x:c>
      <x:c r="C483" s="20" t="inlineStr">
        <x:is>
          <x:t xml:space="preserve">DOC-042</x:t>
        </x:is>
      </x:c>
      <x:c r="D483" s="20" t="inlineStr">
        <x:is>
          <x:t xml:space="preserve">Không cần bên kia xác nhận lịch; nhắc 24h/1h</x:t>
        </x:is>
      </x:c>
      <x:c r="E483" s="20" t="inlineStr">
        <x:is>
          <x:t xml:space="preserve">Khi chức năng hoặc hợp đồng kỹ thuật đổi</x:t>
        </x:is>
      </x:c>
      <x:c r="F483" s="20" t="inlineStr">
        <x:is>
          <x:t xml:space="preserve">Cập nhật nguồn JSON/MD/OpenAPI/DDL tương ứng, tái tạo viewer/ZIP và ghi kiểm chứng</x:t>
        </x:is>
      </x:c>
    </x:row>
    <x:row r="484" ht="52" customHeight="1">
      <x:c r="A484" s="20" t="inlineStr">
        <x:is>
          <x:t xml:space="preserve">F07</x:t>
        </x:is>
      </x:c>
      <x:c r="B484" s="20" t="inlineStr">
        <x:is>
          <x:t xml:space="preserve">Đổi lịch / dừng việc</x:t>
        </x:is>
      </x:c>
      <x:c r="C484" s="20" t="inlineStr">
        <x:is>
          <x:t xml:space="preserve">DOC-043</x:t>
        </x:is>
      </x:c>
      <x:c r="D484" s="20" t="inlineStr">
        <x:is>
          <x:t xml:space="preserve">Không cần bên kia xác nhận lịch; nhắc 24h/1h</x:t>
        </x:is>
      </x:c>
      <x:c r="E484" s="20" t="inlineStr">
        <x:is>
          <x:t xml:space="preserve">Khi chức năng hoặc hợp đồng kỹ thuật đổi</x:t>
        </x:is>
      </x:c>
      <x:c r="F484" s="20" t="inlineStr">
        <x:is>
          <x:t xml:space="preserve">Cập nhật nguồn JSON/MD/OpenAPI/DDL tương ứng, tái tạo viewer/ZIP và ghi kiểm chứng</x:t>
        </x:is>
      </x:c>
    </x:row>
    <x:row r="485" ht="52" customHeight="1">
      <x:c r="A485" s="20" t="inlineStr">
        <x:is>
          <x:t xml:space="preserve">F07</x:t>
        </x:is>
      </x:c>
      <x:c r="B485" s="20" t="inlineStr">
        <x:is>
          <x:t xml:space="preserve">Đổi lịch / dừng việc</x:t>
        </x:is>
      </x:c>
      <x:c r="C485" s="20" t="inlineStr">
        <x:is>
          <x:t xml:space="preserve">DOC-044</x:t>
        </x:is>
      </x:c>
      <x:c r="D485" s="20" t="inlineStr">
        <x:is>
          <x:t xml:space="preserve">Không cần bên kia xác nhận lịch; nhắc 24h/1h</x:t>
        </x:is>
      </x:c>
      <x:c r="E485" s="20" t="inlineStr">
        <x:is>
          <x:t xml:space="preserve">Khi chức năng hoặc hợp đồng kỹ thuật đổi</x:t>
        </x:is>
      </x:c>
      <x:c r="F485" s="20" t="inlineStr">
        <x:is>
          <x:t xml:space="preserve">Cập nhật nguồn JSON/MD/OpenAPI/DDL tương ứng, tái tạo viewer/ZIP và ghi kiểm chứng</x:t>
        </x:is>
      </x:c>
    </x:row>
    <x:row r="486" ht="52" customHeight="1">
      <x:c r="A486" s="20" t="inlineStr">
        <x:is>
          <x:t xml:space="preserve">F07</x:t>
        </x:is>
      </x:c>
      <x:c r="B486" s="20" t="inlineStr">
        <x:is>
          <x:t xml:space="preserve">Đổi lịch / dừng việc</x:t>
        </x:is>
      </x:c>
      <x:c r="C486" s="20" t="inlineStr">
        <x:is>
          <x:t xml:space="preserve">DOC-045</x:t>
        </x:is>
      </x:c>
      <x:c r="D486" s="20" t="inlineStr">
        <x:is>
          <x:t xml:space="preserve">Không cần bên kia xác nhận lịch; nhắc 24h/1h</x:t>
        </x:is>
      </x:c>
      <x:c r="E486" s="20" t="inlineStr">
        <x:is>
          <x:t xml:space="preserve">Khi chức năng hoặc hợp đồng kỹ thuật đổi</x:t>
        </x:is>
      </x:c>
      <x:c r="F486" s="20" t="inlineStr">
        <x:is>
          <x:t xml:space="preserve">Cập nhật nguồn JSON/MD/OpenAPI/DDL tương ứng, tái tạo viewer/ZIP và ghi kiểm chứng</x:t>
        </x:is>
      </x:c>
    </x:row>
    <x:row r="487" ht="52" customHeight="1">
      <x:c r="A487" s="20" t="inlineStr">
        <x:is>
          <x:t xml:space="preserve">F07</x:t>
        </x:is>
      </x:c>
      <x:c r="B487" s="20" t="inlineStr">
        <x:is>
          <x:t xml:space="preserve">Đổi lịch / dừng việc</x:t>
        </x:is>
      </x:c>
      <x:c r="C487" s="20" t="inlineStr">
        <x:is>
          <x:t xml:space="preserve">DOC-046</x:t>
        </x:is>
      </x:c>
      <x:c r="D487" s="20" t="inlineStr">
        <x:is>
          <x:t xml:space="preserve">Không cần bên kia xác nhận lịch; nhắc 24h/1h</x:t>
        </x:is>
      </x:c>
      <x:c r="E487" s="20" t="inlineStr">
        <x:is>
          <x:t xml:space="preserve">Khi chức năng hoặc hợp đồng kỹ thuật đổi</x:t>
        </x:is>
      </x:c>
      <x:c r="F487" s="20" t="inlineStr">
        <x:is>
          <x:t xml:space="preserve">Cập nhật nguồn JSON/MD/OpenAPI/DDL tương ứng, tái tạo viewer/ZIP và ghi kiểm chứng</x:t>
        </x:is>
      </x:c>
    </x:row>
    <x:row r="488" ht="52" customHeight="1">
      <x:c r="A488" s="20" t="inlineStr">
        <x:is>
          <x:t xml:space="preserve">F07</x:t>
        </x:is>
      </x:c>
      <x:c r="B488" s="20" t="inlineStr">
        <x:is>
          <x:t xml:space="preserve">Đổi lịch / dừng việc</x:t>
        </x:is>
      </x:c>
      <x:c r="C488" s="20" t="inlineStr">
        <x:is>
          <x:t xml:space="preserve">DOC-047</x:t>
        </x:is>
      </x:c>
      <x:c r="D488" s="20" t="inlineStr">
        <x:is>
          <x:t xml:space="preserve">Không cần bên kia xác nhận lịch; nhắc 24h/1h</x:t>
        </x:is>
      </x:c>
      <x:c r="E488" s="20" t="inlineStr">
        <x:is>
          <x:t xml:space="preserve">Khi chức năng hoặc hợp đồng kỹ thuật đổi</x:t>
        </x:is>
      </x:c>
      <x:c r="F488" s="20" t="inlineStr">
        <x:is>
          <x:t xml:space="preserve">Cập nhật nguồn JSON/MD/OpenAPI/DDL tương ứng, tái tạo viewer/ZIP và ghi kiểm chứng</x:t>
        </x:is>
      </x:c>
    </x:row>
    <x:row r="489" ht="52" customHeight="1">
      <x:c r="A489" s="20" t="inlineStr">
        <x:is>
          <x:t xml:space="preserve">F07</x:t>
        </x:is>
      </x:c>
      <x:c r="B489" s="20" t="inlineStr">
        <x:is>
          <x:t xml:space="preserve">Đổi lịch / dừng việc</x:t>
        </x:is>
      </x:c>
      <x:c r="C489" s="20" t="inlineStr">
        <x:is>
          <x:t xml:space="preserve">DOC-048</x:t>
        </x:is>
      </x:c>
      <x:c r="D489" s="20" t="inlineStr">
        <x:is>
          <x:t xml:space="preserve">Không cần bên kia xác nhận lịch; nhắc 24h/1h</x:t>
        </x:is>
      </x:c>
      <x:c r="E489" s="20" t="inlineStr">
        <x:is>
          <x:t xml:space="preserve">Khi chức năng hoặc hợp đồng kỹ thuật đổi</x:t>
        </x:is>
      </x:c>
      <x:c r="F489" s="20" t="inlineStr">
        <x:is>
          <x:t xml:space="preserve">Cập nhật nguồn JSON/MD/OpenAPI/DDL tương ứng, tái tạo viewer/ZIP và ghi kiểm chứng</x:t>
        </x:is>
      </x:c>
    </x:row>
    <x:row r="490" ht="52" customHeight="1">
      <x:c r="A490" s="20" t="inlineStr">
        <x:is>
          <x:t xml:space="preserve">F08</x:t>
        </x:is>
      </x:c>
      <x:c r="B490" s="20" t="inlineStr">
        <x:is>
          <x:t xml:space="preserve">Doanh nghiệp / quyền / phân công</x:t>
        </x:is>
      </x:c>
      <x:c r="C490" s="20" t="inlineStr">
        <x:is>
          <x:t xml:space="preserve">PLAN-001</x:t>
        </x:is>
      </x:c>
      <x:c r="D490" s="20" t="inlineStr">
        <x:is>
          <x:t xml:space="preserve">Quản lý kiêm điều phối, lịch sử phân công</x:t>
        </x:is>
      </x:c>
      <x:c r="E490" s="20" t="inlineStr">
        <x:is>
          <x:t xml:space="preserve">Khi chức năng hoặc hợp đồng kỹ thuật đổi</x:t>
        </x:is>
      </x:c>
      <x:c r="F490" s="20" t="inlineStr">
        <x:is>
          <x:t xml:space="preserve">Cập nhật nguồn JSON/MD/OpenAPI/DDL tương ứng, tái tạo viewer/ZIP và ghi kiểm chứng</x:t>
        </x:is>
      </x:c>
    </x:row>
    <x:row r="491" ht="52" customHeight="1">
      <x:c r="A491" s="20" t="inlineStr">
        <x:is>
          <x:t xml:space="preserve">F08</x:t>
        </x:is>
      </x:c>
      <x:c r="B491" s="20" t="inlineStr">
        <x:is>
          <x:t xml:space="preserve">Doanh nghiệp / quyền / phân công</x:t>
        </x:is>
      </x:c>
      <x:c r="C491" s="20" t="inlineStr">
        <x:is>
          <x:t xml:space="preserve">PLAN-002</x:t>
        </x:is>
      </x:c>
      <x:c r="D491" s="20" t="inlineStr">
        <x:is>
          <x:t xml:space="preserve">Quản lý kiêm điều phối, lịch sử phân công</x:t>
        </x:is>
      </x:c>
      <x:c r="E491" s="20" t="inlineStr">
        <x:is>
          <x:t xml:space="preserve">Khi chức năng hoặc hợp đồng kỹ thuật đổi</x:t>
        </x:is>
      </x:c>
      <x:c r="F491" s="20" t="inlineStr">
        <x:is>
          <x:t xml:space="preserve">Cập nhật nguồn JSON/MD/OpenAPI/DDL tương ứng, tái tạo viewer/ZIP và ghi kiểm chứng</x:t>
        </x:is>
      </x:c>
    </x:row>
    <x:row r="492" ht="52" customHeight="1">
      <x:c r="A492" s="20" t="inlineStr">
        <x:is>
          <x:t xml:space="preserve">F08</x:t>
        </x:is>
      </x:c>
      <x:c r="B492" s="20" t="inlineStr">
        <x:is>
          <x:t xml:space="preserve">Doanh nghiệp / quyền / phân công</x:t>
        </x:is>
      </x:c>
      <x:c r="C492" s="20" t="inlineStr">
        <x:is>
          <x:t xml:space="preserve">PLAN-003</x:t>
        </x:is>
      </x:c>
      <x:c r="D492" s="20" t="inlineStr">
        <x:is>
          <x:t xml:space="preserve">Quản lý kiêm điều phối, lịch sử phân công</x:t>
        </x:is>
      </x:c>
      <x:c r="E492" s="20" t="inlineStr">
        <x:is>
          <x:t xml:space="preserve">Khi chức năng hoặc hợp đồng kỹ thuật đổi</x:t>
        </x:is>
      </x:c>
      <x:c r="F492" s="20" t="inlineStr">
        <x:is>
          <x:t xml:space="preserve">Cập nhật nguồn JSON/MD/OpenAPI/DDL tương ứng, tái tạo viewer/ZIP và ghi kiểm chứng</x:t>
        </x:is>
      </x:c>
    </x:row>
    <x:row r="493" ht="52" customHeight="1">
      <x:c r="A493" s="20" t="inlineStr">
        <x:is>
          <x:t xml:space="preserve">F08</x:t>
        </x:is>
      </x:c>
      <x:c r="B493" s="20" t="inlineStr">
        <x:is>
          <x:t xml:space="preserve">Doanh nghiệp / quyền / phân công</x:t>
        </x:is>
      </x:c>
      <x:c r="C493" s="20" t="inlineStr">
        <x:is>
          <x:t xml:space="preserve">PLAN-008</x:t>
        </x:is>
      </x:c>
      <x:c r="D493" s="20" t="inlineStr">
        <x:is>
          <x:t xml:space="preserve">Quản lý kiêm điều phối, lịch sử phân công</x:t>
        </x:is>
      </x:c>
      <x:c r="E493" s="20" t="inlineStr">
        <x:is>
          <x:t xml:space="preserve">Khi chức năng hoặc hợp đồng kỹ thuật đổi</x:t>
        </x:is>
      </x:c>
      <x:c r="F493" s="20" t="inlineStr">
        <x:is>
          <x:t xml:space="preserve">Cập nhật nguồn JSON/MD/OpenAPI/DDL tương ứng, tái tạo viewer/ZIP và ghi kiểm chứng</x:t>
        </x:is>
      </x:c>
    </x:row>
    <x:row r="494" ht="52" customHeight="1">
      <x:c r="A494" s="20" t="inlineStr">
        <x:is>
          <x:t xml:space="preserve">F08</x:t>
        </x:is>
      </x:c>
      <x:c r="B494" s="20" t="inlineStr">
        <x:is>
          <x:t xml:space="preserve">Doanh nghiệp / quyền / phân công</x:t>
        </x:is>
      </x:c>
      <x:c r="C494" s="20" t="inlineStr">
        <x:is>
          <x:t xml:space="preserve">DOC-037</x:t>
        </x:is>
      </x:c>
      <x:c r="D494" s="20" t="inlineStr">
        <x:is>
          <x:t xml:space="preserve">Quản lý kiêm điều phối, lịch sử phân công</x:t>
        </x:is>
      </x:c>
      <x:c r="E494" s="20" t="inlineStr">
        <x:is>
          <x:t xml:space="preserve">Khi chức năng hoặc hợp đồng kỹ thuật đổi</x:t>
        </x:is>
      </x:c>
      <x:c r="F494" s="20" t="inlineStr">
        <x:is>
          <x:t xml:space="preserve">Cập nhật nguồn JSON/MD/OpenAPI/DDL tương ứng, tái tạo viewer/ZIP và ghi kiểm chứng</x:t>
        </x:is>
      </x:c>
    </x:row>
    <x:row r="495" ht="52" customHeight="1">
      <x:c r="A495" s="20" t="inlineStr">
        <x:is>
          <x:t xml:space="preserve">F08</x:t>
        </x:is>
      </x:c>
      <x:c r="B495" s="20" t="inlineStr">
        <x:is>
          <x:t xml:space="preserve">Doanh nghiệp / quyền / phân công</x:t>
        </x:is>
      </x:c>
      <x:c r="C495" s="20" t="inlineStr">
        <x:is>
          <x:t xml:space="preserve">DOC-038</x:t>
        </x:is>
      </x:c>
      <x:c r="D495" s="20" t="inlineStr">
        <x:is>
          <x:t xml:space="preserve">Quản lý kiêm điều phối, lịch sử phân công</x:t>
        </x:is>
      </x:c>
      <x:c r="E495" s="20" t="inlineStr">
        <x:is>
          <x:t xml:space="preserve">Khi chức năng hoặc hợp đồng kỹ thuật đổi</x:t>
        </x:is>
      </x:c>
      <x:c r="F495" s="20" t="inlineStr">
        <x:is>
          <x:t xml:space="preserve">Cập nhật nguồn JSON/MD/OpenAPI/DDL tương ứng, tái tạo viewer/ZIP và ghi kiểm chứng</x:t>
        </x:is>
      </x:c>
    </x:row>
    <x:row r="496" ht="52" customHeight="1">
      <x:c r="A496" s="20" t="inlineStr">
        <x:is>
          <x:t xml:space="preserve">F08</x:t>
        </x:is>
      </x:c>
      <x:c r="B496" s="20" t="inlineStr">
        <x:is>
          <x:t xml:space="preserve">Doanh nghiệp / quyền / phân công</x:t>
        </x:is>
      </x:c>
      <x:c r="C496" s="20" t="inlineStr">
        <x:is>
          <x:t xml:space="preserve">DOC-039</x:t>
        </x:is>
      </x:c>
      <x:c r="D496" s="20" t="inlineStr">
        <x:is>
          <x:t xml:space="preserve">Quản lý kiêm điều phối, lịch sử phân công</x:t>
        </x:is>
      </x:c>
      <x:c r="E496" s="20" t="inlineStr">
        <x:is>
          <x:t xml:space="preserve">Khi chức năng hoặc hợp đồng kỹ thuật đổi</x:t>
        </x:is>
      </x:c>
      <x:c r="F496" s="20" t="inlineStr">
        <x:is>
          <x:t xml:space="preserve">Cập nhật nguồn JSON/MD/OpenAPI/DDL tương ứng, tái tạo viewer/ZIP và ghi kiểm chứng</x:t>
        </x:is>
      </x:c>
    </x:row>
    <x:row r="497" ht="52" customHeight="1">
      <x:c r="A497" s="20" t="inlineStr">
        <x:is>
          <x:t xml:space="preserve">F08</x:t>
        </x:is>
      </x:c>
      <x:c r="B497" s="20" t="inlineStr">
        <x:is>
          <x:t xml:space="preserve">Doanh nghiệp / quyền / phân công</x:t>
        </x:is>
      </x:c>
      <x:c r="C497" s="20" t="inlineStr">
        <x:is>
          <x:t xml:space="preserve">DOC-040</x:t>
        </x:is>
      </x:c>
      <x:c r="D497" s="20" t="inlineStr">
        <x:is>
          <x:t xml:space="preserve">Quản lý kiêm điều phối, lịch sử phân công</x:t>
        </x:is>
      </x:c>
      <x:c r="E497" s="20" t="inlineStr">
        <x:is>
          <x:t xml:space="preserve">Khi chức năng hoặc hợp đồng kỹ thuật đổi</x:t>
        </x:is>
      </x:c>
      <x:c r="F497" s="20" t="inlineStr">
        <x:is>
          <x:t xml:space="preserve">Cập nhật nguồn JSON/MD/OpenAPI/DDL tương ứng, tái tạo viewer/ZIP và ghi kiểm chứng</x:t>
        </x:is>
      </x:c>
    </x:row>
    <x:row r="498" ht="52" customHeight="1">
      <x:c r="A498" s="20" t="inlineStr">
        <x:is>
          <x:t xml:space="preserve">F08</x:t>
        </x:is>
      </x:c>
      <x:c r="B498" s="20" t="inlineStr">
        <x:is>
          <x:t xml:space="preserve">Doanh nghiệp / quyền / phân công</x:t>
        </x:is>
      </x:c>
      <x:c r="C498" s="20" t="inlineStr">
        <x:is>
          <x:t xml:space="preserve">DOC-041</x:t>
        </x:is>
      </x:c>
      <x:c r="D498" s="20" t="inlineStr">
        <x:is>
          <x:t xml:space="preserve">Quản lý kiêm điều phối, lịch sử phân công</x:t>
        </x:is>
      </x:c>
      <x:c r="E498" s="20" t="inlineStr">
        <x:is>
          <x:t xml:space="preserve">Khi chức năng hoặc hợp đồng kỹ thuật đổi</x:t>
        </x:is>
      </x:c>
      <x:c r="F498" s="20" t="inlineStr">
        <x:is>
          <x:t xml:space="preserve">Cập nhật nguồn JSON/MD/OpenAPI/DDL tương ứng, tái tạo viewer/ZIP và ghi kiểm chứng</x:t>
        </x:is>
      </x:c>
    </x:row>
    <x:row r="499" ht="52" customHeight="1">
      <x:c r="A499" s="20" t="inlineStr">
        <x:is>
          <x:t xml:space="preserve">F08</x:t>
        </x:is>
      </x:c>
      <x:c r="B499" s="20" t="inlineStr">
        <x:is>
          <x:t xml:space="preserve">Doanh nghiệp / quyền / phân công</x:t>
        </x:is>
      </x:c>
      <x:c r="C499" s="20" t="inlineStr">
        <x:is>
          <x:t xml:space="preserve">DOC-042</x:t>
        </x:is>
      </x:c>
      <x:c r="D499" s="20" t="inlineStr">
        <x:is>
          <x:t xml:space="preserve">Quản lý kiêm điều phối, lịch sử phân công</x:t>
        </x:is>
      </x:c>
      <x:c r="E499" s="20" t="inlineStr">
        <x:is>
          <x:t xml:space="preserve">Khi chức năng hoặc hợp đồng kỹ thuật đổi</x:t>
        </x:is>
      </x:c>
      <x:c r="F499" s="20" t="inlineStr">
        <x:is>
          <x:t xml:space="preserve">Cập nhật nguồn JSON/MD/OpenAPI/DDL tương ứng, tái tạo viewer/ZIP và ghi kiểm chứng</x:t>
        </x:is>
      </x:c>
    </x:row>
    <x:row r="500" ht="52" customHeight="1">
      <x:c r="A500" s="20" t="inlineStr">
        <x:is>
          <x:t xml:space="preserve">F08</x:t>
        </x:is>
      </x:c>
      <x:c r="B500" s="20" t="inlineStr">
        <x:is>
          <x:t xml:space="preserve">Doanh nghiệp / quyền / phân công</x:t>
        </x:is>
      </x:c>
      <x:c r="C500" s="20" t="inlineStr">
        <x:is>
          <x:t xml:space="preserve">DOC-043</x:t>
        </x:is>
      </x:c>
      <x:c r="D500" s="20" t="inlineStr">
        <x:is>
          <x:t xml:space="preserve">Quản lý kiêm điều phối, lịch sử phân công</x:t>
        </x:is>
      </x:c>
      <x:c r="E500" s="20" t="inlineStr">
        <x:is>
          <x:t xml:space="preserve">Khi chức năng hoặc hợp đồng kỹ thuật đổi</x:t>
        </x:is>
      </x:c>
      <x:c r="F500" s="20" t="inlineStr">
        <x:is>
          <x:t xml:space="preserve">Cập nhật nguồn JSON/MD/OpenAPI/DDL tương ứng, tái tạo viewer/ZIP và ghi kiểm chứng</x:t>
        </x:is>
      </x:c>
    </x:row>
    <x:row r="501" ht="52" customHeight="1">
      <x:c r="A501" s="20" t="inlineStr">
        <x:is>
          <x:t xml:space="preserve">F08</x:t>
        </x:is>
      </x:c>
      <x:c r="B501" s="20" t="inlineStr">
        <x:is>
          <x:t xml:space="preserve">Doanh nghiệp / quyền / phân công</x:t>
        </x:is>
      </x:c>
      <x:c r="C501" s="20" t="inlineStr">
        <x:is>
          <x:t xml:space="preserve">DOC-044</x:t>
        </x:is>
      </x:c>
      <x:c r="D501" s="20" t="inlineStr">
        <x:is>
          <x:t xml:space="preserve">Quản lý kiêm điều phối, lịch sử phân công</x:t>
        </x:is>
      </x:c>
      <x:c r="E501" s="20" t="inlineStr">
        <x:is>
          <x:t xml:space="preserve">Khi chức năng hoặc hợp đồng kỹ thuật đổi</x:t>
        </x:is>
      </x:c>
      <x:c r="F501" s="20" t="inlineStr">
        <x:is>
          <x:t xml:space="preserve">Cập nhật nguồn JSON/MD/OpenAPI/DDL tương ứng, tái tạo viewer/ZIP và ghi kiểm chứng</x:t>
        </x:is>
      </x:c>
    </x:row>
    <x:row r="502" ht="52" customHeight="1">
      <x:c r="A502" s="20" t="inlineStr">
        <x:is>
          <x:t xml:space="preserve">F08</x:t>
        </x:is>
      </x:c>
      <x:c r="B502" s="20" t="inlineStr">
        <x:is>
          <x:t xml:space="preserve">Doanh nghiệp / quyền / phân công</x:t>
        </x:is>
      </x:c>
      <x:c r="C502" s="20" t="inlineStr">
        <x:is>
          <x:t xml:space="preserve">DOC-045</x:t>
        </x:is>
      </x:c>
      <x:c r="D502" s="20" t="inlineStr">
        <x:is>
          <x:t xml:space="preserve">Quản lý kiêm điều phối, lịch sử phân công</x:t>
        </x:is>
      </x:c>
      <x:c r="E502" s="20" t="inlineStr">
        <x:is>
          <x:t xml:space="preserve">Khi chức năng hoặc hợp đồng kỹ thuật đổi</x:t>
        </x:is>
      </x:c>
      <x:c r="F502" s="20" t="inlineStr">
        <x:is>
          <x:t xml:space="preserve">Cập nhật nguồn JSON/MD/OpenAPI/DDL tương ứng, tái tạo viewer/ZIP và ghi kiểm chứng</x:t>
        </x:is>
      </x:c>
    </x:row>
    <x:row r="503" ht="52" customHeight="1">
      <x:c r="A503" s="20" t="inlineStr">
        <x:is>
          <x:t xml:space="preserve">F08</x:t>
        </x:is>
      </x:c>
      <x:c r="B503" s="20" t="inlineStr">
        <x:is>
          <x:t xml:space="preserve">Doanh nghiệp / quyền / phân công</x:t>
        </x:is>
      </x:c>
      <x:c r="C503" s="20" t="inlineStr">
        <x:is>
          <x:t xml:space="preserve">DOC-046</x:t>
        </x:is>
      </x:c>
      <x:c r="D503" s="20" t="inlineStr">
        <x:is>
          <x:t xml:space="preserve">Quản lý kiêm điều phối, lịch sử phân công</x:t>
        </x:is>
      </x:c>
      <x:c r="E503" s="20" t="inlineStr">
        <x:is>
          <x:t xml:space="preserve">Khi chức năng hoặc hợp đồng kỹ thuật đổi</x:t>
        </x:is>
      </x:c>
      <x:c r="F503" s="20" t="inlineStr">
        <x:is>
          <x:t xml:space="preserve">Cập nhật nguồn JSON/MD/OpenAPI/DDL tương ứng, tái tạo viewer/ZIP và ghi kiểm chứng</x:t>
        </x:is>
      </x:c>
    </x:row>
    <x:row r="504" ht="52" customHeight="1">
      <x:c r="A504" s="20" t="inlineStr">
        <x:is>
          <x:t xml:space="preserve">F08</x:t>
        </x:is>
      </x:c>
      <x:c r="B504" s="20" t="inlineStr">
        <x:is>
          <x:t xml:space="preserve">Doanh nghiệp / quyền / phân công</x:t>
        </x:is>
      </x:c>
      <x:c r="C504" s="20" t="inlineStr">
        <x:is>
          <x:t xml:space="preserve">DOC-047</x:t>
        </x:is>
      </x:c>
      <x:c r="D504" s="20" t="inlineStr">
        <x:is>
          <x:t xml:space="preserve">Quản lý kiêm điều phối, lịch sử phân công</x:t>
        </x:is>
      </x:c>
      <x:c r="E504" s="20" t="inlineStr">
        <x:is>
          <x:t xml:space="preserve">Khi chức năng hoặc hợp đồng kỹ thuật đổi</x:t>
        </x:is>
      </x:c>
      <x:c r="F504" s="20" t="inlineStr">
        <x:is>
          <x:t xml:space="preserve">Cập nhật nguồn JSON/MD/OpenAPI/DDL tương ứng, tái tạo viewer/ZIP và ghi kiểm chứng</x:t>
        </x:is>
      </x:c>
    </x:row>
    <x:row r="505" ht="52" customHeight="1">
      <x:c r="A505" s="20" t="inlineStr">
        <x:is>
          <x:t xml:space="preserve">F08</x:t>
        </x:is>
      </x:c>
      <x:c r="B505" s="20" t="inlineStr">
        <x:is>
          <x:t xml:space="preserve">Doanh nghiệp / quyền / phân công</x:t>
        </x:is>
      </x:c>
      <x:c r="C505" s="20" t="inlineStr">
        <x:is>
          <x:t xml:space="preserve">DOC-048</x:t>
        </x:is>
      </x:c>
      <x:c r="D505" s="20" t="inlineStr">
        <x:is>
          <x:t xml:space="preserve">Quản lý kiêm điều phối, lịch sử phân công</x:t>
        </x:is>
      </x:c>
      <x:c r="E505" s="20" t="inlineStr">
        <x:is>
          <x:t xml:space="preserve">Khi chức năng hoặc hợp đồng kỹ thuật đổi</x:t>
        </x:is>
      </x:c>
      <x:c r="F505" s="20" t="inlineStr">
        <x:is>
          <x:t xml:space="preserve">Cập nhật nguồn JSON/MD/OpenAPI/DDL tương ứng, tái tạo viewer/ZIP và ghi kiểm chứng</x:t>
        </x:is>
      </x:c>
    </x:row>
    <x:row r="506" ht="52" customHeight="1">
      <x:c r="A506" s="20" t="inlineStr">
        <x:is>
          <x:t xml:space="preserve">F09</x:t>
        </x:is>
      </x:c>
      <x:c r="B506" s="20" t="inlineStr">
        <x:is>
          <x:t xml:space="preserve">Chat / gọi / thông báo</x:t>
        </x:is>
      </x:c>
      <x:c r="C506" s="20" t="inlineStr">
        <x:is>
          <x:t xml:space="preserve">PLAN-001</x:t>
        </x:is>
      </x:c>
      <x:c r="D506" s="20" t="inlineStr">
        <x:is>
          <x:t xml:space="preserve">Chat trước thuê, dùng lại phòng riêng; gọi theo quyền việc</x:t>
        </x:is>
      </x:c>
      <x:c r="E506" s="20" t="inlineStr">
        <x:is>
          <x:t xml:space="preserve">Khi chức năng hoặc hợp đồng kỹ thuật đổi</x:t>
        </x:is>
      </x:c>
      <x:c r="F506" s="20" t="inlineStr">
        <x:is>
          <x:t xml:space="preserve">Cập nhật nguồn JSON/MD/OpenAPI/DDL tương ứng, tái tạo viewer/ZIP và ghi kiểm chứng</x:t>
        </x:is>
      </x:c>
    </x:row>
    <x:row r="507" ht="52" customHeight="1">
      <x:c r="A507" s="20" t="inlineStr">
        <x:is>
          <x:t xml:space="preserve">F09</x:t>
        </x:is>
      </x:c>
      <x:c r="B507" s="20" t="inlineStr">
        <x:is>
          <x:t xml:space="preserve">Chat / gọi / thông báo</x:t>
        </x:is>
      </x:c>
      <x:c r="C507" s="20" t="inlineStr">
        <x:is>
          <x:t xml:space="preserve">PLAN-002</x:t>
        </x:is>
      </x:c>
      <x:c r="D507" s="20" t="inlineStr">
        <x:is>
          <x:t xml:space="preserve">Chat trước thuê, dùng lại phòng riêng; gọi theo quyền việc</x:t>
        </x:is>
      </x:c>
      <x:c r="E507" s="20" t="inlineStr">
        <x:is>
          <x:t xml:space="preserve">Khi chức năng hoặc hợp đồng kỹ thuật đổi</x:t>
        </x:is>
      </x:c>
      <x:c r="F507" s="20" t="inlineStr">
        <x:is>
          <x:t xml:space="preserve">Cập nhật nguồn JSON/MD/OpenAPI/DDL tương ứng, tái tạo viewer/ZIP và ghi kiểm chứng</x:t>
        </x:is>
      </x:c>
    </x:row>
    <x:row r="508" ht="52" customHeight="1">
      <x:c r="A508" s="20" t="inlineStr">
        <x:is>
          <x:t xml:space="preserve">F09</x:t>
        </x:is>
      </x:c>
      <x:c r="B508" s="20" t="inlineStr">
        <x:is>
          <x:t xml:space="preserve">Chat / gọi / thông báo</x:t>
        </x:is>
      </x:c>
      <x:c r="C508" s="20" t="inlineStr">
        <x:is>
          <x:t xml:space="preserve">PLAN-003</x:t>
        </x:is>
      </x:c>
      <x:c r="D508" s="20" t="inlineStr">
        <x:is>
          <x:t xml:space="preserve">Chat trước thuê, dùng lại phòng riêng; gọi theo quyền việc</x:t>
        </x:is>
      </x:c>
      <x:c r="E508" s="20" t="inlineStr">
        <x:is>
          <x:t xml:space="preserve">Khi chức năng hoặc hợp đồng kỹ thuật đổi</x:t>
        </x:is>
      </x:c>
      <x:c r="F508" s="20" t="inlineStr">
        <x:is>
          <x:t xml:space="preserve">Cập nhật nguồn JSON/MD/OpenAPI/DDL tương ứng, tái tạo viewer/ZIP và ghi kiểm chứng</x:t>
        </x:is>
      </x:c>
    </x:row>
    <x:row r="509" ht="52" customHeight="1">
      <x:c r="A509" s="20" t="inlineStr">
        <x:is>
          <x:t xml:space="preserve">F09</x:t>
        </x:is>
      </x:c>
      <x:c r="B509" s="20" t="inlineStr">
        <x:is>
          <x:t xml:space="preserve">Chat / gọi / thông báo</x:t>
        </x:is>
      </x:c>
      <x:c r="C509" s="20" t="inlineStr">
        <x:is>
          <x:t xml:space="preserve">PLAN-008</x:t>
        </x:is>
      </x:c>
      <x:c r="D509" s="20" t="inlineStr">
        <x:is>
          <x:t xml:space="preserve">Chat trước thuê, dùng lại phòng riêng; gọi theo quyền việc</x:t>
        </x:is>
      </x:c>
      <x:c r="E509" s="20" t="inlineStr">
        <x:is>
          <x:t xml:space="preserve">Khi chức năng hoặc hợp đồng kỹ thuật đổi</x:t>
        </x:is>
      </x:c>
      <x:c r="F509" s="20" t="inlineStr">
        <x:is>
          <x:t xml:space="preserve">Cập nhật nguồn JSON/MD/OpenAPI/DDL tương ứng, tái tạo viewer/ZIP và ghi kiểm chứng</x:t>
        </x:is>
      </x:c>
    </x:row>
    <x:row r="510" ht="52" customHeight="1">
      <x:c r="A510" s="20" t="inlineStr">
        <x:is>
          <x:t xml:space="preserve">F09</x:t>
        </x:is>
      </x:c>
      <x:c r="B510" s="20" t="inlineStr">
        <x:is>
          <x:t xml:space="preserve">Chat / gọi / thông báo</x:t>
        </x:is>
      </x:c>
      <x:c r="C510" s="20" t="inlineStr">
        <x:is>
          <x:t xml:space="preserve">DOC-037</x:t>
        </x:is>
      </x:c>
      <x:c r="D510" s="20" t="inlineStr">
        <x:is>
          <x:t xml:space="preserve">Chat trước thuê, dùng lại phòng riêng; gọi theo quyền việc</x:t>
        </x:is>
      </x:c>
      <x:c r="E510" s="20" t="inlineStr">
        <x:is>
          <x:t xml:space="preserve">Khi chức năng hoặc hợp đồng kỹ thuật đổi</x:t>
        </x:is>
      </x:c>
      <x:c r="F510" s="20" t="inlineStr">
        <x:is>
          <x:t xml:space="preserve">Cập nhật nguồn JSON/MD/OpenAPI/DDL tương ứng, tái tạo viewer/ZIP và ghi kiểm chứng</x:t>
        </x:is>
      </x:c>
    </x:row>
    <x:row r="511" ht="52" customHeight="1">
      <x:c r="A511" s="20" t="inlineStr">
        <x:is>
          <x:t xml:space="preserve">F09</x:t>
        </x:is>
      </x:c>
      <x:c r="B511" s="20" t="inlineStr">
        <x:is>
          <x:t xml:space="preserve">Chat / gọi / thông báo</x:t>
        </x:is>
      </x:c>
      <x:c r="C511" s="20" t="inlineStr">
        <x:is>
          <x:t xml:space="preserve">DOC-038</x:t>
        </x:is>
      </x:c>
      <x:c r="D511" s="20" t="inlineStr">
        <x:is>
          <x:t xml:space="preserve">Chat trước thuê, dùng lại phòng riêng; gọi theo quyền việc</x:t>
        </x:is>
      </x:c>
      <x:c r="E511" s="20" t="inlineStr">
        <x:is>
          <x:t xml:space="preserve">Khi chức năng hoặc hợp đồng kỹ thuật đổi</x:t>
        </x:is>
      </x:c>
      <x:c r="F511" s="20" t="inlineStr">
        <x:is>
          <x:t xml:space="preserve">Cập nhật nguồn JSON/MD/OpenAPI/DDL tương ứng, tái tạo viewer/ZIP và ghi kiểm chứng</x:t>
        </x:is>
      </x:c>
    </x:row>
    <x:row r="512" ht="52" customHeight="1">
      <x:c r="A512" s="20" t="inlineStr">
        <x:is>
          <x:t xml:space="preserve">F09</x:t>
        </x:is>
      </x:c>
      <x:c r="B512" s="20" t="inlineStr">
        <x:is>
          <x:t xml:space="preserve">Chat / gọi / thông báo</x:t>
        </x:is>
      </x:c>
      <x:c r="C512" s="20" t="inlineStr">
        <x:is>
          <x:t xml:space="preserve">DOC-039</x:t>
        </x:is>
      </x:c>
      <x:c r="D512" s="20" t="inlineStr">
        <x:is>
          <x:t xml:space="preserve">Chat trước thuê, dùng lại phòng riêng; gọi theo quyền việc</x:t>
        </x:is>
      </x:c>
      <x:c r="E512" s="20" t="inlineStr">
        <x:is>
          <x:t xml:space="preserve">Khi chức năng hoặc hợp đồng kỹ thuật đổi</x:t>
        </x:is>
      </x:c>
      <x:c r="F512" s="20" t="inlineStr">
        <x:is>
          <x:t xml:space="preserve">Cập nhật nguồn JSON/MD/OpenAPI/DDL tương ứng, tái tạo viewer/ZIP và ghi kiểm chứng</x:t>
        </x:is>
      </x:c>
    </x:row>
    <x:row r="513" ht="52" customHeight="1">
      <x:c r="A513" s="20" t="inlineStr">
        <x:is>
          <x:t xml:space="preserve">F09</x:t>
        </x:is>
      </x:c>
      <x:c r="B513" s="20" t="inlineStr">
        <x:is>
          <x:t xml:space="preserve">Chat / gọi / thông báo</x:t>
        </x:is>
      </x:c>
      <x:c r="C513" s="20" t="inlineStr">
        <x:is>
          <x:t xml:space="preserve">DOC-040</x:t>
        </x:is>
      </x:c>
      <x:c r="D513" s="20" t="inlineStr">
        <x:is>
          <x:t xml:space="preserve">Chat trước thuê, dùng lại phòng riêng; gọi theo quyền việc</x:t>
        </x:is>
      </x:c>
      <x:c r="E513" s="20" t="inlineStr">
        <x:is>
          <x:t xml:space="preserve">Khi chức năng hoặc hợp đồng kỹ thuật đổi</x:t>
        </x:is>
      </x:c>
      <x:c r="F513" s="20" t="inlineStr">
        <x:is>
          <x:t xml:space="preserve">Cập nhật nguồn JSON/MD/OpenAPI/DDL tương ứng, tái tạo viewer/ZIP và ghi kiểm chứng</x:t>
        </x:is>
      </x:c>
    </x:row>
    <x:row r="514" ht="52" customHeight="1">
      <x:c r="A514" s="20" t="inlineStr">
        <x:is>
          <x:t xml:space="preserve">F09</x:t>
        </x:is>
      </x:c>
      <x:c r="B514" s="20" t="inlineStr">
        <x:is>
          <x:t xml:space="preserve">Chat / gọi / thông báo</x:t>
        </x:is>
      </x:c>
      <x:c r="C514" s="20" t="inlineStr">
        <x:is>
          <x:t xml:space="preserve">DOC-041</x:t>
        </x:is>
      </x:c>
      <x:c r="D514" s="20" t="inlineStr">
        <x:is>
          <x:t xml:space="preserve">Chat trước thuê, dùng lại phòng riêng; gọi theo quyền việc</x:t>
        </x:is>
      </x:c>
      <x:c r="E514" s="20" t="inlineStr">
        <x:is>
          <x:t xml:space="preserve">Khi chức năng hoặc hợp đồng kỹ thuật đổi</x:t>
        </x:is>
      </x:c>
      <x:c r="F514" s="20" t="inlineStr">
        <x:is>
          <x:t xml:space="preserve">Cập nhật nguồn JSON/MD/OpenAPI/DDL tương ứng, tái tạo viewer/ZIP và ghi kiểm chứng</x:t>
        </x:is>
      </x:c>
    </x:row>
    <x:row r="515" ht="52" customHeight="1">
      <x:c r="A515" s="20" t="inlineStr">
        <x:is>
          <x:t xml:space="preserve">F09</x:t>
        </x:is>
      </x:c>
      <x:c r="B515" s="20" t="inlineStr">
        <x:is>
          <x:t xml:space="preserve">Chat / gọi / thông báo</x:t>
        </x:is>
      </x:c>
      <x:c r="C515" s="20" t="inlineStr">
        <x:is>
          <x:t xml:space="preserve">DOC-042</x:t>
        </x:is>
      </x:c>
      <x:c r="D515" s="20" t="inlineStr">
        <x:is>
          <x:t xml:space="preserve">Chat trước thuê, dùng lại phòng riêng; gọi theo quyền việc</x:t>
        </x:is>
      </x:c>
      <x:c r="E515" s="20" t="inlineStr">
        <x:is>
          <x:t xml:space="preserve">Khi chức năng hoặc hợp đồng kỹ thuật đổi</x:t>
        </x:is>
      </x:c>
      <x:c r="F515" s="20" t="inlineStr">
        <x:is>
          <x:t xml:space="preserve">Cập nhật nguồn JSON/MD/OpenAPI/DDL tương ứng, tái tạo viewer/ZIP và ghi kiểm chứng</x:t>
        </x:is>
      </x:c>
    </x:row>
    <x:row r="516" ht="52" customHeight="1">
      <x:c r="A516" s="20" t="inlineStr">
        <x:is>
          <x:t xml:space="preserve">F09</x:t>
        </x:is>
      </x:c>
      <x:c r="B516" s="20" t="inlineStr">
        <x:is>
          <x:t xml:space="preserve">Chat / gọi / thông báo</x:t>
        </x:is>
      </x:c>
      <x:c r="C516" s="20" t="inlineStr">
        <x:is>
          <x:t xml:space="preserve">DOC-043</x:t>
        </x:is>
      </x:c>
      <x:c r="D516" s="20" t="inlineStr">
        <x:is>
          <x:t xml:space="preserve">Chat trước thuê, dùng lại phòng riêng; gọi theo quyền việc</x:t>
        </x:is>
      </x:c>
      <x:c r="E516" s="20" t="inlineStr">
        <x:is>
          <x:t xml:space="preserve">Khi chức năng hoặc hợp đồng kỹ thuật đổi</x:t>
        </x:is>
      </x:c>
      <x:c r="F516" s="20" t="inlineStr">
        <x:is>
          <x:t xml:space="preserve">Cập nhật nguồn JSON/MD/OpenAPI/DDL tương ứng, tái tạo viewer/ZIP và ghi kiểm chứng</x:t>
        </x:is>
      </x:c>
    </x:row>
    <x:row r="517" ht="52" customHeight="1">
      <x:c r="A517" s="20" t="inlineStr">
        <x:is>
          <x:t xml:space="preserve">F09</x:t>
        </x:is>
      </x:c>
      <x:c r="B517" s="20" t="inlineStr">
        <x:is>
          <x:t xml:space="preserve">Chat / gọi / thông báo</x:t>
        </x:is>
      </x:c>
      <x:c r="C517" s="20" t="inlineStr">
        <x:is>
          <x:t xml:space="preserve">DOC-044</x:t>
        </x:is>
      </x:c>
      <x:c r="D517" s="20" t="inlineStr">
        <x:is>
          <x:t xml:space="preserve">Chat trước thuê, dùng lại phòng riêng; gọi theo quyền việc</x:t>
        </x:is>
      </x:c>
      <x:c r="E517" s="20" t="inlineStr">
        <x:is>
          <x:t xml:space="preserve">Khi chức năng hoặc hợp đồng kỹ thuật đổi</x:t>
        </x:is>
      </x:c>
      <x:c r="F517" s="20" t="inlineStr">
        <x:is>
          <x:t xml:space="preserve">Cập nhật nguồn JSON/MD/OpenAPI/DDL tương ứng, tái tạo viewer/ZIP và ghi kiểm chứng</x:t>
        </x:is>
      </x:c>
    </x:row>
    <x:row r="518" ht="52" customHeight="1">
      <x:c r="A518" s="20" t="inlineStr">
        <x:is>
          <x:t xml:space="preserve">F09</x:t>
        </x:is>
      </x:c>
      <x:c r="B518" s="20" t="inlineStr">
        <x:is>
          <x:t xml:space="preserve">Chat / gọi / thông báo</x:t>
        </x:is>
      </x:c>
      <x:c r="C518" s="20" t="inlineStr">
        <x:is>
          <x:t xml:space="preserve">DOC-045</x:t>
        </x:is>
      </x:c>
      <x:c r="D518" s="20" t="inlineStr">
        <x:is>
          <x:t xml:space="preserve">Chat trước thuê, dùng lại phòng riêng; gọi theo quyền việc</x:t>
        </x:is>
      </x:c>
      <x:c r="E518" s="20" t="inlineStr">
        <x:is>
          <x:t xml:space="preserve">Khi chức năng hoặc hợp đồng kỹ thuật đổi</x:t>
        </x:is>
      </x:c>
      <x:c r="F518" s="20" t="inlineStr">
        <x:is>
          <x:t xml:space="preserve">Cập nhật nguồn JSON/MD/OpenAPI/DDL tương ứng, tái tạo viewer/ZIP và ghi kiểm chứng</x:t>
        </x:is>
      </x:c>
    </x:row>
    <x:row r="519" ht="52" customHeight="1">
      <x:c r="A519" s="20" t="inlineStr">
        <x:is>
          <x:t xml:space="preserve">F09</x:t>
        </x:is>
      </x:c>
      <x:c r="B519" s="20" t="inlineStr">
        <x:is>
          <x:t xml:space="preserve">Chat / gọi / thông báo</x:t>
        </x:is>
      </x:c>
      <x:c r="C519" s="20" t="inlineStr">
        <x:is>
          <x:t xml:space="preserve">DOC-046</x:t>
        </x:is>
      </x:c>
      <x:c r="D519" s="20" t="inlineStr">
        <x:is>
          <x:t xml:space="preserve">Chat trước thuê, dùng lại phòng riêng; gọi theo quyền việc</x:t>
        </x:is>
      </x:c>
      <x:c r="E519" s="20" t="inlineStr">
        <x:is>
          <x:t xml:space="preserve">Khi chức năng hoặc hợp đồng kỹ thuật đổi</x:t>
        </x:is>
      </x:c>
      <x:c r="F519" s="20" t="inlineStr">
        <x:is>
          <x:t xml:space="preserve">Cập nhật nguồn JSON/MD/OpenAPI/DDL tương ứng, tái tạo viewer/ZIP và ghi kiểm chứng</x:t>
        </x:is>
      </x:c>
    </x:row>
    <x:row r="520" ht="52" customHeight="1">
      <x:c r="A520" s="20" t="inlineStr">
        <x:is>
          <x:t xml:space="preserve">F09</x:t>
        </x:is>
      </x:c>
      <x:c r="B520" s="20" t="inlineStr">
        <x:is>
          <x:t xml:space="preserve">Chat / gọi / thông báo</x:t>
        </x:is>
      </x:c>
      <x:c r="C520" s="20" t="inlineStr">
        <x:is>
          <x:t xml:space="preserve">DOC-047</x:t>
        </x:is>
      </x:c>
      <x:c r="D520" s="20" t="inlineStr">
        <x:is>
          <x:t xml:space="preserve">Chat trước thuê, dùng lại phòng riêng; gọi theo quyền việc</x:t>
        </x:is>
      </x:c>
      <x:c r="E520" s="20" t="inlineStr">
        <x:is>
          <x:t xml:space="preserve">Khi chức năng hoặc hợp đồng kỹ thuật đổi</x:t>
        </x:is>
      </x:c>
      <x:c r="F520" s="20" t="inlineStr">
        <x:is>
          <x:t xml:space="preserve">Cập nhật nguồn JSON/MD/OpenAPI/DDL tương ứng, tái tạo viewer/ZIP và ghi kiểm chứng</x:t>
        </x:is>
      </x:c>
    </x:row>
    <x:row r="521" ht="52" customHeight="1">
      <x:c r="A521" s="20" t="inlineStr">
        <x:is>
          <x:t xml:space="preserve">F09</x:t>
        </x:is>
      </x:c>
      <x:c r="B521" s="20" t="inlineStr">
        <x:is>
          <x:t xml:space="preserve">Chat / gọi / thông báo</x:t>
        </x:is>
      </x:c>
      <x:c r="C521" s="20" t="inlineStr">
        <x:is>
          <x:t xml:space="preserve">DOC-048</x:t>
        </x:is>
      </x:c>
      <x:c r="D521" s="20" t="inlineStr">
        <x:is>
          <x:t xml:space="preserve">Chat trước thuê, dùng lại phòng riêng; gọi theo quyền việc</x:t>
        </x:is>
      </x:c>
      <x:c r="E521" s="20" t="inlineStr">
        <x:is>
          <x:t xml:space="preserve">Khi chức năng hoặc hợp đồng kỹ thuật đổi</x:t>
        </x:is>
      </x:c>
      <x:c r="F521" s="20" t="inlineStr">
        <x:is>
          <x:t xml:space="preserve">Cập nhật nguồn JSON/MD/OpenAPI/DDL tương ứng, tái tạo viewer/ZIP và ghi kiểm chứng</x:t>
        </x:is>
      </x:c>
    </x:row>
    <x:row r="522" ht="52" customHeight="1">
      <x:c r="A522" s="20" t="inlineStr">
        <x:is>
          <x:t xml:space="preserve">F10</x:t>
        </x:is>
      </x:c>
      <x:c r="B522" s="20" t="inlineStr">
        <x:is>
          <x:t xml:space="preserve">Hóa đơn / ảnh / phiên bản</x:t>
        </x:is>
      </x:c>
      <x:c r="C522" s="20" t="inlineStr">
        <x:is>
          <x:t xml:space="preserve">PLAN-001</x:t>
        </x:is>
      </x:c>
      <x:c r="D522" s="20" t="inlineStr">
        <x:is>
          <x:t xml:space="preserve">Vật tư, công; sửa trước khóa; không duyệt qua quản lý</x:t>
        </x:is>
      </x:c>
      <x:c r="E522" s="20" t="inlineStr">
        <x:is>
          <x:t xml:space="preserve">Khi chức năng hoặc hợp đồng kỹ thuật đổi</x:t>
        </x:is>
      </x:c>
      <x:c r="F522" s="20" t="inlineStr">
        <x:is>
          <x:t xml:space="preserve">Cập nhật nguồn JSON/MD/OpenAPI/DDL tương ứng, tái tạo viewer/ZIP và ghi kiểm chứng</x:t>
        </x:is>
      </x:c>
    </x:row>
    <x:row r="523" ht="52" customHeight="1">
      <x:c r="A523" s="20" t="inlineStr">
        <x:is>
          <x:t xml:space="preserve">F10</x:t>
        </x:is>
      </x:c>
      <x:c r="B523" s="20" t="inlineStr">
        <x:is>
          <x:t xml:space="preserve">Hóa đơn / ảnh / phiên bản</x:t>
        </x:is>
      </x:c>
      <x:c r="C523" s="20" t="inlineStr">
        <x:is>
          <x:t xml:space="preserve">PLAN-002</x:t>
        </x:is>
      </x:c>
      <x:c r="D523" s="20" t="inlineStr">
        <x:is>
          <x:t xml:space="preserve">Vật tư, công; sửa trước khóa; không duyệt qua quản lý</x:t>
        </x:is>
      </x:c>
      <x:c r="E523" s="20" t="inlineStr">
        <x:is>
          <x:t xml:space="preserve">Khi chức năng hoặc hợp đồng kỹ thuật đổi</x:t>
        </x:is>
      </x:c>
      <x:c r="F523" s="20" t="inlineStr">
        <x:is>
          <x:t xml:space="preserve">Cập nhật nguồn JSON/MD/OpenAPI/DDL tương ứng, tái tạo viewer/ZIP và ghi kiểm chứng</x:t>
        </x:is>
      </x:c>
    </x:row>
    <x:row r="524" ht="52" customHeight="1">
      <x:c r="A524" s="20" t="inlineStr">
        <x:is>
          <x:t xml:space="preserve">F10</x:t>
        </x:is>
      </x:c>
      <x:c r="B524" s="20" t="inlineStr">
        <x:is>
          <x:t xml:space="preserve">Hóa đơn / ảnh / phiên bản</x:t>
        </x:is>
      </x:c>
      <x:c r="C524" s="20" t="inlineStr">
        <x:is>
          <x:t xml:space="preserve">PLAN-003</x:t>
        </x:is>
      </x:c>
      <x:c r="D524" s="20" t="inlineStr">
        <x:is>
          <x:t xml:space="preserve">Vật tư, công; sửa trước khóa; không duyệt qua quản lý</x:t>
        </x:is>
      </x:c>
      <x:c r="E524" s="20" t="inlineStr">
        <x:is>
          <x:t xml:space="preserve">Khi chức năng hoặc hợp đồng kỹ thuật đổi</x:t>
        </x:is>
      </x:c>
      <x:c r="F524" s="20" t="inlineStr">
        <x:is>
          <x:t xml:space="preserve">Cập nhật nguồn JSON/MD/OpenAPI/DDL tương ứng, tái tạo viewer/ZIP và ghi kiểm chứng</x:t>
        </x:is>
      </x:c>
    </x:row>
    <x:row r="525" ht="52" customHeight="1">
      <x:c r="A525" s="20" t="inlineStr">
        <x:is>
          <x:t xml:space="preserve">F10</x:t>
        </x:is>
      </x:c>
      <x:c r="B525" s="20" t="inlineStr">
        <x:is>
          <x:t xml:space="preserve">Hóa đơn / ảnh / phiên bản</x:t>
        </x:is>
      </x:c>
      <x:c r="C525" s="20" t="inlineStr">
        <x:is>
          <x:t xml:space="preserve">PLAN-008</x:t>
        </x:is>
      </x:c>
      <x:c r="D525" s="20" t="inlineStr">
        <x:is>
          <x:t xml:space="preserve">Vật tư, công; sửa trước khóa; không duyệt qua quản lý</x:t>
        </x:is>
      </x:c>
      <x:c r="E525" s="20" t="inlineStr">
        <x:is>
          <x:t xml:space="preserve">Khi chức năng hoặc hợp đồng kỹ thuật đổi</x:t>
        </x:is>
      </x:c>
      <x:c r="F525" s="20" t="inlineStr">
        <x:is>
          <x:t xml:space="preserve">Cập nhật nguồn JSON/MD/OpenAPI/DDL tương ứng, tái tạo viewer/ZIP và ghi kiểm chứng</x:t>
        </x:is>
      </x:c>
    </x:row>
    <x:row r="526" ht="52" customHeight="1">
      <x:c r="A526" s="20" t="inlineStr">
        <x:is>
          <x:t xml:space="preserve">F10</x:t>
        </x:is>
      </x:c>
      <x:c r="B526" s="20" t="inlineStr">
        <x:is>
          <x:t xml:space="preserve">Hóa đơn / ảnh / phiên bản</x:t>
        </x:is>
      </x:c>
      <x:c r="C526" s="20" t="inlineStr">
        <x:is>
          <x:t xml:space="preserve">DOC-037</x:t>
        </x:is>
      </x:c>
      <x:c r="D526" s="20" t="inlineStr">
        <x:is>
          <x:t xml:space="preserve">Vật tư, công; sửa trước khóa; không duyệt qua quản lý</x:t>
        </x:is>
      </x:c>
      <x:c r="E526" s="20" t="inlineStr">
        <x:is>
          <x:t xml:space="preserve">Khi chức năng hoặc hợp đồng kỹ thuật đổi</x:t>
        </x:is>
      </x:c>
      <x:c r="F526" s="20" t="inlineStr">
        <x:is>
          <x:t xml:space="preserve">Cập nhật nguồn JSON/MD/OpenAPI/DDL tương ứng, tái tạo viewer/ZIP và ghi kiểm chứng</x:t>
        </x:is>
      </x:c>
    </x:row>
    <x:row r="527" ht="52" customHeight="1">
      <x:c r="A527" s="20" t="inlineStr">
        <x:is>
          <x:t xml:space="preserve">F10</x:t>
        </x:is>
      </x:c>
      <x:c r="B527" s="20" t="inlineStr">
        <x:is>
          <x:t xml:space="preserve">Hóa đơn / ảnh / phiên bản</x:t>
        </x:is>
      </x:c>
      <x:c r="C527" s="20" t="inlineStr">
        <x:is>
          <x:t xml:space="preserve">DOC-038</x:t>
        </x:is>
      </x:c>
      <x:c r="D527" s="20" t="inlineStr">
        <x:is>
          <x:t xml:space="preserve">Vật tư, công; sửa trước khóa; không duyệt qua quản lý</x:t>
        </x:is>
      </x:c>
      <x:c r="E527" s="20" t="inlineStr">
        <x:is>
          <x:t xml:space="preserve">Khi chức năng hoặc hợp đồng kỹ thuật đổi</x:t>
        </x:is>
      </x:c>
      <x:c r="F527" s="20" t="inlineStr">
        <x:is>
          <x:t xml:space="preserve">Cập nhật nguồn JSON/MD/OpenAPI/DDL tương ứng, tái tạo viewer/ZIP và ghi kiểm chứng</x:t>
        </x:is>
      </x:c>
    </x:row>
    <x:row r="528" ht="52" customHeight="1">
      <x:c r="A528" s="20" t="inlineStr">
        <x:is>
          <x:t xml:space="preserve">F10</x:t>
        </x:is>
      </x:c>
      <x:c r="B528" s="20" t="inlineStr">
        <x:is>
          <x:t xml:space="preserve">Hóa đơn / ảnh / phiên bản</x:t>
        </x:is>
      </x:c>
      <x:c r="C528" s="20" t="inlineStr">
        <x:is>
          <x:t xml:space="preserve">DOC-039</x:t>
        </x:is>
      </x:c>
      <x:c r="D528" s="20" t="inlineStr">
        <x:is>
          <x:t xml:space="preserve">Vật tư, công; sửa trước khóa; không duyệt qua quản lý</x:t>
        </x:is>
      </x:c>
      <x:c r="E528" s="20" t="inlineStr">
        <x:is>
          <x:t xml:space="preserve">Khi chức năng hoặc hợp đồng kỹ thuật đổi</x:t>
        </x:is>
      </x:c>
      <x:c r="F528" s="20" t="inlineStr">
        <x:is>
          <x:t xml:space="preserve">Cập nhật nguồn JSON/MD/OpenAPI/DDL tương ứng, tái tạo viewer/ZIP và ghi kiểm chứng</x:t>
        </x:is>
      </x:c>
    </x:row>
    <x:row r="529" ht="52" customHeight="1">
      <x:c r="A529" s="20" t="inlineStr">
        <x:is>
          <x:t xml:space="preserve">F10</x:t>
        </x:is>
      </x:c>
      <x:c r="B529" s="20" t="inlineStr">
        <x:is>
          <x:t xml:space="preserve">Hóa đơn / ảnh / phiên bản</x:t>
        </x:is>
      </x:c>
      <x:c r="C529" s="20" t="inlineStr">
        <x:is>
          <x:t xml:space="preserve">DOC-040</x:t>
        </x:is>
      </x:c>
      <x:c r="D529" s="20" t="inlineStr">
        <x:is>
          <x:t xml:space="preserve">Vật tư, công; sửa trước khóa; không duyệt qua quản lý</x:t>
        </x:is>
      </x:c>
      <x:c r="E529" s="20" t="inlineStr">
        <x:is>
          <x:t xml:space="preserve">Khi chức năng hoặc hợp đồng kỹ thuật đổi</x:t>
        </x:is>
      </x:c>
      <x:c r="F529" s="20" t="inlineStr">
        <x:is>
          <x:t xml:space="preserve">Cập nhật nguồn JSON/MD/OpenAPI/DDL tương ứng, tái tạo viewer/ZIP và ghi kiểm chứng</x:t>
        </x:is>
      </x:c>
    </x:row>
    <x:row r="530" ht="52" customHeight="1">
      <x:c r="A530" s="20" t="inlineStr">
        <x:is>
          <x:t xml:space="preserve">F10</x:t>
        </x:is>
      </x:c>
      <x:c r="B530" s="20" t="inlineStr">
        <x:is>
          <x:t xml:space="preserve">Hóa đơn / ảnh / phiên bản</x:t>
        </x:is>
      </x:c>
      <x:c r="C530" s="20" t="inlineStr">
        <x:is>
          <x:t xml:space="preserve">DOC-041</x:t>
        </x:is>
      </x:c>
      <x:c r="D530" s="20" t="inlineStr">
        <x:is>
          <x:t xml:space="preserve">Vật tư, công; sửa trước khóa; không duyệt qua quản lý</x:t>
        </x:is>
      </x:c>
      <x:c r="E530" s="20" t="inlineStr">
        <x:is>
          <x:t xml:space="preserve">Khi chức năng hoặc hợp đồng kỹ thuật đổi</x:t>
        </x:is>
      </x:c>
      <x:c r="F530" s="20" t="inlineStr">
        <x:is>
          <x:t xml:space="preserve">Cập nhật nguồn JSON/MD/OpenAPI/DDL tương ứng, tái tạo viewer/ZIP và ghi kiểm chứng</x:t>
        </x:is>
      </x:c>
    </x:row>
    <x:row r="531" ht="52" customHeight="1">
      <x:c r="A531" s="20" t="inlineStr">
        <x:is>
          <x:t xml:space="preserve">F10</x:t>
        </x:is>
      </x:c>
      <x:c r="B531" s="20" t="inlineStr">
        <x:is>
          <x:t xml:space="preserve">Hóa đơn / ảnh / phiên bản</x:t>
        </x:is>
      </x:c>
      <x:c r="C531" s="20" t="inlineStr">
        <x:is>
          <x:t xml:space="preserve">DOC-042</x:t>
        </x:is>
      </x:c>
      <x:c r="D531" s="20" t="inlineStr">
        <x:is>
          <x:t xml:space="preserve">Vật tư, công; sửa trước khóa; không duyệt qua quản lý</x:t>
        </x:is>
      </x:c>
      <x:c r="E531" s="20" t="inlineStr">
        <x:is>
          <x:t xml:space="preserve">Khi chức năng hoặc hợp đồng kỹ thuật đổi</x:t>
        </x:is>
      </x:c>
      <x:c r="F531" s="20" t="inlineStr">
        <x:is>
          <x:t xml:space="preserve">Cập nhật nguồn JSON/MD/OpenAPI/DDL tương ứng, tái tạo viewer/ZIP và ghi kiểm chứng</x:t>
        </x:is>
      </x:c>
    </x:row>
    <x:row r="532" ht="52" customHeight="1">
      <x:c r="A532" s="20" t="inlineStr">
        <x:is>
          <x:t xml:space="preserve">F10</x:t>
        </x:is>
      </x:c>
      <x:c r="B532" s="20" t="inlineStr">
        <x:is>
          <x:t xml:space="preserve">Hóa đơn / ảnh / phiên bản</x:t>
        </x:is>
      </x:c>
      <x:c r="C532" s="20" t="inlineStr">
        <x:is>
          <x:t xml:space="preserve">DOC-043</x:t>
        </x:is>
      </x:c>
      <x:c r="D532" s="20" t="inlineStr">
        <x:is>
          <x:t xml:space="preserve">Vật tư, công; sửa trước khóa; không duyệt qua quản lý</x:t>
        </x:is>
      </x:c>
      <x:c r="E532" s="20" t="inlineStr">
        <x:is>
          <x:t xml:space="preserve">Khi chức năng hoặc hợp đồng kỹ thuật đổi</x:t>
        </x:is>
      </x:c>
      <x:c r="F532" s="20" t="inlineStr">
        <x:is>
          <x:t xml:space="preserve">Cập nhật nguồn JSON/MD/OpenAPI/DDL tương ứng, tái tạo viewer/ZIP và ghi kiểm chứng</x:t>
        </x:is>
      </x:c>
    </x:row>
    <x:row r="533" ht="52" customHeight="1">
      <x:c r="A533" s="20" t="inlineStr">
        <x:is>
          <x:t xml:space="preserve">F10</x:t>
        </x:is>
      </x:c>
      <x:c r="B533" s="20" t="inlineStr">
        <x:is>
          <x:t xml:space="preserve">Hóa đơn / ảnh / phiên bản</x:t>
        </x:is>
      </x:c>
      <x:c r="C533" s="20" t="inlineStr">
        <x:is>
          <x:t xml:space="preserve">DOC-044</x:t>
        </x:is>
      </x:c>
      <x:c r="D533" s="20" t="inlineStr">
        <x:is>
          <x:t xml:space="preserve">Vật tư, công; sửa trước khóa; không duyệt qua quản lý</x:t>
        </x:is>
      </x:c>
      <x:c r="E533" s="20" t="inlineStr">
        <x:is>
          <x:t xml:space="preserve">Khi chức năng hoặc hợp đồng kỹ thuật đổi</x:t>
        </x:is>
      </x:c>
      <x:c r="F533" s="20" t="inlineStr">
        <x:is>
          <x:t xml:space="preserve">Cập nhật nguồn JSON/MD/OpenAPI/DDL tương ứng, tái tạo viewer/ZIP và ghi kiểm chứng</x:t>
        </x:is>
      </x:c>
    </x:row>
    <x:row r="534" ht="52" customHeight="1">
      <x:c r="A534" s="20" t="inlineStr">
        <x:is>
          <x:t xml:space="preserve">F10</x:t>
        </x:is>
      </x:c>
      <x:c r="B534" s="20" t="inlineStr">
        <x:is>
          <x:t xml:space="preserve">Hóa đơn / ảnh / phiên bản</x:t>
        </x:is>
      </x:c>
      <x:c r="C534" s="20" t="inlineStr">
        <x:is>
          <x:t xml:space="preserve">DOC-045</x:t>
        </x:is>
      </x:c>
      <x:c r="D534" s="20" t="inlineStr">
        <x:is>
          <x:t xml:space="preserve">Vật tư, công; sửa trước khóa; không duyệt qua quản lý</x:t>
        </x:is>
      </x:c>
      <x:c r="E534" s="20" t="inlineStr">
        <x:is>
          <x:t xml:space="preserve">Khi chức năng hoặc hợp đồng kỹ thuật đổi</x:t>
        </x:is>
      </x:c>
      <x:c r="F534" s="20" t="inlineStr">
        <x:is>
          <x:t xml:space="preserve">Cập nhật nguồn JSON/MD/OpenAPI/DDL tương ứng, tái tạo viewer/ZIP và ghi kiểm chứng</x:t>
        </x:is>
      </x:c>
    </x:row>
    <x:row r="535" ht="52" customHeight="1">
      <x:c r="A535" s="20" t="inlineStr">
        <x:is>
          <x:t xml:space="preserve">F10</x:t>
        </x:is>
      </x:c>
      <x:c r="B535" s="20" t="inlineStr">
        <x:is>
          <x:t xml:space="preserve">Hóa đơn / ảnh / phiên bản</x:t>
        </x:is>
      </x:c>
      <x:c r="C535" s="20" t="inlineStr">
        <x:is>
          <x:t xml:space="preserve">DOC-046</x:t>
        </x:is>
      </x:c>
      <x:c r="D535" s="20" t="inlineStr">
        <x:is>
          <x:t xml:space="preserve">Vật tư, công; sửa trước khóa; không duyệt qua quản lý</x:t>
        </x:is>
      </x:c>
      <x:c r="E535" s="20" t="inlineStr">
        <x:is>
          <x:t xml:space="preserve">Khi chức năng hoặc hợp đồng kỹ thuật đổi</x:t>
        </x:is>
      </x:c>
      <x:c r="F535" s="20" t="inlineStr">
        <x:is>
          <x:t xml:space="preserve">Cập nhật nguồn JSON/MD/OpenAPI/DDL tương ứng, tái tạo viewer/ZIP và ghi kiểm chứng</x:t>
        </x:is>
      </x:c>
    </x:row>
    <x:row r="536" ht="52" customHeight="1">
      <x:c r="A536" s="20" t="inlineStr">
        <x:is>
          <x:t xml:space="preserve">F10</x:t>
        </x:is>
      </x:c>
      <x:c r="B536" s="20" t="inlineStr">
        <x:is>
          <x:t xml:space="preserve">Hóa đơn / ảnh / phiên bản</x:t>
        </x:is>
      </x:c>
      <x:c r="C536" s="20" t="inlineStr">
        <x:is>
          <x:t xml:space="preserve">DOC-047</x:t>
        </x:is>
      </x:c>
      <x:c r="D536" s="20" t="inlineStr">
        <x:is>
          <x:t xml:space="preserve">Vật tư, công; sửa trước khóa; không duyệt qua quản lý</x:t>
        </x:is>
      </x:c>
      <x:c r="E536" s="20" t="inlineStr">
        <x:is>
          <x:t xml:space="preserve">Khi chức năng hoặc hợp đồng kỹ thuật đổi</x:t>
        </x:is>
      </x:c>
      <x:c r="F536" s="20" t="inlineStr">
        <x:is>
          <x:t xml:space="preserve">Cập nhật nguồn JSON/MD/OpenAPI/DDL tương ứng, tái tạo viewer/ZIP và ghi kiểm chứng</x:t>
        </x:is>
      </x:c>
    </x:row>
    <x:row r="537" ht="52" customHeight="1">
      <x:c r="A537" s="20" t="inlineStr">
        <x:is>
          <x:t xml:space="preserve">F10</x:t>
        </x:is>
      </x:c>
      <x:c r="B537" s="20" t="inlineStr">
        <x:is>
          <x:t xml:space="preserve">Hóa đơn / ảnh / phiên bản</x:t>
        </x:is>
      </x:c>
      <x:c r="C537" s="20" t="inlineStr">
        <x:is>
          <x:t xml:space="preserve">DOC-048</x:t>
        </x:is>
      </x:c>
      <x:c r="D537" s="20" t="inlineStr">
        <x:is>
          <x:t xml:space="preserve">Vật tư, công; sửa trước khóa; không duyệt qua quản lý</x:t>
        </x:is>
      </x:c>
      <x:c r="E537" s="20" t="inlineStr">
        <x:is>
          <x:t xml:space="preserve">Khi chức năng hoặc hợp đồng kỹ thuật đổi</x:t>
        </x:is>
      </x:c>
      <x:c r="F537" s="20" t="inlineStr">
        <x:is>
          <x:t xml:space="preserve">Cập nhật nguồn JSON/MD/OpenAPI/DDL tương ứng, tái tạo viewer/ZIP và ghi kiểm chứng</x:t>
        </x:is>
      </x:c>
    </x:row>
    <x:row r="538" ht="52" customHeight="1">
      <x:c r="A538" s="20" t="inlineStr">
        <x:is>
          <x:t xml:space="preserve">F11</x:t>
        </x:is>
      </x:c>
      <x:c r="B538" s="20" t="inlineStr">
        <x:is>
          <x:t xml:space="preserve">Point / giữ phí / quyết toán</x:t>
        </x:is>
      </x:c>
      <x:c r="C538" s="20" t="inlineStr">
        <x:is>
          <x:t xml:space="preserve">PLAN-001</x:t>
        </x:is>
      </x:c>
      <x:c r="D538" s="20" t="inlineStr">
        <x:is>
          <x:t xml:space="preserve">Phí 10% công; point 1đ, dùng tổng hóa đơn; chống ghi trùng</x:t>
        </x:is>
      </x:c>
      <x:c r="E538" s="20" t="inlineStr">
        <x:is>
          <x:t xml:space="preserve">Khi chức năng hoặc hợp đồng kỹ thuật đổi</x:t>
        </x:is>
      </x:c>
      <x:c r="F538" s="20" t="inlineStr">
        <x:is>
          <x:t xml:space="preserve">Cập nhật nguồn JSON/MD/OpenAPI/DDL tương ứng, tái tạo viewer/ZIP và ghi kiểm chứng</x:t>
        </x:is>
      </x:c>
    </x:row>
    <x:row r="539" ht="52" customHeight="1">
      <x:c r="A539" s="20" t="inlineStr">
        <x:is>
          <x:t xml:space="preserve">F11</x:t>
        </x:is>
      </x:c>
      <x:c r="B539" s="20" t="inlineStr">
        <x:is>
          <x:t xml:space="preserve">Point / giữ phí / quyết toán</x:t>
        </x:is>
      </x:c>
      <x:c r="C539" s="20" t="inlineStr">
        <x:is>
          <x:t xml:space="preserve">PLAN-002</x:t>
        </x:is>
      </x:c>
      <x:c r="D539" s="20" t="inlineStr">
        <x:is>
          <x:t xml:space="preserve">Phí 10% công; point 1đ, dùng tổng hóa đơn; chống ghi trùng</x:t>
        </x:is>
      </x:c>
      <x:c r="E539" s="20" t="inlineStr">
        <x:is>
          <x:t xml:space="preserve">Khi chức năng hoặc hợp đồng kỹ thuật đổi</x:t>
        </x:is>
      </x:c>
      <x:c r="F539" s="20" t="inlineStr">
        <x:is>
          <x:t xml:space="preserve">Cập nhật nguồn JSON/MD/OpenAPI/DDL tương ứng, tái tạo viewer/ZIP và ghi kiểm chứng</x:t>
        </x:is>
      </x:c>
    </x:row>
    <x:row r="540" ht="52" customHeight="1">
      <x:c r="A540" s="20" t="inlineStr">
        <x:is>
          <x:t xml:space="preserve">F11</x:t>
        </x:is>
      </x:c>
      <x:c r="B540" s="20" t="inlineStr">
        <x:is>
          <x:t xml:space="preserve">Point / giữ phí / quyết toán</x:t>
        </x:is>
      </x:c>
      <x:c r="C540" s="20" t="inlineStr">
        <x:is>
          <x:t xml:space="preserve">PLAN-003</x:t>
        </x:is>
      </x:c>
      <x:c r="D540" s="20" t="inlineStr">
        <x:is>
          <x:t xml:space="preserve">Phí 10% công; point 1đ, dùng tổng hóa đơn; chống ghi trùng</x:t>
        </x:is>
      </x:c>
      <x:c r="E540" s="20" t="inlineStr">
        <x:is>
          <x:t xml:space="preserve">Khi chức năng hoặc hợp đồng kỹ thuật đổi</x:t>
        </x:is>
      </x:c>
      <x:c r="F540" s="20" t="inlineStr">
        <x:is>
          <x:t xml:space="preserve">Cập nhật nguồn JSON/MD/OpenAPI/DDL tương ứng, tái tạo viewer/ZIP và ghi kiểm chứng</x:t>
        </x:is>
      </x:c>
    </x:row>
    <x:row r="541" ht="52" customHeight="1">
      <x:c r="A541" s="20" t="inlineStr">
        <x:is>
          <x:t xml:space="preserve">F11</x:t>
        </x:is>
      </x:c>
      <x:c r="B541" s="20" t="inlineStr">
        <x:is>
          <x:t xml:space="preserve">Point / giữ phí / quyết toán</x:t>
        </x:is>
      </x:c>
      <x:c r="C541" s="20" t="inlineStr">
        <x:is>
          <x:t xml:space="preserve">PLAN-008</x:t>
        </x:is>
      </x:c>
      <x:c r="D541" s="20" t="inlineStr">
        <x:is>
          <x:t xml:space="preserve">Phí 10% công; point 1đ, dùng tổng hóa đơn; chống ghi trùng</x:t>
        </x:is>
      </x:c>
      <x:c r="E541" s="20" t="inlineStr">
        <x:is>
          <x:t xml:space="preserve">Khi chức năng hoặc hợp đồng kỹ thuật đổi</x:t>
        </x:is>
      </x:c>
      <x:c r="F541" s="20" t="inlineStr">
        <x:is>
          <x:t xml:space="preserve">Cập nhật nguồn JSON/MD/OpenAPI/DDL tương ứng, tái tạo viewer/ZIP và ghi kiểm chứng</x:t>
        </x:is>
      </x:c>
    </x:row>
    <x:row r="542" ht="52" customHeight="1">
      <x:c r="A542" s="20" t="inlineStr">
        <x:is>
          <x:t xml:space="preserve">F11</x:t>
        </x:is>
      </x:c>
      <x:c r="B542" s="20" t="inlineStr">
        <x:is>
          <x:t xml:space="preserve">Point / giữ phí / quyết toán</x:t>
        </x:is>
      </x:c>
      <x:c r="C542" s="20" t="inlineStr">
        <x:is>
          <x:t xml:space="preserve">DOC-037</x:t>
        </x:is>
      </x:c>
      <x:c r="D542" s="20" t="inlineStr">
        <x:is>
          <x:t xml:space="preserve">Phí 10% công; point 1đ, dùng tổng hóa đơn; chống ghi trùng</x:t>
        </x:is>
      </x:c>
      <x:c r="E542" s="20" t="inlineStr">
        <x:is>
          <x:t xml:space="preserve">Khi chức năng hoặc hợp đồng kỹ thuật đổi</x:t>
        </x:is>
      </x:c>
      <x:c r="F542" s="20" t="inlineStr">
        <x:is>
          <x:t xml:space="preserve">Cập nhật nguồn JSON/MD/OpenAPI/DDL tương ứng, tái tạo viewer/ZIP và ghi kiểm chứng</x:t>
        </x:is>
      </x:c>
    </x:row>
    <x:row r="543" ht="52" customHeight="1">
      <x:c r="A543" s="20" t="inlineStr">
        <x:is>
          <x:t xml:space="preserve">F11</x:t>
        </x:is>
      </x:c>
      <x:c r="B543" s="20" t="inlineStr">
        <x:is>
          <x:t xml:space="preserve">Point / giữ phí / quyết toán</x:t>
        </x:is>
      </x:c>
      <x:c r="C543" s="20" t="inlineStr">
        <x:is>
          <x:t xml:space="preserve">DOC-038</x:t>
        </x:is>
      </x:c>
      <x:c r="D543" s="20" t="inlineStr">
        <x:is>
          <x:t xml:space="preserve">Phí 10% công; point 1đ, dùng tổng hóa đơn; chống ghi trùng</x:t>
        </x:is>
      </x:c>
      <x:c r="E543" s="20" t="inlineStr">
        <x:is>
          <x:t xml:space="preserve">Khi chức năng hoặc hợp đồng kỹ thuật đổi</x:t>
        </x:is>
      </x:c>
      <x:c r="F543" s="20" t="inlineStr">
        <x:is>
          <x:t xml:space="preserve">Cập nhật nguồn JSON/MD/OpenAPI/DDL tương ứng, tái tạo viewer/ZIP và ghi kiểm chứng</x:t>
        </x:is>
      </x:c>
    </x:row>
    <x:row r="544" ht="52" customHeight="1">
      <x:c r="A544" s="20" t="inlineStr">
        <x:is>
          <x:t xml:space="preserve">F11</x:t>
        </x:is>
      </x:c>
      <x:c r="B544" s="20" t="inlineStr">
        <x:is>
          <x:t xml:space="preserve">Point / giữ phí / quyết toán</x:t>
        </x:is>
      </x:c>
      <x:c r="C544" s="20" t="inlineStr">
        <x:is>
          <x:t xml:space="preserve">DOC-039</x:t>
        </x:is>
      </x:c>
      <x:c r="D544" s="20" t="inlineStr">
        <x:is>
          <x:t xml:space="preserve">Phí 10% công; point 1đ, dùng tổng hóa đơn; chống ghi trùng</x:t>
        </x:is>
      </x:c>
      <x:c r="E544" s="20" t="inlineStr">
        <x:is>
          <x:t xml:space="preserve">Khi chức năng hoặc hợp đồng kỹ thuật đổi</x:t>
        </x:is>
      </x:c>
      <x:c r="F544" s="20" t="inlineStr">
        <x:is>
          <x:t xml:space="preserve">Cập nhật nguồn JSON/MD/OpenAPI/DDL tương ứng, tái tạo viewer/ZIP và ghi kiểm chứng</x:t>
        </x:is>
      </x:c>
    </x:row>
    <x:row r="545" ht="52" customHeight="1">
      <x:c r="A545" s="20" t="inlineStr">
        <x:is>
          <x:t xml:space="preserve">F11</x:t>
        </x:is>
      </x:c>
      <x:c r="B545" s="20" t="inlineStr">
        <x:is>
          <x:t xml:space="preserve">Point / giữ phí / quyết toán</x:t>
        </x:is>
      </x:c>
      <x:c r="C545" s="20" t="inlineStr">
        <x:is>
          <x:t xml:space="preserve">DOC-040</x:t>
        </x:is>
      </x:c>
      <x:c r="D545" s="20" t="inlineStr">
        <x:is>
          <x:t xml:space="preserve">Phí 10% công; point 1đ, dùng tổng hóa đơn; chống ghi trùng</x:t>
        </x:is>
      </x:c>
      <x:c r="E545" s="20" t="inlineStr">
        <x:is>
          <x:t xml:space="preserve">Khi chức năng hoặc hợp đồng kỹ thuật đổi</x:t>
        </x:is>
      </x:c>
      <x:c r="F545" s="20" t="inlineStr">
        <x:is>
          <x:t xml:space="preserve">Cập nhật nguồn JSON/MD/OpenAPI/DDL tương ứng, tái tạo viewer/ZIP và ghi kiểm chứng</x:t>
        </x:is>
      </x:c>
    </x:row>
    <x:row r="546" ht="52" customHeight="1">
      <x:c r="A546" s="20" t="inlineStr">
        <x:is>
          <x:t xml:space="preserve">F11</x:t>
        </x:is>
      </x:c>
      <x:c r="B546" s="20" t="inlineStr">
        <x:is>
          <x:t xml:space="preserve">Point / giữ phí / quyết toán</x:t>
        </x:is>
      </x:c>
      <x:c r="C546" s="20" t="inlineStr">
        <x:is>
          <x:t xml:space="preserve">DOC-041</x:t>
        </x:is>
      </x:c>
      <x:c r="D546" s="20" t="inlineStr">
        <x:is>
          <x:t xml:space="preserve">Phí 10% công; point 1đ, dùng tổng hóa đơn; chống ghi trùng</x:t>
        </x:is>
      </x:c>
      <x:c r="E546" s="20" t="inlineStr">
        <x:is>
          <x:t xml:space="preserve">Khi chức năng hoặc hợp đồng kỹ thuật đổi</x:t>
        </x:is>
      </x:c>
      <x:c r="F546" s="20" t="inlineStr">
        <x:is>
          <x:t xml:space="preserve">Cập nhật nguồn JSON/MD/OpenAPI/DDL tương ứng, tái tạo viewer/ZIP và ghi kiểm chứng</x:t>
        </x:is>
      </x:c>
    </x:row>
    <x:row r="547" ht="52" customHeight="1">
      <x:c r="A547" s="20" t="inlineStr">
        <x:is>
          <x:t xml:space="preserve">F11</x:t>
        </x:is>
      </x:c>
      <x:c r="B547" s="20" t="inlineStr">
        <x:is>
          <x:t xml:space="preserve">Point / giữ phí / quyết toán</x:t>
        </x:is>
      </x:c>
      <x:c r="C547" s="20" t="inlineStr">
        <x:is>
          <x:t xml:space="preserve">DOC-042</x:t>
        </x:is>
      </x:c>
      <x:c r="D547" s="20" t="inlineStr">
        <x:is>
          <x:t xml:space="preserve">Phí 10% công; point 1đ, dùng tổng hóa đơn; chống ghi trùng</x:t>
        </x:is>
      </x:c>
      <x:c r="E547" s="20" t="inlineStr">
        <x:is>
          <x:t xml:space="preserve">Khi chức năng hoặc hợp đồng kỹ thuật đổi</x:t>
        </x:is>
      </x:c>
      <x:c r="F547" s="20" t="inlineStr">
        <x:is>
          <x:t xml:space="preserve">Cập nhật nguồn JSON/MD/OpenAPI/DDL tương ứng, tái tạo viewer/ZIP và ghi kiểm chứng</x:t>
        </x:is>
      </x:c>
    </x:row>
    <x:row r="548" ht="52" customHeight="1">
      <x:c r="A548" s="20" t="inlineStr">
        <x:is>
          <x:t xml:space="preserve">F11</x:t>
        </x:is>
      </x:c>
      <x:c r="B548" s="20" t="inlineStr">
        <x:is>
          <x:t xml:space="preserve">Point / giữ phí / quyết toán</x:t>
        </x:is>
      </x:c>
      <x:c r="C548" s="20" t="inlineStr">
        <x:is>
          <x:t xml:space="preserve">DOC-043</x:t>
        </x:is>
      </x:c>
      <x:c r="D548" s="20" t="inlineStr">
        <x:is>
          <x:t xml:space="preserve">Phí 10% công; point 1đ, dùng tổng hóa đơn; chống ghi trùng</x:t>
        </x:is>
      </x:c>
      <x:c r="E548" s="20" t="inlineStr">
        <x:is>
          <x:t xml:space="preserve">Khi chức năng hoặc hợp đồng kỹ thuật đổi</x:t>
        </x:is>
      </x:c>
      <x:c r="F548" s="20" t="inlineStr">
        <x:is>
          <x:t xml:space="preserve">Cập nhật nguồn JSON/MD/OpenAPI/DDL tương ứng, tái tạo viewer/ZIP và ghi kiểm chứng</x:t>
        </x:is>
      </x:c>
    </x:row>
    <x:row r="549" ht="52" customHeight="1">
      <x:c r="A549" s="20" t="inlineStr">
        <x:is>
          <x:t xml:space="preserve">F11</x:t>
        </x:is>
      </x:c>
      <x:c r="B549" s="20" t="inlineStr">
        <x:is>
          <x:t xml:space="preserve">Point / giữ phí / quyết toán</x:t>
        </x:is>
      </x:c>
      <x:c r="C549" s="20" t="inlineStr">
        <x:is>
          <x:t xml:space="preserve">DOC-044</x:t>
        </x:is>
      </x:c>
      <x:c r="D549" s="20" t="inlineStr">
        <x:is>
          <x:t xml:space="preserve">Phí 10% công; point 1đ, dùng tổng hóa đơn; chống ghi trùng</x:t>
        </x:is>
      </x:c>
      <x:c r="E549" s="20" t="inlineStr">
        <x:is>
          <x:t xml:space="preserve">Khi chức năng hoặc hợp đồng kỹ thuật đổi</x:t>
        </x:is>
      </x:c>
      <x:c r="F549" s="20" t="inlineStr">
        <x:is>
          <x:t xml:space="preserve">Cập nhật nguồn JSON/MD/OpenAPI/DDL tương ứng, tái tạo viewer/ZIP và ghi kiểm chứng</x:t>
        </x:is>
      </x:c>
    </x:row>
    <x:row r="550" ht="52" customHeight="1">
      <x:c r="A550" s="20" t="inlineStr">
        <x:is>
          <x:t xml:space="preserve">F11</x:t>
        </x:is>
      </x:c>
      <x:c r="B550" s="20" t="inlineStr">
        <x:is>
          <x:t xml:space="preserve">Point / giữ phí / quyết toán</x:t>
        </x:is>
      </x:c>
      <x:c r="C550" s="20" t="inlineStr">
        <x:is>
          <x:t xml:space="preserve">DOC-045</x:t>
        </x:is>
      </x:c>
      <x:c r="D550" s="20" t="inlineStr">
        <x:is>
          <x:t xml:space="preserve">Phí 10% công; point 1đ, dùng tổng hóa đơn; chống ghi trùng</x:t>
        </x:is>
      </x:c>
      <x:c r="E550" s="20" t="inlineStr">
        <x:is>
          <x:t xml:space="preserve">Khi chức năng hoặc hợp đồng kỹ thuật đổi</x:t>
        </x:is>
      </x:c>
      <x:c r="F550" s="20" t="inlineStr">
        <x:is>
          <x:t xml:space="preserve">Cập nhật nguồn JSON/MD/OpenAPI/DDL tương ứng, tái tạo viewer/ZIP và ghi kiểm chứng</x:t>
        </x:is>
      </x:c>
    </x:row>
    <x:row r="551" ht="52" customHeight="1">
      <x:c r="A551" s="20" t="inlineStr">
        <x:is>
          <x:t xml:space="preserve">F11</x:t>
        </x:is>
      </x:c>
      <x:c r="B551" s="20" t="inlineStr">
        <x:is>
          <x:t xml:space="preserve">Point / giữ phí / quyết toán</x:t>
        </x:is>
      </x:c>
      <x:c r="C551" s="20" t="inlineStr">
        <x:is>
          <x:t xml:space="preserve">DOC-046</x:t>
        </x:is>
      </x:c>
      <x:c r="D551" s="20" t="inlineStr">
        <x:is>
          <x:t xml:space="preserve">Phí 10% công; point 1đ, dùng tổng hóa đơn; chống ghi trùng</x:t>
        </x:is>
      </x:c>
      <x:c r="E551" s="20" t="inlineStr">
        <x:is>
          <x:t xml:space="preserve">Khi chức năng hoặc hợp đồng kỹ thuật đổi</x:t>
        </x:is>
      </x:c>
      <x:c r="F551" s="20" t="inlineStr">
        <x:is>
          <x:t xml:space="preserve">Cập nhật nguồn JSON/MD/OpenAPI/DDL tương ứng, tái tạo viewer/ZIP và ghi kiểm chứng</x:t>
        </x:is>
      </x:c>
    </x:row>
    <x:row r="552" ht="52" customHeight="1">
      <x:c r="A552" s="20" t="inlineStr">
        <x:is>
          <x:t xml:space="preserve">F11</x:t>
        </x:is>
      </x:c>
      <x:c r="B552" s="20" t="inlineStr">
        <x:is>
          <x:t xml:space="preserve">Point / giữ phí / quyết toán</x:t>
        </x:is>
      </x:c>
      <x:c r="C552" s="20" t="inlineStr">
        <x:is>
          <x:t xml:space="preserve">DOC-047</x:t>
        </x:is>
      </x:c>
      <x:c r="D552" s="20" t="inlineStr">
        <x:is>
          <x:t xml:space="preserve">Phí 10% công; point 1đ, dùng tổng hóa đơn; chống ghi trùng</x:t>
        </x:is>
      </x:c>
      <x:c r="E552" s="20" t="inlineStr">
        <x:is>
          <x:t xml:space="preserve">Khi chức năng hoặc hợp đồng kỹ thuật đổi</x:t>
        </x:is>
      </x:c>
      <x:c r="F552" s="20" t="inlineStr">
        <x:is>
          <x:t xml:space="preserve">Cập nhật nguồn JSON/MD/OpenAPI/DDL tương ứng, tái tạo viewer/ZIP và ghi kiểm chứng</x:t>
        </x:is>
      </x:c>
    </x:row>
    <x:row r="553" ht="52" customHeight="1">
      <x:c r="A553" s="20" t="inlineStr">
        <x:is>
          <x:t xml:space="preserve">F11</x:t>
        </x:is>
      </x:c>
      <x:c r="B553" s="20" t="inlineStr">
        <x:is>
          <x:t xml:space="preserve">Point / giữ phí / quyết toán</x:t>
        </x:is>
      </x:c>
      <x:c r="C553" s="20" t="inlineStr">
        <x:is>
          <x:t xml:space="preserve">DOC-048</x:t>
        </x:is>
      </x:c>
      <x:c r="D553" s="20" t="inlineStr">
        <x:is>
          <x:t xml:space="preserve">Phí 10% công; point 1đ, dùng tổng hóa đơn; chống ghi trùng</x:t>
        </x:is>
      </x:c>
      <x:c r="E553" s="20" t="inlineStr">
        <x:is>
          <x:t xml:space="preserve">Khi chức năng hoặc hợp đồng kỹ thuật đổi</x:t>
        </x:is>
      </x:c>
      <x:c r="F553" s="20" t="inlineStr">
        <x:is>
          <x:t xml:space="preserve">Cập nhật nguồn JSON/MD/OpenAPI/DDL tương ứng, tái tạo viewer/ZIP và ghi kiểm chứng</x:t>
        </x:is>
      </x:c>
    </x:row>
    <x:row r="554" ht="52" customHeight="1">
      <x:c r="A554" s="20" t="inlineStr">
        <x:is>
          <x:t xml:space="preserve">F12</x:t>
        </x:is>
      </x:c>
      <x:c r="B554" s="20" t="inlineStr">
        <x:is>
          <x:t xml:space="preserve">Ví / nạp / rút / ngân hàng</x:t>
        </x:is>
      </x:c>
      <x:c r="C554" s="20" t="inlineStr">
        <x:is>
          <x:t xml:space="preserve">PLAN-001</x:t>
        </x:is>
      </x:c>
      <x:c r="D554" s="20" t="inlineStr">
        <x:is>
          <x:t xml:space="preserve">Âm tối đa 100k cho phí; một ngân hàng, duyệt thủ công</x:t>
        </x:is>
      </x:c>
      <x:c r="E554" s="20" t="inlineStr">
        <x:is>
          <x:t xml:space="preserve">Khi chức năng hoặc hợp đồng kỹ thuật đổi</x:t>
        </x:is>
      </x:c>
      <x:c r="F554" s="20" t="inlineStr">
        <x:is>
          <x:t xml:space="preserve">Cập nhật nguồn JSON/MD/OpenAPI/DDL tương ứng, tái tạo viewer/ZIP và ghi kiểm chứng</x:t>
        </x:is>
      </x:c>
    </x:row>
    <x:row r="555" ht="52" customHeight="1">
      <x:c r="A555" s="20" t="inlineStr">
        <x:is>
          <x:t xml:space="preserve">F12</x:t>
        </x:is>
      </x:c>
      <x:c r="B555" s="20" t="inlineStr">
        <x:is>
          <x:t xml:space="preserve">Ví / nạp / rút / ngân hàng</x:t>
        </x:is>
      </x:c>
      <x:c r="C555" s="20" t="inlineStr">
        <x:is>
          <x:t xml:space="preserve">PLAN-002</x:t>
        </x:is>
      </x:c>
      <x:c r="D555" s="20" t="inlineStr">
        <x:is>
          <x:t xml:space="preserve">Âm tối đa 100k cho phí; một ngân hàng, duyệt thủ công</x:t>
        </x:is>
      </x:c>
      <x:c r="E555" s="20" t="inlineStr">
        <x:is>
          <x:t xml:space="preserve">Khi chức năng hoặc hợp đồng kỹ thuật đổi</x:t>
        </x:is>
      </x:c>
      <x:c r="F555" s="20" t="inlineStr">
        <x:is>
          <x:t xml:space="preserve">Cập nhật nguồn JSON/MD/OpenAPI/DDL tương ứng, tái tạo viewer/ZIP và ghi kiểm chứng</x:t>
        </x:is>
      </x:c>
    </x:row>
    <x:row r="556" ht="52" customHeight="1">
      <x:c r="A556" s="20" t="inlineStr">
        <x:is>
          <x:t xml:space="preserve">F12</x:t>
        </x:is>
      </x:c>
      <x:c r="B556" s="20" t="inlineStr">
        <x:is>
          <x:t xml:space="preserve">Ví / nạp / rút / ngân hàng</x:t>
        </x:is>
      </x:c>
      <x:c r="C556" s="20" t="inlineStr">
        <x:is>
          <x:t xml:space="preserve">PLAN-003</x:t>
        </x:is>
      </x:c>
      <x:c r="D556" s="20" t="inlineStr">
        <x:is>
          <x:t xml:space="preserve">Âm tối đa 100k cho phí; một ngân hàng, duyệt thủ công</x:t>
        </x:is>
      </x:c>
      <x:c r="E556" s="20" t="inlineStr">
        <x:is>
          <x:t xml:space="preserve">Khi chức năng hoặc hợp đồng kỹ thuật đổi</x:t>
        </x:is>
      </x:c>
      <x:c r="F556" s="20" t="inlineStr">
        <x:is>
          <x:t xml:space="preserve">Cập nhật nguồn JSON/MD/OpenAPI/DDL tương ứng, tái tạo viewer/ZIP và ghi kiểm chứng</x:t>
        </x:is>
      </x:c>
    </x:row>
    <x:row r="557" ht="52" customHeight="1">
      <x:c r="A557" s="20" t="inlineStr">
        <x:is>
          <x:t xml:space="preserve">F12</x:t>
        </x:is>
      </x:c>
      <x:c r="B557" s="20" t="inlineStr">
        <x:is>
          <x:t xml:space="preserve">Ví / nạp / rút / ngân hàng</x:t>
        </x:is>
      </x:c>
      <x:c r="C557" s="20" t="inlineStr">
        <x:is>
          <x:t xml:space="preserve">PLAN-008</x:t>
        </x:is>
      </x:c>
      <x:c r="D557" s="20" t="inlineStr">
        <x:is>
          <x:t xml:space="preserve">Âm tối đa 100k cho phí; một ngân hàng, duyệt thủ công</x:t>
        </x:is>
      </x:c>
      <x:c r="E557" s="20" t="inlineStr">
        <x:is>
          <x:t xml:space="preserve">Khi chức năng hoặc hợp đồng kỹ thuật đổi</x:t>
        </x:is>
      </x:c>
      <x:c r="F557" s="20" t="inlineStr">
        <x:is>
          <x:t xml:space="preserve">Cập nhật nguồn JSON/MD/OpenAPI/DDL tương ứng, tái tạo viewer/ZIP và ghi kiểm chứng</x:t>
        </x:is>
      </x:c>
    </x:row>
    <x:row r="558" ht="52" customHeight="1">
      <x:c r="A558" s="20" t="inlineStr">
        <x:is>
          <x:t xml:space="preserve">F12</x:t>
        </x:is>
      </x:c>
      <x:c r="B558" s="20" t="inlineStr">
        <x:is>
          <x:t xml:space="preserve">Ví / nạp / rút / ngân hàng</x:t>
        </x:is>
      </x:c>
      <x:c r="C558" s="20" t="inlineStr">
        <x:is>
          <x:t xml:space="preserve">DOC-037</x:t>
        </x:is>
      </x:c>
      <x:c r="D558" s="20" t="inlineStr">
        <x:is>
          <x:t xml:space="preserve">Âm tối đa 100k cho phí; một ngân hàng, duyệt thủ công</x:t>
        </x:is>
      </x:c>
      <x:c r="E558" s="20" t="inlineStr">
        <x:is>
          <x:t xml:space="preserve">Khi chức năng hoặc hợp đồng kỹ thuật đổi</x:t>
        </x:is>
      </x:c>
      <x:c r="F558" s="20" t="inlineStr">
        <x:is>
          <x:t xml:space="preserve">Cập nhật nguồn JSON/MD/OpenAPI/DDL tương ứng, tái tạo viewer/ZIP và ghi kiểm chứng</x:t>
        </x:is>
      </x:c>
    </x:row>
    <x:row r="559" ht="52" customHeight="1">
      <x:c r="A559" s="20" t="inlineStr">
        <x:is>
          <x:t xml:space="preserve">F12</x:t>
        </x:is>
      </x:c>
      <x:c r="B559" s="20" t="inlineStr">
        <x:is>
          <x:t xml:space="preserve">Ví / nạp / rút / ngân hàng</x:t>
        </x:is>
      </x:c>
      <x:c r="C559" s="20" t="inlineStr">
        <x:is>
          <x:t xml:space="preserve">DOC-038</x:t>
        </x:is>
      </x:c>
      <x:c r="D559" s="20" t="inlineStr">
        <x:is>
          <x:t xml:space="preserve">Âm tối đa 100k cho phí; một ngân hàng, duyệt thủ công</x:t>
        </x:is>
      </x:c>
      <x:c r="E559" s="20" t="inlineStr">
        <x:is>
          <x:t xml:space="preserve">Khi chức năng hoặc hợp đồng kỹ thuật đổi</x:t>
        </x:is>
      </x:c>
      <x:c r="F559" s="20" t="inlineStr">
        <x:is>
          <x:t xml:space="preserve">Cập nhật nguồn JSON/MD/OpenAPI/DDL tương ứng, tái tạo viewer/ZIP và ghi kiểm chứng</x:t>
        </x:is>
      </x:c>
    </x:row>
    <x:row r="560" ht="52" customHeight="1">
      <x:c r="A560" s="20" t="inlineStr">
        <x:is>
          <x:t xml:space="preserve">F12</x:t>
        </x:is>
      </x:c>
      <x:c r="B560" s="20" t="inlineStr">
        <x:is>
          <x:t xml:space="preserve">Ví / nạp / rút / ngân hàng</x:t>
        </x:is>
      </x:c>
      <x:c r="C560" s="20" t="inlineStr">
        <x:is>
          <x:t xml:space="preserve">DOC-039</x:t>
        </x:is>
      </x:c>
      <x:c r="D560" s="20" t="inlineStr">
        <x:is>
          <x:t xml:space="preserve">Âm tối đa 100k cho phí; một ngân hàng, duyệt thủ công</x:t>
        </x:is>
      </x:c>
      <x:c r="E560" s="20" t="inlineStr">
        <x:is>
          <x:t xml:space="preserve">Khi chức năng hoặc hợp đồng kỹ thuật đổi</x:t>
        </x:is>
      </x:c>
      <x:c r="F560" s="20" t="inlineStr">
        <x:is>
          <x:t xml:space="preserve">Cập nhật nguồn JSON/MD/OpenAPI/DDL tương ứng, tái tạo viewer/ZIP và ghi kiểm chứng</x:t>
        </x:is>
      </x:c>
    </x:row>
    <x:row r="561" ht="52" customHeight="1">
      <x:c r="A561" s="20" t="inlineStr">
        <x:is>
          <x:t xml:space="preserve">F12</x:t>
        </x:is>
      </x:c>
      <x:c r="B561" s="20" t="inlineStr">
        <x:is>
          <x:t xml:space="preserve">Ví / nạp / rút / ngân hàng</x:t>
        </x:is>
      </x:c>
      <x:c r="C561" s="20" t="inlineStr">
        <x:is>
          <x:t xml:space="preserve">DOC-040</x:t>
        </x:is>
      </x:c>
      <x:c r="D561" s="20" t="inlineStr">
        <x:is>
          <x:t xml:space="preserve">Âm tối đa 100k cho phí; một ngân hàng, duyệt thủ công</x:t>
        </x:is>
      </x:c>
      <x:c r="E561" s="20" t="inlineStr">
        <x:is>
          <x:t xml:space="preserve">Khi chức năng hoặc hợp đồng kỹ thuật đổi</x:t>
        </x:is>
      </x:c>
      <x:c r="F561" s="20" t="inlineStr">
        <x:is>
          <x:t xml:space="preserve">Cập nhật nguồn JSON/MD/OpenAPI/DDL tương ứng, tái tạo viewer/ZIP và ghi kiểm chứng</x:t>
        </x:is>
      </x:c>
    </x:row>
    <x:row r="562" ht="52" customHeight="1">
      <x:c r="A562" s="20" t="inlineStr">
        <x:is>
          <x:t xml:space="preserve">F12</x:t>
        </x:is>
      </x:c>
      <x:c r="B562" s="20" t="inlineStr">
        <x:is>
          <x:t xml:space="preserve">Ví / nạp / rút / ngân hàng</x:t>
        </x:is>
      </x:c>
      <x:c r="C562" s="20" t="inlineStr">
        <x:is>
          <x:t xml:space="preserve">DOC-041</x:t>
        </x:is>
      </x:c>
      <x:c r="D562" s="20" t="inlineStr">
        <x:is>
          <x:t xml:space="preserve">Âm tối đa 100k cho phí; một ngân hàng, duyệt thủ công</x:t>
        </x:is>
      </x:c>
      <x:c r="E562" s="20" t="inlineStr">
        <x:is>
          <x:t xml:space="preserve">Khi chức năng hoặc hợp đồng kỹ thuật đổi</x:t>
        </x:is>
      </x:c>
      <x:c r="F562" s="20" t="inlineStr">
        <x:is>
          <x:t xml:space="preserve">Cập nhật nguồn JSON/MD/OpenAPI/DDL tương ứng, tái tạo viewer/ZIP và ghi kiểm chứng</x:t>
        </x:is>
      </x:c>
    </x:row>
    <x:row r="563" ht="52" customHeight="1">
      <x:c r="A563" s="20" t="inlineStr">
        <x:is>
          <x:t xml:space="preserve">F12</x:t>
        </x:is>
      </x:c>
      <x:c r="B563" s="20" t="inlineStr">
        <x:is>
          <x:t xml:space="preserve">Ví / nạp / rút / ngân hàng</x:t>
        </x:is>
      </x:c>
      <x:c r="C563" s="20" t="inlineStr">
        <x:is>
          <x:t xml:space="preserve">DOC-042</x:t>
        </x:is>
      </x:c>
      <x:c r="D563" s="20" t="inlineStr">
        <x:is>
          <x:t xml:space="preserve">Âm tối đa 100k cho phí; một ngân hàng, duyệt thủ công</x:t>
        </x:is>
      </x:c>
      <x:c r="E563" s="20" t="inlineStr">
        <x:is>
          <x:t xml:space="preserve">Khi chức năng hoặc hợp đồng kỹ thuật đổi</x:t>
        </x:is>
      </x:c>
      <x:c r="F563" s="20" t="inlineStr">
        <x:is>
          <x:t xml:space="preserve">Cập nhật nguồn JSON/MD/OpenAPI/DDL tương ứng, tái tạo viewer/ZIP và ghi kiểm chứng</x:t>
        </x:is>
      </x:c>
    </x:row>
    <x:row r="564" ht="52" customHeight="1">
      <x:c r="A564" s="20" t="inlineStr">
        <x:is>
          <x:t xml:space="preserve">F12</x:t>
        </x:is>
      </x:c>
      <x:c r="B564" s="20" t="inlineStr">
        <x:is>
          <x:t xml:space="preserve">Ví / nạp / rút / ngân hàng</x:t>
        </x:is>
      </x:c>
      <x:c r="C564" s="20" t="inlineStr">
        <x:is>
          <x:t xml:space="preserve">DOC-043</x:t>
        </x:is>
      </x:c>
      <x:c r="D564" s="20" t="inlineStr">
        <x:is>
          <x:t xml:space="preserve">Âm tối đa 100k cho phí; một ngân hàng, duyệt thủ công</x:t>
        </x:is>
      </x:c>
      <x:c r="E564" s="20" t="inlineStr">
        <x:is>
          <x:t xml:space="preserve">Khi chức năng hoặc hợp đồng kỹ thuật đổi</x:t>
        </x:is>
      </x:c>
      <x:c r="F564" s="20" t="inlineStr">
        <x:is>
          <x:t xml:space="preserve">Cập nhật nguồn JSON/MD/OpenAPI/DDL tương ứng, tái tạo viewer/ZIP và ghi kiểm chứng</x:t>
        </x:is>
      </x:c>
    </x:row>
    <x:row r="565" ht="52" customHeight="1">
      <x:c r="A565" s="20" t="inlineStr">
        <x:is>
          <x:t xml:space="preserve">F12</x:t>
        </x:is>
      </x:c>
      <x:c r="B565" s="20" t="inlineStr">
        <x:is>
          <x:t xml:space="preserve">Ví / nạp / rút / ngân hàng</x:t>
        </x:is>
      </x:c>
      <x:c r="C565" s="20" t="inlineStr">
        <x:is>
          <x:t xml:space="preserve">DOC-044</x:t>
        </x:is>
      </x:c>
      <x:c r="D565" s="20" t="inlineStr">
        <x:is>
          <x:t xml:space="preserve">Âm tối đa 100k cho phí; một ngân hàng, duyệt thủ công</x:t>
        </x:is>
      </x:c>
      <x:c r="E565" s="20" t="inlineStr">
        <x:is>
          <x:t xml:space="preserve">Khi chức năng hoặc hợp đồng kỹ thuật đổi</x:t>
        </x:is>
      </x:c>
      <x:c r="F565" s="20" t="inlineStr">
        <x:is>
          <x:t xml:space="preserve">Cập nhật nguồn JSON/MD/OpenAPI/DDL tương ứng, tái tạo viewer/ZIP và ghi kiểm chứng</x:t>
        </x:is>
      </x:c>
    </x:row>
    <x:row r="566" ht="52" customHeight="1">
      <x:c r="A566" s="20" t="inlineStr">
        <x:is>
          <x:t xml:space="preserve">F12</x:t>
        </x:is>
      </x:c>
      <x:c r="B566" s="20" t="inlineStr">
        <x:is>
          <x:t xml:space="preserve">Ví / nạp / rút / ngân hàng</x:t>
        </x:is>
      </x:c>
      <x:c r="C566" s="20" t="inlineStr">
        <x:is>
          <x:t xml:space="preserve">DOC-045</x:t>
        </x:is>
      </x:c>
      <x:c r="D566" s="20" t="inlineStr">
        <x:is>
          <x:t xml:space="preserve">Âm tối đa 100k cho phí; một ngân hàng, duyệt thủ công</x:t>
        </x:is>
      </x:c>
      <x:c r="E566" s="20" t="inlineStr">
        <x:is>
          <x:t xml:space="preserve">Khi chức năng hoặc hợp đồng kỹ thuật đổi</x:t>
        </x:is>
      </x:c>
      <x:c r="F566" s="20" t="inlineStr">
        <x:is>
          <x:t xml:space="preserve">Cập nhật nguồn JSON/MD/OpenAPI/DDL tương ứng, tái tạo viewer/ZIP và ghi kiểm chứng</x:t>
        </x:is>
      </x:c>
    </x:row>
    <x:row r="567" ht="52" customHeight="1">
      <x:c r="A567" s="20" t="inlineStr">
        <x:is>
          <x:t xml:space="preserve">F12</x:t>
        </x:is>
      </x:c>
      <x:c r="B567" s="20" t="inlineStr">
        <x:is>
          <x:t xml:space="preserve">Ví / nạp / rút / ngân hàng</x:t>
        </x:is>
      </x:c>
      <x:c r="C567" s="20" t="inlineStr">
        <x:is>
          <x:t xml:space="preserve">DOC-046</x:t>
        </x:is>
      </x:c>
      <x:c r="D567" s="20" t="inlineStr">
        <x:is>
          <x:t xml:space="preserve">Âm tối đa 100k cho phí; một ngân hàng, duyệt thủ công</x:t>
        </x:is>
      </x:c>
      <x:c r="E567" s="20" t="inlineStr">
        <x:is>
          <x:t xml:space="preserve">Khi chức năng hoặc hợp đồng kỹ thuật đổi</x:t>
        </x:is>
      </x:c>
      <x:c r="F567" s="20" t="inlineStr">
        <x:is>
          <x:t xml:space="preserve">Cập nhật nguồn JSON/MD/OpenAPI/DDL tương ứng, tái tạo viewer/ZIP và ghi kiểm chứng</x:t>
        </x:is>
      </x:c>
    </x:row>
    <x:row r="568" ht="52" customHeight="1">
      <x:c r="A568" s="20" t="inlineStr">
        <x:is>
          <x:t xml:space="preserve">F12</x:t>
        </x:is>
      </x:c>
      <x:c r="B568" s="20" t="inlineStr">
        <x:is>
          <x:t xml:space="preserve">Ví / nạp / rút / ngân hàng</x:t>
        </x:is>
      </x:c>
      <x:c r="C568" s="20" t="inlineStr">
        <x:is>
          <x:t xml:space="preserve">DOC-047</x:t>
        </x:is>
      </x:c>
      <x:c r="D568" s="20" t="inlineStr">
        <x:is>
          <x:t xml:space="preserve">Âm tối đa 100k cho phí; một ngân hàng, duyệt thủ công</x:t>
        </x:is>
      </x:c>
      <x:c r="E568" s="20" t="inlineStr">
        <x:is>
          <x:t xml:space="preserve">Khi chức năng hoặc hợp đồng kỹ thuật đổi</x:t>
        </x:is>
      </x:c>
      <x:c r="F568" s="20" t="inlineStr">
        <x:is>
          <x:t xml:space="preserve">Cập nhật nguồn JSON/MD/OpenAPI/DDL tương ứng, tái tạo viewer/ZIP và ghi kiểm chứng</x:t>
        </x:is>
      </x:c>
    </x:row>
    <x:row r="569" ht="52" customHeight="1">
      <x:c r="A569" s="20" t="inlineStr">
        <x:is>
          <x:t xml:space="preserve">F12</x:t>
        </x:is>
      </x:c>
      <x:c r="B569" s="20" t="inlineStr">
        <x:is>
          <x:t xml:space="preserve">Ví / nạp / rút / ngân hàng</x:t>
        </x:is>
      </x:c>
      <x:c r="C569" s="20" t="inlineStr">
        <x:is>
          <x:t xml:space="preserve">DOC-048</x:t>
        </x:is>
      </x:c>
      <x:c r="D569" s="20" t="inlineStr">
        <x:is>
          <x:t xml:space="preserve">Âm tối đa 100k cho phí; một ngân hàng, duyệt thủ công</x:t>
        </x:is>
      </x:c>
      <x:c r="E569" s="20" t="inlineStr">
        <x:is>
          <x:t xml:space="preserve">Khi chức năng hoặc hợp đồng kỹ thuật đổi</x:t>
        </x:is>
      </x:c>
      <x:c r="F569" s="20" t="inlineStr">
        <x:is>
          <x:t xml:space="preserve">Cập nhật nguồn JSON/MD/OpenAPI/DDL tương ứng, tái tạo viewer/ZIP và ghi kiểm chứng</x:t>
        </x:is>
      </x:c>
    </x:row>
    <x:row r="570" ht="52" customHeight="1">
      <x:c r="A570" s="20" t="inlineStr">
        <x:is>
          <x:t xml:space="preserve">F13</x:t>
        </x:is>
      </x:c>
      <x:c r="B570" s="20" t="inlineStr">
        <x:is>
          <x:t xml:space="preserve">Đánh giá hai chiều</x:t>
        </x:is>
      </x:c>
      <x:c r="C570" s="20" t="inlineStr">
        <x:is>
          <x:t xml:space="preserve">PLAN-001</x:t>
        </x:is>
      </x:c>
      <x:c r="D570" s="20" t="inlineStr">
        <x:is>
          <x:t xml:space="preserve">Q01: khách báo đã trả + thợ xác nhận nhận tiền, quyết toán thành công</x:t>
        </x:is>
      </x:c>
      <x:c r="E570" s="20" t="inlineStr">
        <x:is>
          <x:t xml:space="preserve">Khi chức năng hoặc hợp đồng kỹ thuật đổi</x:t>
        </x:is>
      </x:c>
      <x:c r="F570" s="20" t="inlineStr">
        <x:is>
          <x:t xml:space="preserve">Cập nhật nguồn JSON/MD/OpenAPI/DDL tương ứng, tái tạo viewer/ZIP và ghi kiểm chứng</x:t>
        </x:is>
      </x:c>
    </x:row>
    <x:row r="571" ht="52" customHeight="1">
      <x:c r="A571" s="20" t="inlineStr">
        <x:is>
          <x:t xml:space="preserve">F13</x:t>
        </x:is>
      </x:c>
      <x:c r="B571" s="20" t="inlineStr">
        <x:is>
          <x:t xml:space="preserve">Đánh giá hai chiều</x:t>
        </x:is>
      </x:c>
      <x:c r="C571" s="20" t="inlineStr">
        <x:is>
          <x:t xml:space="preserve">PLAN-002</x:t>
        </x:is>
      </x:c>
      <x:c r="D571" s="20" t="inlineStr">
        <x:is>
          <x:t xml:space="preserve">Q01: khách báo đã trả + thợ xác nhận nhận tiền, quyết toán thành công</x:t>
        </x:is>
      </x:c>
      <x:c r="E571" s="20" t="inlineStr">
        <x:is>
          <x:t xml:space="preserve">Khi chức năng hoặc hợp đồng kỹ thuật đổi</x:t>
        </x:is>
      </x:c>
      <x:c r="F571" s="20" t="inlineStr">
        <x:is>
          <x:t xml:space="preserve">Cập nhật nguồn JSON/MD/OpenAPI/DDL tương ứng, tái tạo viewer/ZIP và ghi kiểm chứng</x:t>
        </x:is>
      </x:c>
    </x:row>
    <x:row r="572" ht="52" customHeight="1">
      <x:c r="A572" s="20" t="inlineStr">
        <x:is>
          <x:t xml:space="preserve">F13</x:t>
        </x:is>
      </x:c>
      <x:c r="B572" s="20" t="inlineStr">
        <x:is>
          <x:t xml:space="preserve">Đánh giá hai chiều</x:t>
        </x:is>
      </x:c>
      <x:c r="C572" s="20" t="inlineStr">
        <x:is>
          <x:t xml:space="preserve">PLAN-003</x:t>
        </x:is>
      </x:c>
      <x:c r="D572" s="20" t="inlineStr">
        <x:is>
          <x:t xml:space="preserve">Q01: khách báo đã trả + thợ xác nhận nhận tiền, quyết toán thành công</x:t>
        </x:is>
      </x:c>
      <x:c r="E572" s="20" t="inlineStr">
        <x:is>
          <x:t xml:space="preserve">Khi chức năng hoặc hợp đồng kỹ thuật đổi</x:t>
        </x:is>
      </x:c>
      <x:c r="F572" s="20" t="inlineStr">
        <x:is>
          <x:t xml:space="preserve">Cập nhật nguồn JSON/MD/OpenAPI/DDL tương ứng, tái tạo viewer/ZIP và ghi kiểm chứng</x:t>
        </x:is>
      </x:c>
    </x:row>
    <x:row r="573" ht="52" customHeight="1">
      <x:c r="A573" s="20" t="inlineStr">
        <x:is>
          <x:t xml:space="preserve">F13</x:t>
        </x:is>
      </x:c>
      <x:c r="B573" s="20" t="inlineStr">
        <x:is>
          <x:t xml:space="preserve">Đánh giá hai chiều</x:t>
        </x:is>
      </x:c>
      <x:c r="C573" s="20" t="inlineStr">
        <x:is>
          <x:t xml:space="preserve">PLAN-008</x:t>
        </x:is>
      </x:c>
      <x:c r="D573" s="20" t="inlineStr">
        <x:is>
          <x:t xml:space="preserve">Q01: khách báo đã trả + thợ xác nhận nhận tiền, quyết toán thành công</x:t>
        </x:is>
      </x:c>
      <x:c r="E573" s="20" t="inlineStr">
        <x:is>
          <x:t xml:space="preserve">Khi chức năng hoặc hợp đồng kỹ thuật đổi</x:t>
        </x:is>
      </x:c>
      <x:c r="F573" s="20" t="inlineStr">
        <x:is>
          <x:t xml:space="preserve">Cập nhật nguồn JSON/MD/OpenAPI/DDL tương ứng, tái tạo viewer/ZIP và ghi kiểm chứng</x:t>
        </x:is>
      </x:c>
    </x:row>
    <x:row r="574" ht="52" customHeight="1">
      <x:c r="A574" s="20" t="inlineStr">
        <x:is>
          <x:t xml:space="preserve">F13</x:t>
        </x:is>
      </x:c>
      <x:c r="B574" s="20" t="inlineStr">
        <x:is>
          <x:t xml:space="preserve">Đánh giá hai chiều</x:t>
        </x:is>
      </x:c>
      <x:c r="C574" s="20" t="inlineStr">
        <x:is>
          <x:t xml:space="preserve">DOC-037</x:t>
        </x:is>
      </x:c>
      <x:c r="D574" s="20" t="inlineStr">
        <x:is>
          <x:t xml:space="preserve">Q01: khách báo đã trả + thợ xác nhận nhận tiền, quyết toán thành công</x:t>
        </x:is>
      </x:c>
      <x:c r="E574" s="20" t="inlineStr">
        <x:is>
          <x:t xml:space="preserve">Khi chức năng hoặc hợp đồng kỹ thuật đổi</x:t>
        </x:is>
      </x:c>
      <x:c r="F574" s="20" t="inlineStr">
        <x:is>
          <x:t xml:space="preserve">Cập nhật nguồn JSON/MD/OpenAPI/DDL tương ứng, tái tạo viewer/ZIP và ghi kiểm chứng</x:t>
        </x:is>
      </x:c>
    </x:row>
    <x:row r="575" ht="52" customHeight="1">
      <x:c r="A575" s="20" t="inlineStr">
        <x:is>
          <x:t xml:space="preserve">F13</x:t>
        </x:is>
      </x:c>
      <x:c r="B575" s="20" t="inlineStr">
        <x:is>
          <x:t xml:space="preserve">Đánh giá hai chiều</x:t>
        </x:is>
      </x:c>
      <x:c r="C575" s="20" t="inlineStr">
        <x:is>
          <x:t xml:space="preserve">DOC-038</x:t>
        </x:is>
      </x:c>
      <x:c r="D575" s="20" t="inlineStr">
        <x:is>
          <x:t xml:space="preserve">Q01: khách báo đã trả + thợ xác nhận nhận tiền, quyết toán thành công</x:t>
        </x:is>
      </x:c>
      <x:c r="E575" s="20" t="inlineStr">
        <x:is>
          <x:t xml:space="preserve">Khi chức năng hoặc hợp đồng kỹ thuật đổi</x:t>
        </x:is>
      </x:c>
      <x:c r="F575" s="20" t="inlineStr">
        <x:is>
          <x:t xml:space="preserve">Cập nhật nguồn JSON/MD/OpenAPI/DDL tương ứng, tái tạo viewer/ZIP và ghi kiểm chứng</x:t>
        </x:is>
      </x:c>
    </x:row>
    <x:row r="576" ht="52" customHeight="1">
      <x:c r="A576" s="20" t="inlineStr">
        <x:is>
          <x:t xml:space="preserve">F13</x:t>
        </x:is>
      </x:c>
      <x:c r="B576" s="20" t="inlineStr">
        <x:is>
          <x:t xml:space="preserve">Đánh giá hai chiều</x:t>
        </x:is>
      </x:c>
      <x:c r="C576" s="20" t="inlineStr">
        <x:is>
          <x:t xml:space="preserve">DOC-039</x:t>
        </x:is>
      </x:c>
      <x:c r="D576" s="20" t="inlineStr">
        <x:is>
          <x:t xml:space="preserve">Q01: khách báo đã trả + thợ xác nhận nhận tiền, quyết toán thành công</x:t>
        </x:is>
      </x:c>
      <x:c r="E576" s="20" t="inlineStr">
        <x:is>
          <x:t xml:space="preserve">Khi chức năng hoặc hợp đồng kỹ thuật đổi</x:t>
        </x:is>
      </x:c>
      <x:c r="F576" s="20" t="inlineStr">
        <x:is>
          <x:t xml:space="preserve">Cập nhật nguồn JSON/MD/OpenAPI/DDL tương ứng, tái tạo viewer/ZIP và ghi kiểm chứng</x:t>
        </x:is>
      </x:c>
    </x:row>
    <x:row r="577" ht="52" customHeight="1">
      <x:c r="A577" s="20" t="inlineStr">
        <x:is>
          <x:t xml:space="preserve">F13</x:t>
        </x:is>
      </x:c>
      <x:c r="B577" s="20" t="inlineStr">
        <x:is>
          <x:t xml:space="preserve">Đánh giá hai chiều</x:t>
        </x:is>
      </x:c>
      <x:c r="C577" s="20" t="inlineStr">
        <x:is>
          <x:t xml:space="preserve">DOC-040</x:t>
        </x:is>
      </x:c>
      <x:c r="D577" s="20" t="inlineStr">
        <x:is>
          <x:t xml:space="preserve">Q01: khách báo đã trả + thợ xác nhận nhận tiền, quyết toán thành công</x:t>
        </x:is>
      </x:c>
      <x:c r="E577" s="20" t="inlineStr">
        <x:is>
          <x:t xml:space="preserve">Khi chức năng hoặc hợp đồng kỹ thuật đổi</x:t>
        </x:is>
      </x:c>
      <x:c r="F577" s="20" t="inlineStr">
        <x:is>
          <x:t xml:space="preserve">Cập nhật nguồn JSON/MD/OpenAPI/DDL tương ứng, tái tạo viewer/ZIP và ghi kiểm chứng</x:t>
        </x:is>
      </x:c>
    </x:row>
    <x:row r="578" ht="52" customHeight="1">
      <x:c r="A578" s="20" t="inlineStr">
        <x:is>
          <x:t xml:space="preserve">F13</x:t>
        </x:is>
      </x:c>
      <x:c r="B578" s="20" t="inlineStr">
        <x:is>
          <x:t xml:space="preserve">Đánh giá hai chiều</x:t>
        </x:is>
      </x:c>
      <x:c r="C578" s="20" t="inlineStr">
        <x:is>
          <x:t xml:space="preserve">DOC-041</x:t>
        </x:is>
      </x:c>
      <x:c r="D578" s="20" t="inlineStr">
        <x:is>
          <x:t xml:space="preserve">Q01: khách báo đã trả + thợ xác nhận nhận tiền, quyết toán thành công</x:t>
        </x:is>
      </x:c>
      <x:c r="E578" s="20" t="inlineStr">
        <x:is>
          <x:t xml:space="preserve">Khi chức năng hoặc hợp đồng kỹ thuật đổi</x:t>
        </x:is>
      </x:c>
      <x:c r="F578" s="20" t="inlineStr">
        <x:is>
          <x:t xml:space="preserve">Cập nhật nguồn JSON/MD/OpenAPI/DDL tương ứng, tái tạo viewer/ZIP và ghi kiểm chứng</x:t>
        </x:is>
      </x:c>
    </x:row>
    <x:row r="579" ht="52" customHeight="1">
      <x:c r="A579" s="20" t="inlineStr">
        <x:is>
          <x:t xml:space="preserve">F13</x:t>
        </x:is>
      </x:c>
      <x:c r="B579" s="20" t="inlineStr">
        <x:is>
          <x:t xml:space="preserve">Đánh giá hai chiều</x:t>
        </x:is>
      </x:c>
      <x:c r="C579" s="20" t="inlineStr">
        <x:is>
          <x:t xml:space="preserve">DOC-042</x:t>
        </x:is>
      </x:c>
      <x:c r="D579" s="20" t="inlineStr">
        <x:is>
          <x:t xml:space="preserve">Q01: khách báo đã trả + thợ xác nhận nhận tiền, quyết toán thành công</x:t>
        </x:is>
      </x:c>
      <x:c r="E579" s="20" t="inlineStr">
        <x:is>
          <x:t xml:space="preserve">Khi chức năng hoặc hợp đồng kỹ thuật đổi</x:t>
        </x:is>
      </x:c>
      <x:c r="F579" s="20" t="inlineStr">
        <x:is>
          <x:t xml:space="preserve">Cập nhật nguồn JSON/MD/OpenAPI/DDL tương ứng, tái tạo viewer/ZIP và ghi kiểm chứng</x:t>
        </x:is>
      </x:c>
    </x:row>
    <x:row r="580" ht="52" customHeight="1">
      <x:c r="A580" s="20" t="inlineStr">
        <x:is>
          <x:t xml:space="preserve">F13</x:t>
        </x:is>
      </x:c>
      <x:c r="B580" s="20" t="inlineStr">
        <x:is>
          <x:t xml:space="preserve">Đánh giá hai chiều</x:t>
        </x:is>
      </x:c>
      <x:c r="C580" s="20" t="inlineStr">
        <x:is>
          <x:t xml:space="preserve">DOC-043</x:t>
        </x:is>
      </x:c>
      <x:c r="D580" s="20" t="inlineStr">
        <x:is>
          <x:t xml:space="preserve">Q01: khách báo đã trả + thợ xác nhận nhận tiền, quyết toán thành công</x:t>
        </x:is>
      </x:c>
      <x:c r="E580" s="20" t="inlineStr">
        <x:is>
          <x:t xml:space="preserve">Khi chức năng hoặc hợp đồng kỹ thuật đổi</x:t>
        </x:is>
      </x:c>
      <x:c r="F580" s="20" t="inlineStr">
        <x:is>
          <x:t xml:space="preserve">Cập nhật nguồn JSON/MD/OpenAPI/DDL tương ứng, tái tạo viewer/ZIP và ghi kiểm chứng</x:t>
        </x:is>
      </x:c>
    </x:row>
    <x:row r="581" ht="52" customHeight="1">
      <x:c r="A581" s="20" t="inlineStr">
        <x:is>
          <x:t xml:space="preserve">F13</x:t>
        </x:is>
      </x:c>
      <x:c r="B581" s="20" t="inlineStr">
        <x:is>
          <x:t xml:space="preserve">Đánh giá hai chiều</x:t>
        </x:is>
      </x:c>
      <x:c r="C581" s="20" t="inlineStr">
        <x:is>
          <x:t xml:space="preserve">DOC-044</x:t>
        </x:is>
      </x:c>
      <x:c r="D581" s="20" t="inlineStr">
        <x:is>
          <x:t xml:space="preserve">Q01: khách báo đã trả + thợ xác nhận nhận tiền, quyết toán thành công</x:t>
        </x:is>
      </x:c>
      <x:c r="E581" s="20" t="inlineStr">
        <x:is>
          <x:t xml:space="preserve">Khi chức năng hoặc hợp đồng kỹ thuật đổi</x:t>
        </x:is>
      </x:c>
      <x:c r="F581" s="20" t="inlineStr">
        <x:is>
          <x:t xml:space="preserve">Cập nhật nguồn JSON/MD/OpenAPI/DDL tương ứng, tái tạo viewer/ZIP và ghi kiểm chứng</x:t>
        </x:is>
      </x:c>
    </x:row>
    <x:row r="582" ht="52" customHeight="1">
      <x:c r="A582" s="20" t="inlineStr">
        <x:is>
          <x:t xml:space="preserve">F13</x:t>
        </x:is>
      </x:c>
      <x:c r="B582" s="20" t="inlineStr">
        <x:is>
          <x:t xml:space="preserve">Đánh giá hai chiều</x:t>
        </x:is>
      </x:c>
      <x:c r="C582" s="20" t="inlineStr">
        <x:is>
          <x:t xml:space="preserve">DOC-045</x:t>
        </x:is>
      </x:c>
      <x:c r="D582" s="20" t="inlineStr">
        <x:is>
          <x:t xml:space="preserve">Q01: khách báo đã trả + thợ xác nhận nhận tiền, quyết toán thành công</x:t>
        </x:is>
      </x:c>
      <x:c r="E582" s="20" t="inlineStr">
        <x:is>
          <x:t xml:space="preserve">Khi chức năng hoặc hợp đồng kỹ thuật đổi</x:t>
        </x:is>
      </x:c>
      <x:c r="F582" s="20" t="inlineStr">
        <x:is>
          <x:t xml:space="preserve">Cập nhật nguồn JSON/MD/OpenAPI/DDL tương ứng, tái tạo viewer/ZIP và ghi kiểm chứng</x:t>
        </x:is>
      </x:c>
    </x:row>
    <x:row r="583" ht="52" customHeight="1">
      <x:c r="A583" s="20" t="inlineStr">
        <x:is>
          <x:t xml:space="preserve">F13</x:t>
        </x:is>
      </x:c>
      <x:c r="B583" s="20" t="inlineStr">
        <x:is>
          <x:t xml:space="preserve">Đánh giá hai chiều</x:t>
        </x:is>
      </x:c>
      <x:c r="C583" s="20" t="inlineStr">
        <x:is>
          <x:t xml:space="preserve">DOC-046</x:t>
        </x:is>
      </x:c>
      <x:c r="D583" s="20" t="inlineStr">
        <x:is>
          <x:t xml:space="preserve">Q01: khách báo đã trả + thợ xác nhận nhận tiền, quyết toán thành công</x:t>
        </x:is>
      </x:c>
      <x:c r="E583" s="20" t="inlineStr">
        <x:is>
          <x:t xml:space="preserve">Khi chức năng hoặc hợp đồng kỹ thuật đổi</x:t>
        </x:is>
      </x:c>
      <x:c r="F583" s="20" t="inlineStr">
        <x:is>
          <x:t xml:space="preserve">Cập nhật nguồn JSON/MD/OpenAPI/DDL tương ứng, tái tạo viewer/ZIP và ghi kiểm chứng</x:t>
        </x:is>
      </x:c>
    </x:row>
    <x:row r="584" ht="52" customHeight="1">
      <x:c r="A584" s="20" t="inlineStr">
        <x:is>
          <x:t xml:space="preserve">F13</x:t>
        </x:is>
      </x:c>
      <x:c r="B584" s="20" t="inlineStr">
        <x:is>
          <x:t xml:space="preserve">Đánh giá hai chiều</x:t>
        </x:is>
      </x:c>
      <x:c r="C584" s="20" t="inlineStr">
        <x:is>
          <x:t xml:space="preserve">DOC-047</x:t>
        </x:is>
      </x:c>
      <x:c r="D584" s="20" t="inlineStr">
        <x:is>
          <x:t xml:space="preserve">Q01: khách báo đã trả + thợ xác nhận nhận tiền, quyết toán thành công</x:t>
        </x:is>
      </x:c>
      <x:c r="E584" s="20" t="inlineStr">
        <x:is>
          <x:t xml:space="preserve">Khi chức năng hoặc hợp đồng kỹ thuật đổi</x:t>
        </x:is>
      </x:c>
      <x:c r="F584" s="20" t="inlineStr">
        <x:is>
          <x:t xml:space="preserve">Cập nhật nguồn JSON/MD/OpenAPI/DDL tương ứng, tái tạo viewer/ZIP và ghi kiểm chứng</x:t>
        </x:is>
      </x:c>
    </x:row>
    <x:row r="585" ht="52" customHeight="1">
      <x:c r="A585" s="20" t="inlineStr">
        <x:is>
          <x:t xml:space="preserve">F13</x:t>
        </x:is>
      </x:c>
      <x:c r="B585" s="20" t="inlineStr">
        <x:is>
          <x:t xml:space="preserve">Đánh giá hai chiều</x:t>
        </x:is>
      </x:c>
      <x:c r="C585" s="20" t="inlineStr">
        <x:is>
          <x:t xml:space="preserve">DOC-048</x:t>
        </x:is>
      </x:c>
      <x:c r="D585" s="20" t="inlineStr">
        <x:is>
          <x:t xml:space="preserve">Q01: khách báo đã trả + thợ xác nhận nhận tiền, quyết toán thành công</x:t>
        </x:is>
      </x:c>
      <x:c r="E585" s="20" t="inlineStr">
        <x:is>
          <x:t xml:space="preserve">Khi chức năng hoặc hợp đồng kỹ thuật đổi</x:t>
        </x:is>
      </x:c>
      <x:c r="F585" s="20" t="inlineStr">
        <x:is>
          <x:t xml:space="preserve">Cập nhật nguồn JSON/MD/OpenAPI/DDL tương ứng, tái tạo viewer/ZIP và ghi kiểm chứng</x:t>
        </x:is>
      </x:c>
    </x:row>
    <x:row r="586" ht="52" customHeight="1">
      <x:c r="A586" s="20" t="inlineStr">
        <x:is>
          <x:t xml:space="preserve">F14</x:t>
        </x:is>
      </x:c>
      <x:c r="B586" s="20" t="inlineStr">
        <x:is>
          <x:t xml:space="preserve">Báo cáo / hỗ trợ / admin hoàn tất</x:t>
        </x:is>
      </x:c>
      <x:c r="C586" s="20" t="inlineStr">
        <x:is>
          <x:t xml:space="preserve">PLAN-001</x:t>
        </x:is>
      </x:c>
      <x:c r="D586" s="20" t="inlineStr">
        <x:is>
          <x:t xml:space="preserve">Bằng chứng và lý do; không tự mở quyền hoàn/đảo</x:t>
        </x:is>
      </x:c>
      <x:c r="E586" s="20" t="inlineStr">
        <x:is>
          <x:t xml:space="preserve">Khi chức năng hoặc hợp đồng kỹ thuật đổi</x:t>
        </x:is>
      </x:c>
      <x:c r="F586" s="20" t="inlineStr">
        <x:is>
          <x:t xml:space="preserve">Cập nhật nguồn JSON/MD/OpenAPI/DDL tương ứng, tái tạo viewer/ZIP và ghi kiểm chứng</x:t>
        </x:is>
      </x:c>
    </x:row>
    <x:row r="587" ht="52" customHeight="1">
      <x:c r="A587" s="20" t="inlineStr">
        <x:is>
          <x:t xml:space="preserve">F14</x:t>
        </x:is>
      </x:c>
      <x:c r="B587" s="20" t="inlineStr">
        <x:is>
          <x:t xml:space="preserve">Báo cáo / hỗ trợ / admin hoàn tất</x:t>
        </x:is>
      </x:c>
      <x:c r="C587" s="20" t="inlineStr">
        <x:is>
          <x:t xml:space="preserve">PLAN-002</x:t>
        </x:is>
      </x:c>
      <x:c r="D587" s="20" t="inlineStr">
        <x:is>
          <x:t xml:space="preserve">Bằng chứng và lý do; không tự mở quyền hoàn/đảo</x:t>
        </x:is>
      </x:c>
      <x:c r="E587" s="20" t="inlineStr">
        <x:is>
          <x:t xml:space="preserve">Khi chức năng hoặc hợp đồng kỹ thuật đổi</x:t>
        </x:is>
      </x:c>
      <x:c r="F587" s="20" t="inlineStr">
        <x:is>
          <x:t xml:space="preserve">Cập nhật nguồn JSON/MD/OpenAPI/DDL tương ứng, tái tạo viewer/ZIP và ghi kiểm chứng</x:t>
        </x:is>
      </x:c>
    </x:row>
    <x:row r="588" ht="52" customHeight="1">
      <x:c r="A588" s="20" t="inlineStr">
        <x:is>
          <x:t xml:space="preserve">F14</x:t>
        </x:is>
      </x:c>
      <x:c r="B588" s="20" t="inlineStr">
        <x:is>
          <x:t xml:space="preserve">Báo cáo / hỗ trợ / admin hoàn tất</x:t>
        </x:is>
      </x:c>
      <x:c r="C588" s="20" t="inlineStr">
        <x:is>
          <x:t xml:space="preserve">PLAN-003</x:t>
        </x:is>
      </x:c>
      <x:c r="D588" s="20" t="inlineStr">
        <x:is>
          <x:t xml:space="preserve">Bằng chứng và lý do; không tự mở quyền hoàn/đảo</x:t>
        </x:is>
      </x:c>
      <x:c r="E588" s="20" t="inlineStr">
        <x:is>
          <x:t xml:space="preserve">Khi chức năng hoặc hợp đồng kỹ thuật đổi</x:t>
        </x:is>
      </x:c>
      <x:c r="F588" s="20" t="inlineStr">
        <x:is>
          <x:t xml:space="preserve">Cập nhật nguồn JSON/MD/OpenAPI/DDL tương ứng, tái tạo viewer/ZIP và ghi kiểm chứng</x:t>
        </x:is>
      </x:c>
    </x:row>
    <x:row r="589" ht="52" customHeight="1">
      <x:c r="A589" s="20" t="inlineStr">
        <x:is>
          <x:t xml:space="preserve">F14</x:t>
        </x:is>
      </x:c>
      <x:c r="B589" s="20" t="inlineStr">
        <x:is>
          <x:t xml:space="preserve">Báo cáo / hỗ trợ / admin hoàn tất</x:t>
        </x:is>
      </x:c>
      <x:c r="C589" s="20" t="inlineStr">
        <x:is>
          <x:t xml:space="preserve">PLAN-008</x:t>
        </x:is>
      </x:c>
      <x:c r="D589" s="20" t="inlineStr">
        <x:is>
          <x:t xml:space="preserve">Bằng chứng và lý do; không tự mở quyền hoàn/đảo</x:t>
        </x:is>
      </x:c>
      <x:c r="E589" s="20" t="inlineStr">
        <x:is>
          <x:t xml:space="preserve">Khi chức năng hoặc hợp đồng kỹ thuật đổi</x:t>
        </x:is>
      </x:c>
      <x:c r="F589" s="20" t="inlineStr">
        <x:is>
          <x:t xml:space="preserve">Cập nhật nguồn JSON/MD/OpenAPI/DDL tương ứng, tái tạo viewer/ZIP và ghi kiểm chứng</x:t>
        </x:is>
      </x:c>
    </x:row>
    <x:row r="590" ht="52" customHeight="1">
      <x:c r="A590" s="20" t="inlineStr">
        <x:is>
          <x:t xml:space="preserve">F14</x:t>
        </x:is>
      </x:c>
      <x:c r="B590" s="20" t="inlineStr">
        <x:is>
          <x:t xml:space="preserve">Báo cáo / hỗ trợ / admin hoàn tất</x:t>
        </x:is>
      </x:c>
      <x:c r="C590" s="20" t="inlineStr">
        <x:is>
          <x:t xml:space="preserve">DOC-037</x:t>
        </x:is>
      </x:c>
      <x:c r="D590" s="20" t="inlineStr">
        <x:is>
          <x:t xml:space="preserve">Bằng chứng và lý do; không tự mở quyền hoàn/đảo</x:t>
        </x:is>
      </x:c>
      <x:c r="E590" s="20" t="inlineStr">
        <x:is>
          <x:t xml:space="preserve">Khi chức năng hoặc hợp đồng kỹ thuật đổi</x:t>
        </x:is>
      </x:c>
      <x:c r="F590" s="20" t="inlineStr">
        <x:is>
          <x:t xml:space="preserve">Cập nhật nguồn JSON/MD/OpenAPI/DDL tương ứng, tái tạo viewer/ZIP và ghi kiểm chứng</x:t>
        </x:is>
      </x:c>
    </x:row>
    <x:row r="591" ht="52" customHeight="1">
      <x:c r="A591" s="20" t="inlineStr">
        <x:is>
          <x:t xml:space="preserve">F14</x:t>
        </x:is>
      </x:c>
      <x:c r="B591" s="20" t="inlineStr">
        <x:is>
          <x:t xml:space="preserve">Báo cáo / hỗ trợ / admin hoàn tất</x:t>
        </x:is>
      </x:c>
      <x:c r="C591" s="20" t="inlineStr">
        <x:is>
          <x:t xml:space="preserve">DOC-038</x:t>
        </x:is>
      </x:c>
      <x:c r="D591" s="20" t="inlineStr">
        <x:is>
          <x:t xml:space="preserve">Bằng chứng và lý do; không tự mở quyền hoàn/đảo</x:t>
        </x:is>
      </x:c>
      <x:c r="E591" s="20" t="inlineStr">
        <x:is>
          <x:t xml:space="preserve">Khi chức năng hoặc hợp đồng kỹ thuật đổi</x:t>
        </x:is>
      </x:c>
      <x:c r="F591" s="20" t="inlineStr">
        <x:is>
          <x:t xml:space="preserve">Cập nhật nguồn JSON/MD/OpenAPI/DDL tương ứng, tái tạo viewer/ZIP và ghi kiểm chứng</x:t>
        </x:is>
      </x:c>
    </x:row>
    <x:row r="592" ht="52" customHeight="1">
      <x:c r="A592" s="20" t="inlineStr">
        <x:is>
          <x:t xml:space="preserve">F14</x:t>
        </x:is>
      </x:c>
      <x:c r="B592" s="20" t="inlineStr">
        <x:is>
          <x:t xml:space="preserve">Báo cáo / hỗ trợ / admin hoàn tất</x:t>
        </x:is>
      </x:c>
      <x:c r="C592" s="20" t="inlineStr">
        <x:is>
          <x:t xml:space="preserve">DOC-039</x:t>
        </x:is>
      </x:c>
      <x:c r="D592" s="20" t="inlineStr">
        <x:is>
          <x:t xml:space="preserve">Bằng chứng và lý do; không tự mở quyền hoàn/đảo</x:t>
        </x:is>
      </x:c>
      <x:c r="E592" s="20" t="inlineStr">
        <x:is>
          <x:t xml:space="preserve">Khi chức năng hoặc hợp đồng kỹ thuật đổi</x:t>
        </x:is>
      </x:c>
      <x:c r="F592" s="20" t="inlineStr">
        <x:is>
          <x:t xml:space="preserve">Cập nhật nguồn JSON/MD/OpenAPI/DDL tương ứng, tái tạo viewer/ZIP và ghi kiểm chứng</x:t>
        </x:is>
      </x:c>
    </x:row>
    <x:row r="593" ht="52" customHeight="1">
      <x:c r="A593" s="20" t="inlineStr">
        <x:is>
          <x:t xml:space="preserve">F14</x:t>
        </x:is>
      </x:c>
      <x:c r="B593" s="20" t="inlineStr">
        <x:is>
          <x:t xml:space="preserve">Báo cáo / hỗ trợ / admin hoàn tất</x:t>
        </x:is>
      </x:c>
      <x:c r="C593" s="20" t="inlineStr">
        <x:is>
          <x:t xml:space="preserve">DOC-040</x:t>
        </x:is>
      </x:c>
      <x:c r="D593" s="20" t="inlineStr">
        <x:is>
          <x:t xml:space="preserve">Bằng chứng và lý do; không tự mở quyền hoàn/đảo</x:t>
        </x:is>
      </x:c>
      <x:c r="E593" s="20" t="inlineStr">
        <x:is>
          <x:t xml:space="preserve">Khi chức năng hoặc hợp đồng kỹ thuật đổi</x:t>
        </x:is>
      </x:c>
      <x:c r="F593" s="20" t="inlineStr">
        <x:is>
          <x:t xml:space="preserve">Cập nhật nguồn JSON/MD/OpenAPI/DDL tương ứng, tái tạo viewer/ZIP và ghi kiểm chứng</x:t>
        </x:is>
      </x:c>
    </x:row>
    <x:row r="594" ht="52" customHeight="1">
      <x:c r="A594" s="20" t="inlineStr">
        <x:is>
          <x:t xml:space="preserve">F14</x:t>
        </x:is>
      </x:c>
      <x:c r="B594" s="20" t="inlineStr">
        <x:is>
          <x:t xml:space="preserve">Báo cáo / hỗ trợ / admin hoàn tất</x:t>
        </x:is>
      </x:c>
      <x:c r="C594" s="20" t="inlineStr">
        <x:is>
          <x:t xml:space="preserve">DOC-041</x:t>
        </x:is>
      </x:c>
      <x:c r="D594" s="20" t="inlineStr">
        <x:is>
          <x:t xml:space="preserve">Bằng chứng và lý do; không tự mở quyền hoàn/đảo</x:t>
        </x:is>
      </x:c>
      <x:c r="E594" s="20" t="inlineStr">
        <x:is>
          <x:t xml:space="preserve">Khi chức năng hoặc hợp đồng kỹ thuật đổi</x:t>
        </x:is>
      </x:c>
      <x:c r="F594" s="20" t="inlineStr">
        <x:is>
          <x:t xml:space="preserve">Cập nhật nguồn JSON/MD/OpenAPI/DDL tương ứng, tái tạo viewer/ZIP và ghi kiểm chứng</x:t>
        </x:is>
      </x:c>
    </x:row>
    <x:row r="595" ht="52" customHeight="1">
      <x:c r="A595" s="20" t="inlineStr">
        <x:is>
          <x:t xml:space="preserve">F14</x:t>
        </x:is>
      </x:c>
      <x:c r="B595" s="20" t="inlineStr">
        <x:is>
          <x:t xml:space="preserve">Báo cáo / hỗ trợ / admin hoàn tất</x:t>
        </x:is>
      </x:c>
      <x:c r="C595" s="20" t="inlineStr">
        <x:is>
          <x:t xml:space="preserve">DOC-042</x:t>
        </x:is>
      </x:c>
      <x:c r="D595" s="20" t="inlineStr">
        <x:is>
          <x:t xml:space="preserve">Bằng chứng và lý do; không tự mở quyền hoàn/đảo</x:t>
        </x:is>
      </x:c>
      <x:c r="E595" s="20" t="inlineStr">
        <x:is>
          <x:t xml:space="preserve">Khi chức năng hoặc hợp đồng kỹ thuật đổi</x:t>
        </x:is>
      </x:c>
      <x:c r="F595" s="20" t="inlineStr">
        <x:is>
          <x:t xml:space="preserve">Cập nhật nguồn JSON/MD/OpenAPI/DDL tương ứng, tái tạo viewer/ZIP và ghi kiểm chứng</x:t>
        </x:is>
      </x:c>
    </x:row>
    <x:row r="596" ht="52" customHeight="1">
      <x:c r="A596" s="20" t="inlineStr">
        <x:is>
          <x:t xml:space="preserve">F14</x:t>
        </x:is>
      </x:c>
      <x:c r="B596" s="20" t="inlineStr">
        <x:is>
          <x:t xml:space="preserve">Báo cáo / hỗ trợ / admin hoàn tất</x:t>
        </x:is>
      </x:c>
      <x:c r="C596" s="20" t="inlineStr">
        <x:is>
          <x:t xml:space="preserve">DOC-043</x:t>
        </x:is>
      </x:c>
      <x:c r="D596" s="20" t="inlineStr">
        <x:is>
          <x:t xml:space="preserve">Bằng chứng và lý do; không tự mở quyền hoàn/đảo</x:t>
        </x:is>
      </x:c>
      <x:c r="E596" s="20" t="inlineStr">
        <x:is>
          <x:t xml:space="preserve">Khi chức năng hoặc hợp đồng kỹ thuật đổi</x:t>
        </x:is>
      </x:c>
      <x:c r="F596" s="20" t="inlineStr">
        <x:is>
          <x:t xml:space="preserve">Cập nhật nguồn JSON/MD/OpenAPI/DDL tương ứng, tái tạo viewer/ZIP và ghi kiểm chứng</x:t>
        </x:is>
      </x:c>
    </x:row>
    <x:row r="597" ht="52" customHeight="1">
      <x:c r="A597" s="20" t="inlineStr">
        <x:is>
          <x:t xml:space="preserve">F14</x:t>
        </x:is>
      </x:c>
      <x:c r="B597" s="20" t="inlineStr">
        <x:is>
          <x:t xml:space="preserve">Báo cáo / hỗ trợ / admin hoàn tất</x:t>
        </x:is>
      </x:c>
      <x:c r="C597" s="20" t="inlineStr">
        <x:is>
          <x:t xml:space="preserve">DOC-044</x:t>
        </x:is>
      </x:c>
      <x:c r="D597" s="20" t="inlineStr">
        <x:is>
          <x:t xml:space="preserve">Bằng chứng và lý do; không tự mở quyền hoàn/đảo</x:t>
        </x:is>
      </x:c>
      <x:c r="E597" s="20" t="inlineStr">
        <x:is>
          <x:t xml:space="preserve">Khi chức năng hoặc hợp đồng kỹ thuật đổi</x:t>
        </x:is>
      </x:c>
      <x:c r="F597" s="20" t="inlineStr">
        <x:is>
          <x:t xml:space="preserve">Cập nhật nguồn JSON/MD/OpenAPI/DDL tương ứng, tái tạo viewer/ZIP và ghi kiểm chứng</x:t>
        </x:is>
      </x:c>
    </x:row>
    <x:row r="598" ht="52" customHeight="1">
      <x:c r="A598" s="20" t="inlineStr">
        <x:is>
          <x:t xml:space="preserve">F14</x:t>
        </x:is>
      </x:c>
      <x:c r="B598" s="20" t="inlineStr">
        <x:is>
          <x:t xml:space="preserve">Báo cáo / hỗ trợ / admin hoàn tất</x:t>
        </x:is>
      </x:c>
      <x:c r="C598" s="20" t="inlineStr">
        <x:is>
          <x:t xml:space="preserve">DOC-045</x:t>
        </x:is>
      </x:c>
      <x:c r="D598" s="20" t="inlineStr">
        <x:is>
          <x:t xml:space="preserve">Bằng chứng và lý do; không tự mở quyền hoàn/đảo</x:t>
        </x:is>
      </x:c>
      <x:c r="E598" s="20" t="inlineStr">
        <x:is>
          <x:t xml:space="preserve">Khi chức năng hoặc hợp đồng kỹ thuật đổi</x:t>
        </x:is>
      </x:c>
      <x:c r="F598" s="20" t="inlineStr">
        <x:is>
          <x:t xml:space="preserve">Cập nhật nguồn JSON/MD/OpenAPI/DDL tương ứng, tái tạo viewer/ZIP và ghi kiểm chứng</x:t>
        </x:is>
      </x:c>
    </x:row>
    <x:row r="599" ht="52" customHeight="1">
      <x:c r="A599" s="20" t="inlineStr">
        <x:is>
          <x:t xml:space="preserve">F14</x:t>
        </x:is>
      </x:c>
      <x:c r="B599" s="20" t="inlineStr">
        <x:is>
          <x:t xml:space="preserve">Báo cáo / hỗ trợ / admin hoàn tất</x:t>
        </x:is>
      </x:c>
      <x:c r="C599" s="20" t="inlineStr">
        <x:is>
          <x:t xml:space="preserve">DOC-046</x:t>
        </x:is>
      </x:c>
      <x:c r="D599" s="20" t="inlineStr">
        <x:is>
          <x:t xml:space="preserve">Bằng chứng và lý do; không tự mở quyền hoàn/đảo</x:t>
        </x:is>
      </x:c>
      <x:c r="E599" s="20" t="inlineStr">
        <x:is>
          <x:t xml:space="preserve">Khi chức năng hoặc hợp đồng kỹ thuật đổi</x:t>
        </x:is>
      </x:c>
      <x:c r="F599" s="20" t="inlineStr">
        <x:is>
          <x:t xml:space="preserve">Cập nhật nguồn JSON/MD/OpenAPI/DDL tương ứng, tái tạo viewer/ZIP và ghi kiểm chứng</x:t>
        </x:is>
      </x:c>
    </x:row>
    <x:row r="600" ht="52" customHeight="1">
      <x:c r="A600" s="20" t="inlineStr">
        <x:is>
          <x:t xml:space="preserve">F14</x:t>
        </x:is>
      </x:c>
      <x:c r="B600" s="20" t="inlineStr">
        <x:is>
          <x:t xml:space="preserve">Báo cáo / hỗ trợ / admin hoàn tất</x:t>
        </x:is>
      </x:c>
      <x:c r="C600" s="20" t="inlineStr">
        <x:is>
          <x:t xml:space="preserve">DOC-047</x:t>
        </x:is>
      </x:c>
      <x:c r="D600" s="20" t="inlineStr">
        <x:is>
          <x:t xml:space="preserve">Bằng chứng và lý do; không tự mở quyền hoàn/đảo</x:t>
        </x:is>
      </x:c>
      <x:c r="E600" s="20" t="inlineStr">
        <x:is>
          <x:t xml:space="preserve">Khi chức năng hoặc hợp đồng kỹ thuật đổi</x:t>
        </x:is>
      </x:c>
      <x:c r="F600" s="20" t="inlineStr">
        <x:is>
          <x:t xml:space="preserve">Cập nhật nguồn JSON/MD/OpenAPI/DDL tương ứng, tái tạo viewer/ZIP và ghi kiểm chứng</x:t>
        </x:is>
      </x:c>
    </x:row>
    <x:row r="601" ht="52" customHeight="1">
      <x:c r="A601" s="20" t="inlineStr">
        <x:is>
          <x:t xml:space="preserve">F14</x:t>
        </x:is>
      </x:c>
      <x:c r="B601" s="20" t="inlineStr">
        <x:is>
          <x:t xml:space="preserve">Báo cáo / hỗ trợ / admin hoàn tất</x:t>
        </x:is>
      </x:c>
      <x:c r="C601" s="20" t="inlineStr">
        <x:is>
          <x:t xml:space="preserve">DOC-048</x:t>
        </x:is>
      </x:c>
      <x:c r="D601" s="20" t="inlineStr">
        <x:is>
          <x:t xml:space="preserve">Bằng chứng và lý do; không tự mở quyền hoàn/đảo</x:t>
        </x:is>
      </x:c>
      <x:c r="E601" s="20" t="inlineStr">
        <x:is>
          <x:t xml:space="preserve">Khi chức năng hoặc hợp đồng kỹ thuật đổi</x:t>
        </x:is>
      </x:c>
      <x:c r="F601" s="20" t="inlineStr">
        <x:is>
          <x:t xml:space="preserve">Cập nhật nguồn JSON/MD/OpenAPI/DDL tương ứng, tái tạo viewer/ZIP và ghi kiểm chứng</x:t>
        </x:is>
      </x:c>
    </x:row>
    <x:row r="602" ht="52" customHeight="1">
      <x:c r="A602" s="20" t="inlineStr">
        <x:is>
          <x:t xml:space="preserve">F15</x:t>
        </x:is>
      </x:c>
      <x:c r="B602" s="20" t="inlineStr">
        <x:is>
          <x:t xml:space="preserve">Khoản giữ treo / tài chính ngoại lệ</x:t>
        </x:is>
      </x:c>
      <x:c r="C602" s="20" t="inlineStr">
        <x:is>
          <x:t xml:space="preserve">PLAN-001</x:t>
        </x:is>
      </x:c>
      <x:c r="D602" s="20" t="inlineStr">
        <x:is>
          <x:t xml:space="preserve">Q02: pending đợt này; bắt buộc trước tiền thật</x:t>
        </x:is>
      </x:c>
      <x:c r="E602" s="20" t="inlineStr">
        <x:is>
          <x:t xml:space="preserve">Khi chức năng hoặc hợp đồng kỹ thuật đổi</x:t>
        </x:is>
      </x:c>
      <x:c r="F602" s="20" t="inlineStr">
        <x:is>
          <x:t xml:space="preserve">Cập nhật nguồn JSON/MD/OpenAPI/DDL tương ứng, tái tạo viewer/ZIP và ghi kiểm chứng</x:t>
        </x:is>
      </x:c>
    </x:row>
    <x:row r="603" ht="52" customHeight="1">
      <x:c r="A603" s="20" t="inlineStr">
        <x:is>
          <x:t xml:space="preserve">F15</x:t>
        </x:is>
      </x:c>
      <x:c r="B603" s="20" t="inlineStr">
        <x:is>
          <x:t xml:space="preserve">Khoản giữ treo / tài chính ngoại lệ</x:t>
        </x:is>
      </x:c>
      <x:c r="C603" s="20" t="inlineStr">
        <x:is>
          <x:t xml:space="preserve">PLAN-002</x:t>
        </x:is>
      </x:c>
      <x:c r="D603" s="20" t="inlineStr">
        <x:is>
          <x:t xml:space="preserve">Q02: pending đợt này; bắt buộc trước tiền thật</x:t>
        </x:is>
      </x:c>
      <x:c r="E603" s="20" t="inlineStr">
        <x:is>
          <x:t xml:space="preserve">Khi chức năng hoặc hợp đồng kỹ thuật đổi</x:t>
        </x:is>
      </x:c>
      <x:c r="F603" s="20" t="inlineStr">
        <x:is>
          <x:t xml:space="preserve">Cập nhật nguồn JSON/MD/OpenAPI/DDL tương ứng, tái tạo viewer/ZIP và ghi kiểm chứng</x:t>
        </x:is>
      </x:c>
    </x:row>
    <x:row r="604" ht="52" customHeight="1">
      <x:c r="A604" s="20" t="inlineStr">
        <x:is>
          <x:t xml:space="preserve">F15</x:t>
        </x:is>
      </x:c>
      <x:c r="B604" s="20" t="inlineStr">
        <x:is>
          <x:t xml:space="preserve">Khoản giữ treo / tài chính ngoại lệ</x:t>
        </x:is>
      </x:c>
      <x:c r="C604" s="20" t="inlineStr">
        <x:is>
          <x:t xml:space="preserve">PLAN-003</x:t>
        </x:is>
      </x:c>
      <x:c r="D604" s="20" t="inlineStr">
        <x:is>
          <x:t xml:space="preserve">Q02: pending đợt này; bắt buộc trước tiền thật</x:t>
        </x:is>
      </x:c>
      <x:c r="E604" s="20" t="inlineStr">
        <x:is>
          <x:t xml:space="preserve">Khi chức năng hoặc hợp đồng kỹ thuật đổi</x:t>
        </x:is>
      </x:c>
      <x:c r="F604" s="20" t="inlineStr">
        <x:is>
          <x:t xml:space="preserve">Cập nhật nguồn JSON/MD/OpenAPI/DDL tương ứng, tái tạo viewer/ZIP và ghi kiểm chứng</x:t>
        </x:is>
      </x:c>
    </x:row>
    <x:row r="605" ht="52" customHeight="1">
      <x:c r="A605" s="20" t="inlineStr">
        <x:is>
          <x:t xml:space="preserve">F15</x:t>
        </x:is>
      </x:c>
      <x:c r="B605" s="20" t="inlineStr">
        <x:is>
          <x:t xml:space="preserve">Khoản giữ treo / tài chính ngoại lệ</x:t>
        </x:is>
      </x:c>
      <x:c r="C605" s="20" t="inlineStr">
        <x:is>
          <x:t xml:space="preserve">PLAN-008</x:t>
        </x:is>
      </x:c>
      <x:c r="D605" s="20" t="inlineStr">
        <x:is>
          <x:t xml:space="preserve">Q02: pending đợt này; bắt buộc trước tiền thật</x:t>
        </x:is>
      </x:c>
      <x:c r="E605" s="20" t="inlineStr">
        <x:is>
          <x:t xml:space="preserve">Khi chức năng hoặc hợp đồng kỹ thuật đổi</x:t>
        </x:is>
      </x:c>
      <x:c r="F605" s="20" t="inlineStr">
        <x:is>
          <x:t xml:space="preserve">Cập nhật nguồn JSON/MD/OpenAPI/DDL tương ứng, tái tạo viewer/ZIP và ghi kiểm chứng</x:t>
        </x:is>
      </x:c>
    </x:row>
    <x:row r="606" ht="52" customHeight="1">
      <x:c r="A606" s="20" t="inlineStr">
        <x:is>
          <x:t xml:space="preserve">F15</x:t>
        </x:is>
      </x:c>
      <x:c r="B606" s="20" t="inlineStr">
        <x:is>
          <x:t xml:space="preserve">Khoản giữ treo / tài chính ngoại lệ</x:t>
        </x:is>
      </x:c>
      <x:c r="C606" s="20" t="inlineStr">
        <x:is>
          <x:t xml:space="preserve">DOC-037</x:t>
        </x:is>
      </x:c>
      <x:c r="D606" s="20" t="inlineStr">
        <x:is>
          <x:t xml:space="preserve">Q02: pending đợt này; bắt buộc trước tiền thật</x:t>
        </x:is>
      </x:c>
      <x:c r="E606" s="20" t="inlineStr">
        <x:is>
          <x:t xml:space="preserve">Khi chức năng hoặc hợp đồng kỹ thuật đổi</x:t>
        </x:is>
      </x:c>
      <x:c r="F606" s="20" t="inlineStr">
        <x:is>
          <x:t xml:space="preserve">Cập nhật nguồn JSON/MD/OpenAPI/DDL tương ứng, tái tạo viewer/ZIP và ghi kiểm chứng</x:t>
        </x:is>
      </x:c>
    </x:row>
    <x:row r="607" ht="52" customHeight="1">
      <x:c r="A607" s="20" t="inlineStr">
        <x:is>
          <x:t xml:space="preserve">F15</x:t>
        </x:is>
      </x:c>
      <x:c r="B607" s="20" t="inlineStr">
        <x:is>
          <x:t xml:space="preserve">Khoản giữ treo / tài chính ngoại lệ</x:t>
        </x:is>
      </x:c>
      <x:c r="C607" s="20" t="inlineStr">
        <x:is>
          <x:t xml:space="preserve">DOC-038</x:t>
        </x:is>
      </x:c>
      <x:c r="D607" s="20" t="inlineStr">
        <x:is>
          <x:t xml:space="preserve">Q02: pending đợt này; bắt buộc trước tiền thật</x:t>
        </x:is>
      </x:c>
      <x:c r="E607" s="20" t="inlineStr">
        <x:is>
          <x:t xml:space="preserve">Khi chức năng hoặc hợp đồng kỹ thuật đổi</x:t>
        </x:is>
      </x:c>
      <x:c r="F607" s="20" t="inlineStr">
        <x:is>
          <x:t xml:space="preserve">Cập nhật nguồn JSON/MD/OpenAPI/DDL tương ứng, tái tạo viewer/ZIP và ghi kiểm chứng</x:t>
        </x:is>
      </x:c>
    </x:row>
    <x:row r="608" ht="52" customHeight="1">
      <x:c r="A608" s="20" t="inlineStr">
        <x:is>
          <x:t xml:space="preserve">F15</x:t>
        </x:is>
      </x:c>
      <x:c r="B608" s="20" t="inlineStr">
        <x:is>
          <x:t xml:space="preserve">Khoản giữ treo / tài chính ngoại lệ</x:t>
        </x:is>
      </x:c>
      <x:c r="C608" s="20" t="inlineStr">
        <x:is>
          <x:t xml:space="preserve">DOC-039</x:t>
        </x:is>
      </x:c>
      <x:c r="D608" s="20" t="inlineStr">
        <x:is>
          <x:t xml:space="preserve">Q02: pending đợt này; bắt buộc trước tiền thật</x:t>
        </x:is>
      </x:c>
      <x:c r="E608" s="20" t="inlineStr">
        <x:is>
          <x:t xml:space="preserve">Khi chức năng hoặc hợp đồng kỹ thuật đổi</x:t>
        </x:is>
      </x:c>
      <x:c r="F608" s="20" t="inlineStr">
        <x:is>
          <x:t xml:space="preserve">Cập nhật nguồn JSON/MD/OpenAPI/DDL tương ứng, tái tạo viewer/ZIP và ghi kiểm chứng</x:t>
        </x:is>
      </x:c>
    </x:row>
    <x:row r="609" ht="52" customHeight="1">
      <x:c r="A609" s="20" t="inlineStr">
        <x:is>
          <x:t xml:space="preserve">F15</x:t>
        </x:is>
      </x:c>
      <x:c r="B609" s="20" t="inlineStr">
        <x:is>
          <x:t xml:space="preserve">Khoản giữ treo / tài chính ngoại lệ</x:t>
        </x:is>
      </x:c>
      <x:c r="C609" s="20" t="inlineStr">
        <x:is>
          <x:t xml:space="preserve">DOC-040</x:t>
        </x:is>
      </x:c>
      <x:c r="D609" s="20" t="inlineStr">
        <x:is>
          <x:t xml:space="preserve">Q02: pending đợt này; bắt buộc trước tiền thật</x:t>
        </x:is>
      </x:c>
      <x:c r="E609" s="20" t="inlineStr">
        <x:is>
          <x:t xml:space="preserve">Khi chức năng hoặc hợp đồng kỹ thuật đổi</x:t>
        </x:is>
      </x:c>
      <x:c r="F609" s="20" t="inlineStr">
        <x:is>
          <x:t xml:space="preserve">Cập nhật nguồn JSON/MD/OpenAPI/DDL tương ứng, tái tạo viewer/ZIP và ghi kiểm chứng</x:t>
        </x:is>
      </x:c>
    </x:row>
    <x:row r="610" ht="52" customHeight="1">
      <x:c r="A610" s="20" t="inlineStr">
        <x:is>
          <x:t xml:space="preserve">F15</x:t>
        </x:is>
      </x:c>
      <x:c r="B610" s="20" t="inlineStr">
        <x:is>
          <x:t xml:space="preserve">Khoản giữ treo / tài chính ngoại lệ</x:t>
        </x:is>
      </x:c>
      <x:c r="C610" s="20" t="inlineStr">
        <x:is>
          <x:t xml:space="preserve">DOC-041</x:t>
        </x:is>
      </x:c>
      <x:c r="D610" s="20" t="inlineStr">
        <x:is>
          <x:t xml:space="preserve">Q02: pending đợt này; bắt buộc trước tiền thật</x:t>
        </x:is>
      </x:c>
      <x:c r="E610" s="20" t="inlineStr">
        <x:is>
          <x:t xml:space="preserve">Khi chức năng hoặc hợp đồng kỹ thuật đổi</x:t>
        </x:is>
      </x:c>
      <x:c r="F610" s="20" t="inlineStr">
        <x:is>
          <x:t xml:space="preserve">Cập nhật nguồn JSON/MD/OpenAPI/DDL tương ứng, tái tạo viewer/ZIP và ghi kiểm chứng</x:t>
        </x:is>
      </x:c>
    </x:row>
    <x:row r="611" ht="52" customHeight="1">
      <x:c r="A611" s="20" t="inlineStr">
        <x:is>
          <x:t xml:space="preserve">F15</x:t>
        </x:is>
      </x:c>
      <x:c r="B611" s="20" t="inlineStr">
        <x:is>
          <x:t xml:space="preserve">Khoản giữ treo / tài chính ngoại lệ</x:t>
        </x:is>
      </x:c>
      <x:c r="C611" s="20" t="inlineStr">
        <x:is>
          <x:t xml:space="preserve">DOC-042</x:t>
        </x:is>
      </x:c>
      <x:c r="D611" s="20" t="inlineStr">
        <x:is>
          <x:t xml:space="preserve">Q02: pending đợt này; bắt buộc trước tiền thật</x:t>
        </x:is>
      </x:c>
      <x:c r="E611" s="20" t="inlineStr">
        <x:is>
          <x:t xml:space="preserve">Khi chức năng hoặc hợp đồng kỹ thuật đổi</x:t>
        </x:is>
      </x:c>
      <x:c r="F611" s="20" t="inlineStr">
        <x:is>
          <x:t xml:space="preserve">Cập nhật nguồn JSON/MD/OpenAPI/DDL tương ứng, tái tạo viewer/ZIP và ghi kiểm chứng</x:t>
        </x:is>
      </x:c>
    </x:row>
    <x:row r="612" ht="52" customHeight="1">
      <x:c r="A612" s="20" t="inlineStr">
        <x:is>
          <x:t xml:space="preserve">F15</x:t>
        </x:is>
      </x:c>
      <x:c r="B612" s="20" t="inlineStr">
        <x:is>
          <x:t xml:space="preserve">Khoản giữ treo / tài chính ngoại lệ</x:t>
        </x:is>
      </x:c>
      <x:c r="C612" s="20" t="inlineStr">
        <x:is>
          <x:t xml:space="preserve">DOC-043</x:t>
        </x:is>
      </x:c>
      <x:c r="D612" s="20" t="inlineStr">
        <x:is>
          <x:t xml:space="preserve">Q02: pending đợt này; bắt buộc trước tiền thật</x:t>
        </x:is>
      </x:c>
      <x:c r="E612" s="20" t="inlineStr">
        <x:is>
          <x:t xml:space="preserve">Khi chức năng hoặc hợp đồng kỹ thuật đổi</x:t>
        </x:is>
      </x:c>
      <x:c r="F612" s="20" t="inlineStr">
        <x:is>
          <x:t xml:space="preserve">Cập nhật nguồn JSON/MD/OpenAPI/DDL tương ứng, tái tạo viewer/ZIP và ghi kiểm chứng</x:t>
        </x:is>
      </x:c>
    </x:row>
    <x:row r="613" ht="52" customHeight="1">
      <x:c r="A613" s="20" t="inlineStr">
        <x:is>
          <x:t xml:space="preserve">F15</x:t>
        </x:is>
      </x:c>
      <x:c r="B613" s="20" t="inlineStr">
        <x:is>
          <x:t xml:space="preserve">Khoản giữ treo / tài chính ngoại lệ</x:t>
        </x:is>
      </x:c>
      <x:c r="C613" s="20" t="inlineStr">
        <x:is>
          <x:t xml:space="preserve">DOC-044</x:t>
        </x:is>
      </x:c>
      <x:c r="D613" s="20" t="inlineStr">
        <x:is>
          <x:t xml:space="preserve">Q02: pending đợt này; bắt buộc trước tiền thật</x:t>
        </x:is>
      </x:c>
      <x:c r="E613" s="20" t="inlineStr">
        <x:is>
          <x:t xml:space="preserve">Khi chức năng hoặc hợp đồng kỹ thuật đổi</x:t>
        </x:is>
      </x:c>
      <x:c r="F613" s="20" t="inlineStr">
        <x:is>
          <x:t xml:space="preserve">Cập nhật nguồn JSON/MD/OpenAPI/DDL tương ứng, tái tạo viewer/ZIP và ghi kiểm chứng</x:t>
        </x:is>
      </x:c>
    </x:row>
    <x:row r="614" ht="52" customHeight="1">
      <x:c r="A614" s="20" t="inlineStr">
        <x:is>
          <x:t xml:space="preserve">F15</x:t>
        </x:is>
      </x:c>
      <x:c r="B614" s="20" t="inlineStr">
        <x:is>
          <x:t xml:space="preserve">Khoản giữ treo / tài chính ngoại lệ</x:t>
        </x:is>
      </x:c>
      <x:c r="C614" s="20" t="inlineStr">
        <x:is>
          <x:t xml:space="preserve">DOC-045</x:t>
        </x:is>
      </x:c>
      <x:c r="D614" s="20" t="inlineStr">
        <x:is>
          <x:t xml:space="preserve">Q02: pending đợt này; bắt buộc trước tiền thật</x:t>
        </x:is>
      </x:c>
      <x:c r="E614" s="20" t="inlineStr">
        <x:is>
          <x:t xml:space="preserve">Khi chức năng hoặc hợp đồng kỹ thuật đổi</x:t>
        </x:is>
      </x:c>
      <x:c r="F614" s="20" t="inlineStr">
        <x:is>
          <x:t xml:space="preserve">Cập nhật nguồn JSON/MD/OpenAPI/DDL tương ứng, tái tạo viewer/ZIP và ghi kiểm chứng</x:t>
        </x:is>
      </x:c>
    </x:row>
    <x:row r="615" ht="52" customHeight="1">
      <x:c r="A615" s="20" t="inlineStr">
        <x:is>
          <x:t xml:space="preserve">F15</x:t>
        </x:is>
      </x:c>
      <x:c r="B615" s="20" t="inlineStr">
        <x:is>
          <x:t xml:space="preserve">Khoản giữ treo / tài chính ngoại lệ</x:t>
        </x:is>
      </x:c>
      <x:c r="C615" s="20" t="inlineStr">
        <x:is>
          <x:t xml:space="preserve">DOC-046</x:t>
        </x:is>
      </x:c>
      <x:c r="D615" s="20" t="inlineStr">
        <x:is>
          <x:t xml:space="preserve">Q02: pending đợt này; bắt buộc trước tiền thật</x:t>
        </x:is>
      </x:c>
      <x:c r="E615" s="20" t="inlineStr">
        <x:is>
          <x:t xml:space="preserve">Khi chức năng hoặc hợp đồng kỹ thuật đổi</x:t>
        </x:is>
      </x:c>
      <x:c r="F615" s="20" t="inlineStr">
        <x:is>
          <x:t xml:space="preserve">Cập nhật nguồn JSON/MD/OpenAPI/DDL tương ứng, tái tạo viewer/ZIP và ghi kiểm chứng</x:t>
        </x:is>
      </x:c>
    </x:row>
    <x:row r="616" ht="52" customHeight="1">
      <x:c r="A616" s="20" t="inlineStr">
        <x:is>
          <x:t xml:space="preserve">F15</x:t>
        </x:is>
      </x:c>
      <x:c r="B616" s="20" t="inlineStr">
        <x:is>
          <x:t xml:space="preserve">Khoản giữ treo / tài chính ngoại lệ</x:t>
        </x:is>
      </x:c>
      <x:c r="C616" s="20" t="inlineStr">
        <x:is>
          <x:t xml:space="preserve">DOC-047</x:t>
        </x:is>
      </x:c>
      <x:c r="D616" s="20" t="inlineStr">
        <x:is>
          <x:t xml:space="preserve">Q02: pending đợt này; bắt buộc trước tiền thật</x:t>
        </x:is>
      </x:c>
      <x:c r="E616" s="20" t="inlineStr">
        <x:is>
          <x:t xml:space="preserve">Khi chức năng hoặc hợp đồng kỹ thuật đổi</x:t>
        </x:is>
      </x:c>
      <x:c r="F616" s="20" t="inlineStr">
        <x:is>
          <x:t xml:space="preserve">Cập nhật nguồn JSON/MD/OpenAPI/DDL tương ứng, tái tạo viewer/ZIP và ghi kiểm chứng</x:t>
        </x:is>
      </x:c>
    </x:row>
    <x:row r="617" ht="52" customHeight="1">
      <x:c r="A617" s="20" t="inlineStr">
        <x:is>
          <x:t xml:space="preserve">F15</x:t>
        </x:is>
      </x:c>
      <x:c r="B617" s="20" t="inlineStr">
        <x:is>
          <x:t xml:space="preserve">Khoản giữ treo / tài chính ngoại lệ</x:t>
        </x:is>
      </x:c>
      <x:c r="C617" s="20" t="inlineStr">
        <x:is>
          <x:t xml:space="preserve">DOC-048</x:t>
        </x:is>
      </x:c>
      <x:c r="D617" s="20" t="inlineStr">
        <x:is>
          <x:t xml:space="preserve">Q02: pending đợt này; bắt buộc trước tiền thật</x:t>
        </x:is>
      </x:c>
      <x:c r="E617" s="20" t="inlineStr">
        <x:is>
          <x:t xml:space="preserve">Khi chức năng hoặc hợp đồng kỹ thuật đổi</x:t>
        </x:is>
      </x:c>
      <x:c r="F617" s="20" t="inlineStr">
        <x:is>
          <x:t xml:space="preserve">Cập nhật nguồn JSON/MD/OpenAPI/DDL tương ứng, tái tạo viewer/ZIP và ghi kiểm chứng</x:t>
        </x:is>
      </x:c>
    </x:row>
    <x:row r="618" ht="52" customHeight="1">
      <x:c r="A618" s="20" t="inlineStr">
        <x:is>
          <x:t xml:space="preserve">F16</x:t>
        </x:is>
      </x:c>
      <x:c r="B618" s="20" t="inlineStr">
        <x:is>
          <x:t xml:space="preserve">Admin / kiểm duyệt / báo cáo / audit</x:t>
        </x:is>
      </x:c>
      <x:c r="C618" s="20" t="inlineStr">
        <x:is>
          <x:t xml:space="preserve">PLAN-001</x:t>
        </x:is>
      </x:c>
      <x:c r="D618" s="20" t="inlineStr">
        <x:is>
          <x:t xml:space="preserve">Kiểm chứng quyền và dữ liệu, không đọc chat riêng</x:t>
        </x:is>
      </x:c>
      <x:c r="E618" s="20" t="inlineStr">
        <x:is>
          <x:t xml:space="preserve">Khi chức năng hoặc hợp đồng kỹ thuật đổi</x:t>
        </x:is>
      </x:c>
      <x:c r="F618" s="20" t="inlineStr">
        <x:is>
          <x:t xml:space="preserve">Cập nhật nguồn JSON/MD/OpenAPI/DDL tương ứng, tái tạo viewer/ZIP và ghi kiểm chứng</x:t>
        </x:is>
      </x:c>
    </x:row>
    <x:row r="619" ht="52" customHeight="1">
      <x:c r="A619" s="20" t="inlineStr">
        <x:is>
          <x:t xml:space="preserve">F16</x:t>
        </x:is>
      </x:c>
      <x:c r="B619" s="20" t="inlineStr">
        <x:is>
          <x:t xml:space="preserve">Admin / kiểm duyệt / báo cáo / audit</x:t>
        </x:is>
      </x:c>
      <x:c r="C619" s="20" t="inlineStr">
        <x:is>
          <x:t xml:space="preserve">PLAN-002</x:t>
        </x:is>
      </x:c>
      <x:c r="D619" s="20" t="inlineStr">
        <x:is>
          <x:t xml:space="preserve">Kiểm chứng quyền và dữ liệu, không đọc chat riêng</x:t>
        </x:is>
      </x:c>
      <x:c r="E619" s="20" t="inlineStr">
        <x:is>
          <x:t xml:space="preserve">Khi chức năng hoặc hợp đồng kỹ thuật đổi</x:t>
        </x:is>
      </x:c>
      <x:c r="F619" s="20" t="inlineStr">
        <x:is>
          <x:t xml:space="preserve">Cập nhật nguồn JSON/MD/OpenAPI/DDL tương ứng, tái tạo viewer/ZIP và ghi kiểm chứng</x:t>
        </x:is>
      </x:c>
    </x:row>
    <x:row r="620" ht="52" customHeight="1">
      <x:c r="A620" s="20" t="inlineStr">
        <x:is>
          <x:t xml:space="preserve">F16</x:t>
        </x:is>
      </x:c>
      <x:c r="B620" s="20" t="inlineStr">
        <x:is>
          <x:t xml:space="preserve">Admin / kiểm duyệt / báo cáo / audit</x:t>
        </x:is>
      </x:c>
      <x:c r="C620" s="20" t="inlineStr">
        <x:is>
          <x:t xml:space="preserve">PLAN-003</x:t>
        </x:is>
      </x:c>
      <x:c r="D620" s="20" t="inlineStr">
        <x:is>
          <x:t xml:space="preserve">Kiểm chứng quyền và dữ liệu, không đọc chat riêng</x:t>
        </x:is>
      </x:c>
      <x:c r="E620" s="20" t="inlineStr">
        <x:is>
          <x:t xml:space="preserve">Khi chức năng hoặc hợp đồng kỹ thuật đổi</x:t>
        </x:is>
      </x:c>
      <x:c r="F620" s="20" t="inlineStr">
        <x:is>
          <x:t xml:space="preserve">Cập nhật nguồn JSON/MD/OpenAPI/DDL tương ứng, tái tạo viewer/ZIP và ghi kiểm chứng</x:t>
        </x:is>
      </x:c>
    </x:row>
    <x:row r="621" ht="52" customHeight="1">
      <x:c r="A621" s="20" t="inlineStr">
        <x:is>
          <x:t xml:space="preserve">F16</x:t>
        </x:is>
      </x:c>
      <x:c r="B621" s="20" t="inlineStr">
        <x:is>
          <x:t xml:space="preserve">Admin / kiểm duyệt / báo cáo / audit</x:t>
        </x:is>
      </x:c>
      <x:c r="C621" s="20" t="inlineStr">
        <x:is>
          <x:t xml:space="preserve">PLAN-008</x:t>
        </x:is>
      </x:c>
      <x:c r="D621" s="20" t="inlineStr">
        <x:is>
          <x:t xml:space="preserve">Kiểm chứng quyền và dữ liệu, không đọc chat riêng</x:t>
        </x:is>
      </x:c>
      <x:c r="E621" s="20" t="inlineStr">
        <x:is>
          <x:t xml:space="preserve">Khi chức năng hoặc hợp đồng kỹ thuật đổi</x:t>
        </x:is>
      </x:c>
      <x:c r="F621" s="20" t="inlineStr">
        <x:is>
          <x:t xml:space="preserve">Cập nhật nguồn JSON/MD/OpenAPI/DDL tương ứng, tái tạo viewer/ZIP và ghi kiểm chứng</x:t>
        </x:is>
      </x:c>
    </x:row>
    <x:row r="622" ht="52" customHeight="1">
      <x:c r="A622" s="20" t="inlineStr">
        <x:is>
          <x:t xml:space="preserve">F16</x:t>
        </x:is>
      </x:c>
      <x:c r="B622" s="20" t="inlineStr">
        <x:is>
          <x:t xml:space="preserve">Admin / kiểm duyệt / báo cáo / audit</x:t>
        </x:is>
      </x:c>
      <x:c r="C622" s="20" t="inlineStr">
        <x:is>
          <x:t xml:space="preserve">DOC-037</x:t>
        </x:is>
      </x:c>
      <x:c r="D622" s="20" t="inlineStr">
        <x:is>
          <x:t xml:space="preserve">Kiểm chứng quyền và dữ liệu, không đọc chat riêng</x:t>
        </x:is>
      </x:c>
      <x:c r="E622" s="20" t="inlineStr">
        <x:is>
          <x:t xml:space="preserve">Khi chức năng hoặc hợp đồng kỹ thuật đổi</x:t>
        </x:is>
      </x:c>
      <x:c r="F622" s="20" t="inlineStr">
        <x:is>
          <x:t xml:space="preserve">Cập nhật nguồn JSON/MD/OpenAPI/DDL tương ứng, tái tạo viewer/ZIP và ghi kiểm chứng</x:t>
        </x:is>
      </x:c>
    </x:row>
    <x:row r="623" ht="52" customHeight="1">
      <x:c r="A623" s="20" t="inlineStr">
        <x:is>
          <x:t xml:space="preserve">F16</x:t>
        </x:is>
      </x:c>
      <x:c r="B623" s="20" t="inlineStr">
        <x:is>
          <x:t xml:space="preserve">Admin / kiểm duyệt / báo cáo / audit</x:t>
        </x:is>
      </x:c>
      <x:c r="C623" s="20" t="inlineStr">
        <x:is>
          <x:t xml:space="preserve">DOC-038</x:t>
        </x:is>
      </x:c>
      <x:c r="D623" s="20" t="inlineStr">
        <x:is>
          <x:t xml:space="preserve">Kiểm chứng quyền và dữ liệu, không đọc chat riêng</x:t>
        </x:is>
      </x:c>
      <x:c r="E623" s="20" t="inlineStr">
        <x:is>
          <x:t xml:space="preserve">Khi chức năng hoặc hợp đồng kỹ thuật đổi</x:t>
        </x:is>
      </x:c>
      <x:c r="F623" s="20" t="inlineStr">
        <x:is>
          <x:t xml:space="preserve">Cập nhật nguồn JSON/MD/OpenAPI/DDL tương ứng, tái tạo viewer/ZIP và ghi kiểm chứng</x:t>
        </x:is>
      </x:c>
    </x:row>
    <x:row r="624" ht="52" customHeight="1">
      <x:c r="A624" s="20" t="inlineStr">
        <x:is>
          <x:t xml:space="preserve">F16</x:t>
        </x:is>
      </x:c>
      <x:c r="B624" s="20" t="inlineStr">
        <x:is>
          <x:t xml:space="preserve">Admin / kiểm duyệt / báo cáo / audit</x:t>
        </x:is>
      </x:c>
      <x:c r="C624" s="20" t="inlineStr">
        <x:is>
          <x:t xml:space="preserve">DOC-039</x:t>
        </x:is>
      </x:c>
      <x:c r="D624" s="20" t="inlineStr">
        <x:is>
          <x:t xml:space="preserve">Kiểm chứng quyền và dữ liệu, không đọc chat riêng</x:t>
        </x:is>
      </x:c>
      <x:c r="E624" s="20" t="inlineStr">
        <x:is>
          <x:t xml:space="preserve">Khi chức năng hoặc hợp đồng kỹ thuật đổi</x:t>
        </x:is>
      </x:c>
      <x:c r="F624" s="20" t="inlineStr">
        <x:is>
          <x:t xml:space="preserve">Cập nhật nguồn JSON/MD/OpenAPI/DDL tương ứng, tái tạo viewer/ZIP và ghi kiểm chứng</x:t>
        </x:is>
      </x:c>
    </x:row>
    <x:row r="625" ht="52" customHeight="1">
      <x:c r="A625" s="20" t="inlineStr">
        <x:is>
          <x:t xml:space="preserve">F16</x:t>
        </x:is>
      </x:c>
      <x:c r="B625" s="20" t="inlineStr">
        <x:is>
          <x:t xml:space="preserve">Admin / kiểm duyệt / báo cáo / audit</x:t>
        </x:is>
      </x:c>
      <x:c r="C625" s="20" t="inlineStr">
        <x:is>
          <x:t xml:space="preserve">DOC-040</x:t>
        </x:is>
      </x:c>
      <x:c r="D625" s="20" t="inlineStr">
        <x:is>
          <x:t xml:space="preserve">Kiểm chứng quyền và dữ liệu, không đọc chat riêng</x:t>
        </x:is>
      </x:c>
      <x:c r="E625" s="20" t="inlineStr">
        <x:is>
          <x:t xml:space="preserve">Khi chức năng hoặc hợp đồng kỹ thuật đổi</x:t>
        </x:is>
      </x:c>
      <x:c r="F625" s="20" t="inlineStr">
        <x:is>
          <x:t xml:space="preserve">Cập nhật nguồn JSON/MD/OpenAPI/DDL tương ứng, tái tạo viewer/ZIP và ghi kiểm chứng</x:t>
        </x:is>
      </x:c>
    </x:row>
    <x:row r="626" ht="52" customHeight="1">
      <x:c r="A626" s="20" t="inlineStr">
        <x:is>
          <x:t xml:space="preserve">F16</x:t>
        </x:is>
      </x:c>
      <x:c r="B626" s="20" t="inlineStr">
        <x:is>
          <x:t xml:space="preserve">Admin / kiểm duyệt / báo cáo / audit</x:t>
        </x:is>
      </x:c>
      <x:c r="C626" s="20" t="inlineStr">
        <x:is>
          <x:t xml:space="preserve">DOC-041</x:t>
        </x:is>
      </x:c>
      <x:c r="D626" s="20" t="inlineStr">
        <x:is>
          <x:t xml:space="preserve">Kiểm chứng quyền và dữ liệu, không đọc chat riêng</x:t>
        </x:is>
      </x:c>
      <x:c r="E626" s="20" t="inlineStr">
        <x:is>
          <x:t xml:space="preserve">Khi chức năng hoặc hợp đồng kỹ thuật đổi</x:t>
        </x:is>
      </x:c>
      <x:c r="F626" s="20" t="inlineStr">
        <x:is>
          <x:t xml:space="preserve">Cập nhật nguồn JSON/MD/OpenAPI/DDL tương ứng, tái tạo viewer/ZIP và ghi kiểm chứng</x:t>
        </x:is>
      </x:c>
    </x:row>
    <x:row r="627" ht="52" customHeight="1">
      <x:c r="A627" s="20" t="inlineStr">
        <x:is>
          <x:t xml:space="preserve">F16</x:t>
        </x:is>
      </x:c>
      <x:c r="B627" s="20" t="inlineStr">
        <x:is>
          <x:t xml:space="preserve">Admin / kiểm duyệt / báo cáo / audit</x:t>
        </x:is>
      </x:c>
      <x:c r="C627" s="20" t="inlineStr">
        <x:is>
          <x:t xml:space="preserve">DOC-042</x:t>
        </x:is>
      </x:c>
      <x:c r="D627" s="20" t="inlineStr">
        <x:is>
          <x:t xml:space="preserve">Kiểm chứng quyền và dữ liệu, không đọc chat riêng</x:t>
        </x:is>
      </x:c>
      <x:c r="E627" s="20" t="inlineStr">
        <x:is>
          <x:t xml:space="preserve">Khi chức năng hoặc hợp đồng kỹ thuật đổi</x:t>
        </x:is>
      </x:c>
      <x:c r="F627" s="20" t="inlineStr">
        <x:is>
          <x:t xml:space="preserve">Cập nhật nguồn JSON/MD/OpenAPI/DDL tương ứng, tái tạo viewer/ZIP và ghi kiểm chứng</x:t>
        </x:is>
      </x:c>
    </x:row>
    <x:row r="628" ht="52" customHeight="1">
      <x:c r="A628" s="20" t="inlineStr">
        <x:is>
          <x:t xml:space="preserve">F16</x:t>
        </x:is>
      </x:c>
      <x:c r="B628" s="20" t="inlineStr">
        <x:is>
          <x:t xml:space="preserve">Admin / kiểm duyệt / báo cáo / audit</x:t>
        </x:is>
      </x:c>
      <x:c r="C628" s="20" t="inlineStr">
        <x:is>
          <x:t xml:space="preserve">DOC-043</x:t>
        </x:is>
      </x:c>
      <x:c r="D628" s="20" t="inlineStr">
        <x:is>
          <x:t xml:space="preserve">Kiểm chứng quyền và dữ liệu, không đọc chat riêng</x:t>
        </x:is>
      </x:c>
      <x:c r="E628" s="20" t="inlineStr">
        <x:is>
          <x:t xml:space="preserve">Khi chức năng hoặc hợp đồng kỹ thuật đổi</x:t>
        </x:is>
      </x:c>
      <x:c r="F628" s="20" t="inlineStr">
        <x:is>
          <x:t xml:space="preserve">Cập nhật nguồn JSON/MD/OpenAPI/DDL tương ứng, tái tạo viewer/ZIP và ghi kiểm chứng</x:t>
        </x:is>
      </x:c>
    </x:row>
    <x:row r="629" ht="52" customHeight="1">
      <x:c r="A629" s="20" t="inlineStr">
        <x:is>
          <x:t xml:space="preserve">F16</x:t>
        </x:is>
      </x:c>
      <x:c r="B629" s="20" t="inlineStr">
        <x:is>
          <x:t xml:space="preserve">Admin / kiểm duyệt / báo cáo / audit</x:t>
        </x:is>
      </x:c>
      <x:c r="C629" s="20" t="inlineStr">
        <x:is>
          <x:t xml:space="preserve">DOC-044</x:t>
        </x:is>
      </x:c>
      <x:c r="D629" s="20" t="inlineStr">
        <x:is>
          <x:t xml:space="preserve">Kiểm chứng quyền và dữ liệu, không đọc chat riêng</x:t>
        </x:is>
      </x:c>
      <x:c r="E629" s="20" t="inlineStr">
        <x:is>
          <x:t xml:space="preserve">Khi chức năng hoặc hợp đồng kỹ thuật đổi</x:t>
        </x:is>
      </x:c>
      <x:c r="F629" s="20" t="inlineStr">
        <x:is>
          <x:t xml:space="preserve">Cập nhật nguồn JSON/MD/OpenAPI/DDL tương ứng, tái tạo viewer/ZIP và ghi kiểm chứng</x:t>
        </x:is>
      </x:c>
    </x:row>
    <x:row r="630" ht="52" customHeight="1">
      <x:c r="A630" s="20" t="inlineStr">
        <x:is>
          <x:t xml:space="preserve">F16</x:t>
        </x:is>
      </x:c>
      <x:c r="B630" s="20" t="inlineStr">
        <x:is>
          <x:t xml:space="preserve">Admin / kiểm duyệt / báo cáo / audit</x:t>
        </x:is>
      </x:c>
      <x:c r="C630" s="20" t="inlineStr">
        <x:is>
          <x:t xml:space="preserve">DOC-045</x:t>
        </x:is>
      </x:c>
      <x:c r="D630" s="20" t="inlineStr">
        <x:is>
          <x:t xml:space="preserve">Kiểm chứng quyền và dữ liệu, không đọc chat riêng</x:t>
        </x:is>
      </x:c>
      <x:c r="E630" s="20" t="inlineStr">
        <x:is>
          <x:t xml:space="preserve">Khi chức năng hoặc hợp đồng kỹ thuật đổi</x:t>
        </x:is>
      </x:c>
      <x:c r="F630" s="20" t="inlineStr">
        <x:is>
          <x:t xml:space="preserve">Cập nhật nguồn JSON/MD/OpenAPI/DDL tương ứng, tái tạo viewer/ZIP và ghi kiểm chứng</x:t>
        </x:is>
      </x:c>
    </x:row>
    <x:row r="631" ht="52" customHeight="1">
      <x:c r="A631" s="20" t="inlineStr">
        <x:is>
          <x:t xml:space="preserve">F16</x:t>
        </x:is>
      </x:c>
      <x:c r="B631" s="20" t="inlineStr">
        <x:is>
          <x:t xml:space="preserve">Admin / kiểm duyệt / báo cáo / audit</x:t>
        </x:is>
      </x:c>
      <x:c r="C631" s="20" t="inlineStr">
        <x:is>
          <x:t xml:space="preserve">DOC-046</x:t>
        </x:is>
      </x:c>
      <x:c r="D631" s="20" t="inlineStr">
        <x:is>
          <x:t xml:space="preserve">Kiểm chứng quyền và dữ liệu, không đọc chat riêng</x:t>
        </x:is>
      </x:c>
      <x:c r="E631" s="20" t="inlineStr">
        <x:is>
          <x:t xml:space="preserve">Khi chức năng hoặc hợp đồng kỹ thuật đổi</x:t>
        </x:is>
      </x:c>
      <x:c r="F631" s="20" t="inlineStr">
        <x:is>
          <x:t xml:space="preserve">Cập nhật nguồn JSON/MD/OpenAPI/DDL tương ứng, tái tạo viewer/ZIP và ghi kiểm chứng</x:t>
        </x:is>
      </x:c>
    </x:row>
    <x:row r="632" ht="52" customHeight="1">
      <x:c r="A632" s="20" t="inlineStr">
        <x:is>
          <x:t xml:space="preserve">F16</x:t>
        </x:is>
      </x:c>
      <x:c r="B632" s="20" t="inlineStr">
        <x:is>
          <x:t xml:space="preserve">Admin / kiểm duyệt / báo cáo / audit</x:t>
        </x:is>
      </x:c>
      <x:c r="C632" s="20" t="inlineStr">
        <x:is>
          <x:t xml:space="preserve">DOC-047</x:t>
        </x:is>
      </x:c>
      <x:c r="D632" s="20" t="inlineStr">
        <x:is>
          <x:t xml:space="preserve">Kiểm chứng quyền và dữ liệu, không đọc chat riêng</x:t>
        </x:is>
      </x:c>
      <x:c r="E632" s="20" t="inlineStr">
        <x:is>
          <x:t xml:space="preserve">Khi chức năng hoặc hợp đồng kỹ thuật đổi</x:t>
        </x:is>
      </x:c>
      <x:c r="F632" s="20" t="inlineStr">
        <x:is>
          <x:t xml:space="preserve">Cập nhật nguồn JSON/MD/OpenAPI/DDL tương ứng, tái tạo viewer/ZIP và ghi kiểm chứng</x:t>
        </x:is>
      </x:c>
    </x:row>
    <x:row r="633" ht="52" customHeight="1">
      <x:c r="A633" s="20" t="inlineStr">
        <x:is>
          <x:t xml:space="preserve">F16</x:t>
        </x:is>
      </x:c>
      <x:c r="B633" s="20" t="inlineStr">
        <x:is>
          <x:t xml:space="preserve">Admin / kiểm duyệt / báo cáo / audit</x:t>
        </x:is>
      </x:c>
      <x:c r="C633" s="20" t="inlineStr">
        <x:is>
          <x:t xml:space="preserve">DOC-048</x:t>
        </x:is>
      </x:c>
      <x:c r="D633" s="20" t="inlineStr">
        <x:is>
          <x:t xml:space="preserve">Kiểm chứng quyền và dữ liệu, không đọc chat riêng</x:t>
        </x:is>
      </x:c>
      <x:c r="E633" s="20" t="inlineStr">
        <x:is>
          <x:t xml:space="preserve">Khi chức năng hoặc hợp đồng kỹ thuật đổi</x:t>
        </x:is>
      </x:c>
      <x:c r="F633" s="20" t="inlineStr">
        <x:is>
          <x:t xml:space="preserve">Cập nhật nguồn JSON/MD/OpenAPI/DDL tương ứng, tái tạo viewer/ZIP và ghi kiểm chứng</x:t>
        </x:is>
      </x:c>
    </x:row>
    <x:row r="634" ht="52" customHeight="1">
      <x:c r="A634" s="20" t="inlineStr">
        <x:is>
          <x:t xml:space="preserve">F17</x:t>
        </x:is>
      </x:c>
      <x:c r="B634" s="20" t="inlineStr">
        <x:is>
          <x:t xml:space="preserve">App / web / ngôn ngữ</x:t>
        </x:is>
      </x:c>
      <x:c r="C634" s="20" t="inlineStr">
        <x:is>
          <x:t xml:space="preserve">PLAN-001</x:t>
        </x:is>
      </x:c>
      <x:c r="D634" s="20" t="inlineStr">
        <x:is>
          <x:t xml:space="preserve">I18N-04: tên danh mục VI/EN/JA; tìm kiếm đa ngôn ngữ và locale tài khoản triển khai riêng.</x:t>
        </x:is>
      </x:c>
      <x:c r="E634" s="20" t="inlineStr">
        <x:is>
          <x:t xml:space="preserve">Khi chức năng hoặc hợp đồng kỹ thuật đổi</x:t>
        </x:is>
      </x:c>
      <x:c r="F634" s="20" t="inlineStr">
        <x:is>
          <x:t xml:space="preserve">Cập nhật nguồn JSON/MD/OpenAPI/DDL tương ứng, tái tạo viewer/ZIP và ghi kiểm chứng</x:t>
        </x:is>
      </x:c>
    </x:row>
    <x:row r="635" ht="52" customHeight="1">
      <x:c r="A635" s="20" t="inlineStr">
        <x:is>
          <x:t xml:space="preserve">F17</x:t>
        </x:is>
      </x:c>
      <x:c r="B635" s="20" t="inlineStr">
        <x:is>
          <x:t xml:space="preserve">App / web / ngôn ngữ</x:t>
        </x:is>
      </x:c>
      <x:c r="C635" s="20" t="inlineStr">
        <x:is>
          <x:t xml:space="preserve">PLAN-002</x:t>
        </x:is>
      </x:c>
      <x:c r="D635" s="20" t="inlineStr">
        <x:is>
          <x:t xml:space="preserve">I18N-04: tên danh mục VI/EN/JA; tìm kiếm đa ngôn ngữ và locale tài khoản triển khai riêng.</x:t>
        </x:is>
      </x:c>
      <x:c r="E635" s="20" t="inlineStr">
        <x:is>
          <x:t xml:space="preserve">Khi chức năng hoặc hợp đồng kỹ thuật đổi</x:t>
        </x:is>
      </x:c>
      <x:c r="F635" s="20" t="inlineStr">
        <x:is>
          <x:t xml:space="preserve">Cập nhật nguồn JSON/MD/OpenAPI/DDL tương ứng, tái tạo viewer/ZIP và ghi kiểm chứng</x:t>
        </x:is>
      </x:c>
    </x:row>
    <x:row r="636" ht="52" customHeight="1">
      <x:c r="A636" s="20" t="inlineStr">
        <x:is>
          <x:t xml:space="preserve">F17</x:t>
        </x:is>
      </x:c>
      <x:c r="B636" s="20" t="inlineStr">
        <x:is>
          <x:t xml:space="preserve">App / web / ngôn ngữ</x:t>
        </x:is>
      </x:c>
      <x:c r="C636" s="20" t="inlineStr">
        <x:is>
          <x:t xml:space="preserve">PLAN-003</x:t>
        </x:is>
      </x:c>
      <x:c r="D636" s="20" t="inlineStr">
        <x:is>
          <x:t xml:space="preserve">I18N-04: tên danh mục VI/EN/JA; tìm kiếm đa ngôn ngữ và locale tài khoản triển khai riêng.</x:t>
        </x:is>
      </x:c>
      <x:c r="E636" s="20" t="inlineStr">
        <x:is>
          <x:t xml:space="preserve">Khi chức năng hoặc hợp đồng kỹ thuật đổi</x:t>
        </x:is>
      </x:c>
      <x:c r="F636" s="20" t="inlineStr">
        <x:is>
          <x:t xml:space="preserve">Cập nhật nguồn JSON/MD/OpenAPI/DDL tương ứng, tái tạo viewer/ZIP và ghi kiểm chứng</x:t>
        </x:is>
      </x:c>
    </x:row>
    <x:row r="637" ht="52" customHeight="1">
      <x:c r="A637" s="20" t="inlineStr">
        <x:is>
          <x:t xml:space="preserve">F17</x:t>
        </x:is>
      </x:c>
      <x:c r="B637" s="20" t="inlineStr">
        <x:is>
          <x:t xml:space="preserve">App / web / ngôn ngữ</x:t>
        </x:is>
      </x:c>
      <x:c r="C637" s="20" t="inlineStr">
        <x:is>
          <x:t xml:space="preserve">PLAN-008</x:t>
        </x:is>
      </x:c>
      <x:c r="D637" s="20" t="inlineStr">
        <x:is>
          <x:t xml:space="preserve">I18N-04: tên danh mục VI/EN/JA; tìm kiếm đa ngôn ngữ và locale tài khoản triển khai riêng.</x:t>
        </x:is>
      </x:c>
      <x:c r="E637" s="20" t="inlineStr">
        <x:is>
          <x:t xml:space="preserve">Khi chức năng hoặc hợp đồng kỹ thuật đổi</x:t>
        </x:is>
      </x:c>
      <x:c r="F637" s="20" t="inlineStr">
        <x:is>
          <x:t xml:space="preserve">Cập nhật nguồn JSON/MD/OpenAPI/DDL tương ứng, tái tạo viewer/ZIP và ghi kiểm chứng</x:t>
        </x:is>
      </x:c>
    </x:row>
    <x:row r="638" ht="52" customHeight="1">
      <x:c r="A638" s="20" t="inlineStr">
        <x:is>
          <x:t xml:space="preserve">F17</x:t>
        </x:is>
      </x:c>
      <x:c r="B638" s="20" t="inlineStr">
        <x:is>
          <x:t xml:space="preserve">App / web / ngôn ngữ</x:t>
        </x:is>
      </x:c>
      <x:c r="C638" s="20" t="inlineStr">
        <x:is>
          <x:t xml:space="preserve">DOC-037</x:t>
        </x:is>
      </x:c>
      <x:c r="D638" s="20" t="inlineStr">
        <x:is>
          <x:t xml:space="preserve">I18N-04: tên danh mục VI/EN/JA; tìm kiếm đa ngôn ngữ và locale tài khoản triển khai riêng.</x:t>
        </x:is>
      </x:c>
      <x:c r="E638" s="20" t="inlineStr">
        <x:is>
          <x:t xml:space="preserve">Khi chức năng hoặc hợp đồng kỹ thuật đổi</x:t>
        </x:is>
      </x:c>
      <x:c r="F638" s="20" t="inlineStr">
        <x:is>
          <x:t xml:space="preserve">Cập nhật nguồn JSON/MD/OpenAPI/DDL tương ứng, tái tạo viewer/ZIP và ghi kiểm chứng</x:t>
        </x:is>
      </x:c>
    </x:row>
    <x:row r="639" ht="52" customHeight="1">
      <x:c r="A639" s="20" t="inlineStr">
        <x:is>
          <x:t xml:space="preserve">F17</x:t>
        </x:is>
      </x:c>
      <x:c r="B639" s="20" t="inlineStr">
        <x:is>
          <x:t xml:space="preserve">App / web / ngôn ngữ</x:t>
        </x:is>
      </x:c>
      <x:c r="C639" s="20" t="inlineStr">
        <x:is>
          <x:t xml:space="preserve">DOC-038</x:t>
        </x:is>
      </x:c>
      <x:c r="D639" s="20" t="inlineStr">
        <x:is>
          <x:t xml:space="preserve">I18N-04: tên danh mục VI/EN/JA; tìm kiếm đa ngôn ngữ và locale tài khoản triển khai riêng.</x:t>
        </x:is>
      </x:c>
      <x:c r="E639" s="20" t="inlineStr">
        <x:is>
          <x:t xml:space="preserve">Khi chức năng hoặc hợp đồng kỹ thuật đổi</x:t>
        </x:is>
      </x:c>
      <x:c r="F639" s="20" t="inlineStr">
        <x:is>
          <x:t xml:space="preserve">Cập nhật nguồn JSON/MD/OpenAPI/DDL tương ứng, tái tạo viewer/ZIP và ghi kiểm chứng</x:t>
        </x:is>
      </x:c>
    </x:row>
    <x:row r="640" ht="52" customHeight="1">
      <x:c r="A640" s="20" t="inlineStr">
        <x:is>
          <x:t xml:space="preserve">F17</x:t>
        </x:is>
      </x:c>
      <x:c r="B640" s="20" t="inlineStr">
        <x:is>
          <x:t xml:space="preserve">App / web / ngôn ngữ</x:t>
        </x:is>
      </x:c>
      <x:c r="C640" s="20" t="inlineStr">
        <x:is>
          <x:t xml:space="preserve">DOC-039</x:t>
        </x:is>
      </x:c>
      <x:c r="D640" s="20" t="inlineStr">
        <x:is>
          <x:t xml:space="preserve">I18N-04: tên danh mục VI/EN/JA; tìm kiếm đa ngôn ngữ và locale tài khoản triển khai riêng.</x:t>
        </x:is>
      </x:c>
      <x:c r="E640" s="20" t="inlineStr">
        <x:is>
          <x:t xml:space="preserve">Khi chức năng hoặc hợp đồng kỹ thuật đổi</x:t>
        </x:is>
      </x:c>
      <x:c r="F640" s="20" t="inlineStr">
        <x:is>
          <x:t xml:space="preserve">Cập nhật nguồn JSON/MD/OpenAPI/DDL tương ứng, tái tạo viewer/ZIP và ghi kiểm chứng</x:t>
        </x:is>
      </x:c>
    </x:row>
    <x:row r="641" ht="52" customHeight="1">
      <x:c r="A641" s="20" t="inlineStr">
        <x:is>
          <x:t xml:space="preserve">F17</x:t>
        </x:is>
      </x:c>
      <x:c r="B641" s="20" t="inlineStr">
        <x:is>
          <x:t xml:space="preserve">App / web / ngôn ngữ</x:t>
        </x:is>
      </x:c>
      <x:c r="C641" s="20" t="inlineStr">
        <x:is>
          <x:t xml:space="preserve">DOC-040</x:t>
        </x:is>
      </x:c>
      <x:c r="D641" s="20" t="inlineStr">
        <x:is>
          <x:t xml:space="preserve">I18N-04: tên danh mục VI/EN/JA; tìm kiếm đa ngôn ngữ và locale tài khoản triển khai riêng.</x:t>
        </x:is>
      </x:c>
      <x:c r="E641" s="20" t="inlineStr">
        <x:is>
          <x:t xml:space="preserve">Khi chức năng hoặc hợp đồng kỹ thuật đổi</x:t>
        </x:is>
      </x:c>
      <x:c r="F641" s="20" t="inlineStr">
        <x:is>
          <x:t xml:space="preserve">Cập nhật nguồn JSON/MD/OpenAPI/DDL tương ứng, tái tạo viewer/ZIP và ghi kiểm chứng</x:t>
        </x:is>
      </x:c>
    </x:row>
    <x:row r="642" ht="52" customHeight="1">
      <x:c r="A642" s="20" t="inlineStr">
        <x:is>
          <x:t xml:space="preserve">F17</x:t>
        </x:is>
      </x:c>
      <x:c r="B642" s="20" t="inlineStr">
        <x:is>
          <x:t xml:space="preserve">App / web / ngôn ngữ</x:t>
        </x:is>
      </x:c>
      <x:c r="C642" s="20" t="inlineStr">
        <x:is>
          <x:t xml:space="preserve">DOC-041</x:t>
        </x:is>
      </x:c>
      <x:c r="D642" s="20" t="inlineStr">
        <x:is>
          <x:t xml:space="preserve">I18N-04: tên danh mục VI/EN/JA; tìm kiếm đa ngôn ngữ và locale tài khoản triển khai riêng.</x:t>
        </x:is>
      </x:c>
      <x:c r="E642" s="20" t="inlineStr">
        <x:is>
          <x:t xml:space="preserve">Khi chức năng hoặc hợp đồng kỹ thuật đổi</x:t>
        </x:is>
      </x:c>
      <x:c r="F642" s="20" t="inlineStr">
        <x:is>
          <x:t xml:space="preserve">Cập nhật nguồn JSON/MD/OpenAPI/DDL tương ứng, tái tạo viewer/ZIP và ghi kiểm chứng</x:t>
        </x:is>
      </x:c>
    </x:row>
    <x:row r="643" ht="52" customHeight="1">
      <x:c r="A643" s="20" t="inlineStr">
        <x:is>
          <x:t xml:space="preserve">F17</x:t>
        </x:is>
      </x:c>
      <x:c r="B643" s="20" t="inlineStr">
        <x:is>
          <x:t xml:space="preserve">App / web / ngôn ngữ</x:t>
        </x:is>
      </x:c>
      <x:c r="C643" s="20" t="inlineStr">
        <x:is>
          <x:t xml:space="preserve">DOC-042</x:t>
        </x:is>
      </x:c>
      <x:c r="D643" s="20" t="inlineStr">
        <x:is>
          <x:t xml:space="preserve">I18N-04: tên danh mục VI/EN/JA; tìm kiếm đa ngôn ngữ và locale tài khoản triển khai riêng.</x:t>
        </x:is>
      </x:c>
      <x:c r="E643" s="20" t="inlineStr">
        <x:is>
          <x:t xml:space="preserve">Khi chức năng hoặc hợp đồng kỹ thuật đổi</x:t>
        </x:is>
      </x:c>
      <x:c r="F643" s="20" t="inlineStr">
        <x:is>
          <x:t xml:space="preserve">Cập nhật nguồn JSON/MD/OpenAPI/DDL tương ứng, tái tạo viewer/ZIP và ghi kiểm chứng</x:t>
        </x:is>
      </x:c>
    </x:row>
    <x:row r="644" ht="52" customHeight="1">
      <x:c r="A644" s="20" t="inlineStr">
        <x:is>
          <x:t xml:space="preserve">F17</x:t>
        </x:is>
      </x:c>
      <x:c r="B644" s="20" t="inlineStr">
        <x:is>
          <x:t xml:space="preserve">App / web / ngôn ngữ</x:t>
        </x:is>
      </x:c>
      <x:c r="C644" s="20" t="inlineStr">
        <x:is>
          <x:t xml:space="preserve">DOC-043</x:t>
        </x:is>
      </x:c>
      <x:c r="D644" s="20" t="inlineStr">
        <x:is>
          <x:t xml:space="preserve">I18N-04: tên danh mục VI/EN/JA; tìm kiếm đa ngôn ngữ và locale tài khoản triển khai riêng.</x:t>
        </x:is>
      </x:c>
      <x:c r="E644" s="20" t="inlineStr">
        <x:is>
          <x:t xml:space="preserve">Khi chức năng hoặc hợp đồng kỹ thuật đổi</x:t>
        </x:is>
      </x:c>
      <x:c r="F644" s="20" t="inlineStr">
        <x:is>
          <x:t xml:space="preserve">Cập nhật nguồn JSON/MD/OpenAPI/DDL tương ứng, tái tạo viewer/ZIP và ghi kiểm chứng</x:t>
        </x:is>
      </x:c>
    </x:row>
    <x:row r="645" ht="52" customHeight="1">
      <x:c r="A645" s="20" t="inlineStr">
        <x:is>
          <x:t xml:space="preserve">F17</x:t>
        </x:is>
      </x:c>
      <x:c r="B645" s="20" t="inlineStr">
        <x:is>
          <x:t xml:space="preserve">App / web / ngôn ngữ</x:t>
        </x:is>
      </x:c>
      <x:c r="C645" s="20" t="inlineStr">
        <x:is>
          <x:t xml:space="preserve">DOC-044</x:t>
        </x:is>
      </x:c>
      <x:c r="D645" s="20" t="inlineStr">
        <x:is>
          <x:t xml:space="preserve">I18N-04: tên danh mục VI/EN/JA; tìm kiếm đa ngôn ngữ và locale tài khoản triển khai riêng.</x:t>
        </x:is>
      </x:c>
      <x:c r="E645" s="20" t="inlineStr">
        <x:is>
          <x:t xml:space="preserve">Khi chức năng hoặc hợp đồng kỹ thuật đổi</x:t>
        </x:is>
      </x:c>
      <x:c r="F645" s="20" t="inlineStr">
        <x:is>
          <x:t xml:space="preserve">Cập nhật nguồn JSON/MD/OpenAPI/DDL tương ứng, tái tạo viewer/ZIP và ghi kiểm chứng</x:t>
        </x:is>
      </x:c>
    </x:row>
    <x:row r="646" ht="52" customHeight="1">
      <x:c r="A646" s="20" t="inlineStr">
        <x:is>
          <x:t xml:space="preserve">F17</x:t>
        </x:is>
      </x:c>
      <x:c r="B646" s="20" t="inlineStr">
        <x:is>
          <x:t xml:space="preserve">App / web / ngôn ngữ</x:t>
        </x:is>
      </x:c>
      <x:c r="C646" s="20" t="inlineStr">
        <x:is>
          <x:t xml:space="preserve">DOC-045</x:t>
        </x:is>
      </x:c>
      <x:c r="D646" s="20" t="inlineStr">
        <x:is>
          <x:t xml:space="preserve">I18N-04: tên danh mục VI/EN/JA; tìm kiếm đa ngôn ngữ và locale tài khoản triển khai riêng.</x:t>
        </x:is>
      </x:c>
      <x:c r="E646" s="20" t="inlineStr">
        <x:is>
          <x:t xml:space="preserve">Khi chức năng hoặc hợp đồng kỹ thuật đổi</x:t>
        </x:is>
      </x:c>
      <x:c r="F646" s="20" t="inlineStr">
        <x:is>
          <x:t xml:space="preserve">Cập nhật nguồn JSON/MD/OpenAPI/DDL tương ứng, tái tạo viewer/ZIP và ghi kiểm chứng</x:t>
        </x:is>
      </x:c>
    </x:row>
    <x:row r="647" ht="52" customHeight="1">
      <x:c r="A647" s="20" t="inlineStr">
        <x:is>
          <x:t xml:space="preserve">F17</x:t>
        </x:is>
      </x:c>
      <x:c r="B647" s="20" t="inlineStr">
        <x:is>
          <x:t xml:space="preserve">App / web / ngôn ngữ</x:t>
        </x:is>
      </x:c>
      <x:c r="C647" s="20" t="inlineStr">
        <x:is>
          <x:t xml:space="preserve">DOC-046</x:t>
        </x:is>
      </x:c>
      <x:c r="D647" s="20" t="inlineStr">
        <x:is>
          <x:t xml:space="preserve">I18N-04: tên danh mục VI/EN/JA; tìm kiếm đa ngôn ngữ và locale tài khoản triển khai riêng.</x:t>
        </x:is>
      </x:c>
      <x:c r="E647" s="20" t="inlineStr">
        <x:is>
          <x:t xml:space="preserve">Khi chức năng hoặc hợp đồng kỹ thuật đổi</x:t>
        </x:is>
      </x:c>
      <x:c r="F647" s="20" t="inlineStr">
        <x:is>
          <x:t xml:space="preserve">Cập nhật nguồn JSON/MD/OpenAPI/DDL tương ứng, tái tạo viewer/ZIP và ghi kiểm chứng</x:t>
        </x:is>
      </x:c>
    </x:row>
    <x:row r="648" ht="52" customHeight="1">
      <x:c r="A648" s="20" t="inlineStr">
        <x:is>
          <x:t xml:space="preserve">F17</x:t>
        </x:is>
      </x:c>
      <x:c r="B648" s="20" t="inlineStr">
        <x:is>
          <x:t xml:space="preserve">App / web / ngôn ngữ</x:t>
        </x:is>
      </x:c>
      <x:c r="C648" s="20" t="inlineStr">
        <x:is>
          <x:t xml:space="preserve">DOC-047</x:t>
        </x:is>
      </x:c>
      <x:c r="D648" s="20" t="inlineStr">
        <x:is>
          <x:t xml:space="preserve">I18N-04: tên danh mục VI/EN/JA; tìm kiếm đa ngôn ngữ và locale tài khoản triển khai riêng.</x:t>
        </x:is>
      </x:c>
      <x:c r="E648" s="20" t="inlineStr">
        <x:is>
          <x:t xml:space="preserve">Khi chức năng hoặc hợp đồng kỹ thuật đổi</x:t>
        </x:is>
      </x:c>
      <x:c r="F648" s="20" t="inlineStr">
        <x:is>
          <x:t xml:space="preserve">Cập nhật nguồn JSON/MD/OpenAPI/DDL tương ứng, tái tạo viewer/ZIP và ghi kiểm chứng</x:t>
        </x:is>
      </x:c>
    </x:row>
    <x:row r="649" ht="52" customHeight="1">
      <x:c r="A649" s="20" t="inlineStr">
        <x:is>
          <x:t xml:space="preserve">F17</x:t>
        </x:is>
      </x:c>
      <x:c r="B649" s="20" t="inlineStr">
        <x:is>
          <x:t xml:space="preserve">App / web / ngôn ngữ</x:t>
        </x:is>
      </x:c>
      <x:c r="C649" s="20" t="inlineStr">
        <x:is>
          <x:t xml:space="preserve">DOC-048</x:t>
        </x:is>
      </x:c>
      <x:c r="D649" s="20" t="inlineStr">
        <x:is>
          <x:t xml:space="preserve">I18N-04: tên danh mục VI/EN/JA; tìm kiếm đa ngôn ngữ và locale tài khoản triển khai riêng.</x:t>
        </x:is>
      </x:c>
      <x:c r="E649" s="20" t="inlineStr">
        <x:is>
          <x:t xml:space="preserve">Khi chức năng hoặc hợp đồng kỹ thuật đổi</x:t>
        </x:is>
      </x:c>
      <x:c r="F649" s="20" t="inlineStr">
        <x:is>
          <x:t xml:space="preserve">Cập nhật nguồn JSON/MD/OpenAPI/DDL tương ứng, tái tạo viewer/ZIP và ghi kiểm chứng</x:t>
        </x:is>
      </x:c>
    </x:row>
    <x:row r="650" ht="52" customHeight="1">
      <x:c r="A650" s="20" t="inlineStr">
        <x:is>
          <x:t xml:space="preserve">F18</x:t>
        </x:is>
      </x:c>
      <x:c r="B650" s="20" t="inlineStr">
        <x:is>
          <x:t xml:space="preserve">Kiến trúc / ERD / API / test / deploy</x:t>
        </x:is>
      </x:c>
      <x:c r="C650" s="20" t="inlineStr">
        <x:is>
          <x:t xml:space="preserve">DOC-037</x:t>
        </x:is>
      </x:c>
      <x:c r="D650" s="20" t="inlineStr">
        <x:is>
          <x:t xml:space="preserve">Q03 chưa chốt; Q04 chưa có ngân sách</x:t>
        </x:is>
      </x:c>
      <x:c r="E650" s="20" t="inlineStr">
        <x:is>
          <x:t xml:space="preserve">Khi chức năng hoặc hợp đồng kỹ thuật đổi</x:t>
        </x:is>
      </x:c>
      <x:c r="F650" s="20" t="inlineStr">
        <x:is>
          <x:t xml:space="preserve">Cập nhật nguồn JSON/MD/OpenAPI/DDL tương ứng, tái tạo viewer/ZIP và ghi kiểm chứng</x:t>
        </x:is>
      </x:c>
    </x:row>
    <x:row r="651" ht="52" customHeight="1">
      <x:c r="A651" s="20" t="inlineStr">
        <x:is>
          <x:t xml:space="preserve">F18</x:t>
        </x:is>
      </x:c>
      <x:c r="B651" s="20" t="inlineStr">
        <x:is>
          <x:t xml:space="preserve">Kiến trúc / ERD / API / test / deploy</x:t>
        </x:is>
      </x:c>
      <x:c r="C651" s="20" t="inlineStr">
        <x:is>
          <x:t xml:space="preserve">DOC-038</x:t>
        </x:is>
      </x:c>
      <x:c r="D651" s="20" t="inlineStr">
        <x:is>
          <x:t xml:space="preserve">Q03 chưa chốt; Q04 chưa có ngân sách</x:t>
        </x:is>
      </x:c>
      <x:c r="E651" s="20" t="inlineStr">
        <x:is>
          <x:t xml:space="preserve">Khi chức năng hoặc hợp đồng kỹ thuật đổi</x:t>
        </x:is>
      </x:c>
      <x:c r="F651" s="20" t="inlineStr">
        <x:is>
          <x:t xml:space="preserve">Cập nhật nguồn JSON/MD/OpenAPI/DDL tương ứng, tái tạo viewer/ZIP và ghi kiểm chứng</x:t>
        </x:is>
      </x:c>
    </x:row>
    <x:row r="652" ht="52" customHeight="1">
      <x:c r="A652" s="20" t="inlineStr">
        <x:is>
          <x:t xml:space="preserve">F18</x:t>
        </x:is>
      </x:c>
      <x:c r="B652" s="20" t="inlineStr">
        <x:is>
          <x:t xml:space="preserve">Kiến trúc / ERD / API / test / deploy</x:t>
        </x:is>
      </x:c>
      <x:c r="C652" s="20" t="inlineStr">
        <x:is>
          <x:t xml:space="preserve">DOC-039</x:t>
        </x:is>
      </x:c>
      <x:c r="D652" s="20" t="inlineStr">
        <x:is>
          <x:t xml:space="preserve">Q03 chưa chốt; Q04 chưa có ngân sách</x:t>
        </x:is>
      </x:c>
      <x:c r="E652" s="20" t="inlineStr">
        <x:is>
          <x:t xml:space="preserve">Khi chức năng hoặc hợp đồng kỹ thuật đổi</x:t>
        </x:is>
      </x:c>
      <x:c r="F652" s="20" t="inlineStr">
        <x:is>
          <x:t xml:space="preserve">Cập nhật nguồn JSON/MD/OpenAPI/DDL tương ứng, tái tạo viewer/ZIP và ghi kiểm chứng</x:t>
        </x:is>
      </x:c>
    </x:row>
    <x:row r="653" ht="52" customHeight="1">
      <x:c r="A653" s="20" t="inlineStr">
        <x:is>
          <x:t xml:space="preserve">F18</x:t>
        </x:is>
      </x:c>
      <x:c r="B653" s="20" t="inlineStr">
        <x:is>
          <x:t xml:space="preserve">Kiến trúc / ERD / API / test / deploy</x:t>
        </x:is>
      </x:c>
      <x:c r="C653" s="20" t="inlineStr">
        <x:is>
          <x:t xml:space="preserve">DOC-040</x:t>
        </x:is>
      </x:c>
      <x:c r="D653" s="20" t="inlineStr">
        <x:is>
          <x:t xml:space="preserve">Q03 chưa chốt; Q04 chưa có ngân sách</x:t>
        </x:is>
      </x:c>
      <x:c r="E653" s="20" t="inlineStr">
        <x:is>
          <x:t xml:space="preserve">Khi chức năng hoặc hợp đồng kỹ thuật đổi</x:t>
        </x:is>
      </x:c>
      <x:c r="F653" s="20" t="inlineStr">
        <x:is>
          <x:t xml:space="preserve">Cập nhật nguồn JSON/MD/OpenAPI/DDL tương ứng, tái tạo viewer/ZIP và ghi kiểm chứng</x:t>
        </x:is>
      </x:c>
    </x:row>
    <x:row r="654" ht="52" customHeight="1">
      <x:c r="A654" s="20" t="inlineStr">
        <x:is>
          <x:t xml:space="preserve">F18</x:t>
        </x:is>
      </x:c>
      <x:c r="B654" s="20" t="inlineStr">
        <x:is>
          <x:t xml:space="preserve">Kiến trúc / ERD / API / test / deploy</x:t>
        </x:is>
      </x:c>
      <x:c r="C654" s="20" t="inlineStr">
        <x:is>
          <x:t xml:space="preserve">DOC-041</x:t>
        </x:is>
      </x:c>
      <x:c r="D654" s="20" t="inlineStr">
        <x:is>
          <x:t xml:space="preserve">Q03 chưa chốt; Q04 chưa có ngân sách</x:t>
        </x:is>
      </x:c>
      <x:c r="E654" s="20" t="inlineStr">
        <x:is>
          <x:t xml:space="preserve">Khi chức năng hoặc hợp đồng kỹ thuật đổi</x:t>
        </x:is>
      </x:c>
      <x:c r="F654" s="20" t="inlineStr">
        <x:is>
          <x:t xml:space="preserve">Cập nhật nguồn JSON/MD/OpenAPI/DDL tương ứng, tái tạo viewer/ZIP và ghi kiểm chứng</x:t>
        </x:is>
      </x:c>
    </x:row>
    <x:row r="655" ht="52" customHeight="1">
      <x:c r="A655" s="20" t="inlineStr">
        <x:is>
          <x:t xml:space="preserve">F18</x:t>
        </x:is>
      </x:c>
      <x:c r="B655" s="20" t="inlineStr">
        <x:is>
          <x:t xml:space="preserve">Kiến trúc / ERD / API / test / deploy</x:t>
        </x:is>
      </x:c>
      <x:c r="C655" s="20" t="inlineStr">
        <x:is>
          <x:t xml:space="preserve">DOC-042</x:t>
        </x:is>
      </x:c>
      <x:c r="D655" s="20" t="inlineStr">
        <x:is>
          <x:t xml:space="preserve">Q03 chưa chốt; Q04 chưa có ngân sách</x:t>
        </x:is>
      </x:c>
      <x:c r="E655" s="20" t="inlineStr">
        <x:is>
          <x:t xml:space="preserve">Khi chức năng hoặc hợp đồng kỹ thuật đổi</x:t>
        </x:is>
      </x:c>
      <x:c r="F655" s="20" t="inlineStr">
        <x:is>
          <x:t xml:space="preserve">Cập nhật nguồn JSON/MD/OpenAPI/DDL tương ứng, tái tạo viewer/ZIP và ghi kiểm chứng</x:t>
        </x:is>
      </x:c>
    </x:row>
    <x:row r="656" ht="52" customHeight="1">
      <x:c r="A656" s="20" t="inlineStr">
        <x:is>
          <x:t xml:space="preserve">F18</x:t>
        </x:is>
      </x:c>
      <x:c r="B656" s="20" t="inlineStr">
        <x:is>
          <x:t xml:space="preserve">Kiến trúc / ERD / API / test / deploy</x:t>
        </x:is>
      </x:c>
      <x:c r="C656" s="20" t="inlineStr">
        <x:is>
          <x:t xml:space="preserve">DOC-043</x:t>
        </x:is>
      </x:c>
      <x:c r="D656" s="20" t="inlineStr">
        <x:is>
          <x:t xml:space="preserve">Q03 chưa chốt; Q04 chưa có ngân sách</x:t>
        </x:is>
      </x:c>
      <x:c r="E656" s="20" t="inlineStr">
        <x:is>
          <x:t xml:space="preserve">Khi chức năng hoặc hợp đồng kỹ thuật đổi</x:t>
        </x:is>
      </x:c>
      <x:c r="F656" s="20" t="inlineStr">
        <x:is>
          <x:t xml:space="preserve">Cập nhật nguồn JSON/MD/OpenAPI/DDL tương ứng, tái tạo viewer/ZIP và ghi kiểm chứng</x:t>
        </x:is>
      </x:c>
    </x:row>
    <x:row r="657" ht="52" customHeight="1">
      <x:c r="A657" s="20" t="inlineStr">
        <x:is>
          <x:t xml:space="preserve">F18</x:t>
        </x:is>
      </x:c>
      <x:c r="B657" s="20" t="inlineStr">
        <x:is>
          <x:t xml:space="preserve">Kiến trúc / ERD / API / test / deploy</x:t>
        </x:is>
      </x:c>
      <x:c r="C657" s="20" t="inlineStr">
        <x:is>
          <x:t xml:space="preserve">DOC-044</x:t>
        </x:is>
      </x:c>
      <x:c r="D657" s="20" t="inlineStr">
        <x:is>
          <x:t xml:space="preserve">Q03 chưa chốt; Q04 chưa có ngân sách</x:t>
        </x:is>
      </x:c>
      <x:c r="E657" s="20" t="inlineStr">
        <x:is>
          <x:t xml:space="preserve">Khi chức năng hoặc hợp đồng kỹ thuật đổi</x:t>
        </x:is>
      </x:c>
      <x:c r="F657" s="20" t="inlineStr">
        <x:is>
          <x:t xml:space="preserve">Cập nhật nguồn JSON/MD/OpenAPI/DDL tương ứng, tái tạo viewer/ZIP và ghi kiểm chứng</x:t>
        </x:is>
      </x:c>
    </x:row>
    <x:row r="658" ht="52" customHeight="1">
      <x:c r="A658" s="20" t="inlineStr">
        <x:is>
          <x:t xml:space="preserve">F18</x:t>
        </x:is>
      </x:c>
      <x:c r="B658" s="20" t="inlineStr">
        <x:is>
          <x:t xml:space="preserve">Kiến trúc / ERD / API / test / deploy</x:t>
        </x:is>
      </x:c>
      <x:c r="C658" s="20" t="inlineStr">
        <x:is>
          <x:t xml:space="preserve">DOC-045</x:t>
        </x:is>
      </x:c>
      <x:c r="D658" s="20" t="inlineStr">
        <x:is>
          <x:t xml:space="preserve">Q03 chưa chốt; Q04 chưa có ngân sách</x:t>
        </x:is>
      </x:c>
      <x:c r="E658" s="20" t="inlineStr">
        <x:is>
          <x:t xml:space="preserve">Khi chức năng hoặc hợp đồng kỹ thuật đổi</x:t>
        </x:is>
      </x:c>
      <x:c r="F658" s="20" t="inlineStr">
        <x:is>
          <x:t xml:space="preserve">Cập nhật nguồn JSON/MD/OpenAPI/DDL tương ứng, tái tạo viewer/ZIP và ghi kiểm chứng</x:t>
        </x:is>
      </x:c>
    </x:row>
    <x:row r="659" ht="52" customHeight="1">
      <x:c r="A659" s="20" t="inlineStr">
        <x:is>
          <x:t xml:space="preserve">F18</x:t>
        </x:is>
      </x:c>
      <x:c r="B659" s="20" t="inlineStr">
        <x:is>
          <x:t xml:space="preserve">Kiến trúc / ERD / API / test / deploy</x:t>
        </x:is>
      </x:c>
      <x:c r="C659" s="20" t="inlineStr">
        <x:is>
          <x:t xml:space="preserve">DOC-046</x:t>
        </x:is>
      </x:c>
      <x:c r="D659" s="20" t="inlineStr">
        <x:is>
          <x:t xml:space="preserve">Q03 chưa chốt; Q04 chưa có ngân sách</x:t>
        </x:is>
      </x:c>
      <x:c r="E659" s="20" t="inlineStr">
        <x:is>
          <x:t xml:space="preserve">Khi chức năng hoặc hợp đồng kỹ thuật đổi</x:t>
        </x:is>
      </x:c>
      <x:c r="F659" s="20" t="inlineStr">
        <x:is>
          <x:t xml:space="preserve">Cập nhật nguồn JSON/MD/OpenAPI/DDL tương ứng, tái tạo viewer/ZIP và ghi kiểm chứng</x:t>
        </x:is>
      </x:c>
    </x:row>
    <x:row r="660" ht="52" customHeight="1">
      <x:c r="A660" s="20" t="inlineStr">
        <x:is>
          <x:t xml:space="preserve">F18</x:t>
        </x:is>
      </x:c>
      <x:c r="B660" s="20" t="inlineStr">
        <x:is>
          <x:t xml:space="preserve">Kiến trúc / ERD / API / test / deploy</x:t>
        </x:is>
      </x:c>
      <x:c r="C660" s="20" t="inlineStr">
        <x:is>
          <x:t xml:space="preserve">DOC-047</x:t>
        </x:is>
      </x:c>
      <x:c r="D660" s="20" t="inlineStr">
        <x:is>
          <x:t xml:space="preserve">Q03 chưa chốt; Q04 chưa có ngân sách</x:t>
        </x:is>
      </x:c>
      <x:c r="E660" s="20" t="inlineStr">
        <x:is>
          <x:t xml:space="preserve">Khi chức năng hoặc hợp đồng kỹ thuật đổi</x:t>
        </x:is>
      </x:c>
      <x:c r="F660" s="20" t="inlineStr">
        <x:is>
          <x:t xml:space="preserve">Cập nhật nguồn JSON/MD/OpenAPI/DDL tương ứng, tái tạo viewer/ZIP và ghi kiểm chứng</x:t>
        </x:is>
      </x:c>
    </x:row>
    <x:row r="661" ht="52" customHeight="1">
      <x:c r="A661" s="20" t="inlineStr">
        <x:is>
          <x:t xml:space="preserve">F18</x:t>
        </x:is>
      </x:c>
      <x:c r="B661" s="20" t="inlineStr">
        <x:is>
          <x:t xml:space="preserve">Kiến trúc / ERD / API / test / deploy</x:t>
        </x:is>
      </x:c>
      <x:c r="C661" s="20" t="inlineStr">
        <x:is>
          <x:t xml:space="preserve">DOC-048</x:t>
        </x:is>
      </x:c>
      <x:c r="D661" s="20" t="inlineStr">
        <x:is>
          <x:t xml:space="preserve">Q03 chưa chốt; Q04 chưa có ngân sách</x:t>
        </x:is>
      </x:c>
      <x:c r="E661" s="20" t="inlineStr">
        <x:is>
          <x:t xml:space="preserve">Khi chức năng hoặc hợp đồng kỹ thuật đổi</x:t>
        </x:is>
      </x:c>
      <x:c r="F661" s="20" t="inlineStr">
        <x:is>
          <x:t xml:space="preserve">Cập nhật nguồn JSON/MD/OpenAPI/DDL tương ứng, tái tạo viewer/ZIP và ghi kiểm chứng</x:t>
        </x:is>
      </x:c>
    </x:row>
    <x:row r="662" ht="52" customHeight="1">
      <x:c r="A662" s="20" t="inlineStr">
        <x:is>
          <x:t xml:space="preserve">F19</x:t>
        </x:is>
      </x:c>
      <x:c r="B662" s="20" t="inlineStr">
        <x:is>
          <x:t xml:space="preserve">Phạm vi / mục tiêu / pending</x:t>
        </x:is>
      </x:c>
      <x:c r="C662" s="20" t="inlineStr">
        <x:is>
          <x:t xml:space="preserve">PLAN-001</x:t>
        </x:is>
      </x:c>
      <x:c r="D662" s="20" t="inlineStr">
        <x:is>
          <x:t xml:space="preserve">Không biến đề xuất thành quyết định</x:t>
        </x:is>
      </x:c>
      <x:c r="E662" s="20" t="inlineStr">
        <x:is>
          <x:t xml:space="preserve">Khi chức năng hoặc hợp đồng kỹ thuật đổi</x:t>
        </x:is>
      </x:c>
      <x:c r="F662" s="20" t="inlineStr">
        <x:is>
          <x:t xml:space="preserve">Cập nhật nguồn JSON/MD/OpenAPI/DDL tương ứng, tái tạo viewer/ZIP và ghi kiểm chứng</x:t>
        </x:is>
      </x:c>
    </x:row>
    <x:row r="663" ht="52" customHeight="1">
      <x:c r="A663" s="20" t="inlineStr">
        <x:is>
          <x:t xml:space="preserve">F19</x:t>
        </x:is>
      </x:c>
      <x:c r="B663" s="20" t="inlineStr">
        <x:is>
          <x:t xml:space="preserve">Phạm vi / mục tiêu / pending</x:t>
        </x:is>
      </x:c>
      <x:c r="C663" s="20" t="inlineStr">
        <x:is>
          <x:t xml:space="preserve">PLAN-002</x:t>
        </x:is>
      </x:c>
      <x:c r="D663" s="20" t="inlineStr">
        <x:is>
          <x:t xml:space="preserve">Không biến đề xuất thành quyết định</x:t>
        </x:is>
      </x:c>
      <x:c r="E663" s="20" t="inlineStr">
        <x:is>
          <x:t xml:space="preserve">Khi chức năng hoặc hợp đồng kỹ thuật đổi</x:t>
        </x:is>
      </x:c>
      <x:c r="F663" s="20" t="inlineStr">
        <x:is>
          <x:t xml:space="preserve">Cập nhật nguồn JSON/MD/OpenAPI/DDL tương ứng, tái tạo viewer/ZIP và ghi kiểm chứng</x:t>
        </x:is>
      </x:c>
    </x:row>
    <x:row r="664" ht="52" customHeight="1">
      <x:c r="A664" s="20" t="inlineStr">
        <x:is>
          <x:t xml:space="preserve">F19</x:t>
        </x:is>
      </x:c>
      <x:c r="B664" s="20" t="inlineStr">
        <x:is>
          <x:t xml:space="preserve">Phạm vi / mục tiêu / pending</x:t>
        </x:is>
      </x:c>
      <x:c r="C664" s="20" t="inlineStr">
        <x:is>
          <x:t xml:space="preserve">PLAN-003</x:t>
        </x:is>
      </x:c>
      <x:c r="D664" s="20" t="inlineStr">
        <x:is>
          <x:t xml:space="preserve">Không biến đề xuất thành quyết định</x:t>
        </x:is>
      </x:c>
      <x:c r="E664" s="20" t="inlineStr">
        <x:is>
          <x:t xml:space="preserve">Khi chức năng hoặc hợp đồng kỹ thuật đổi</x:t>
        </x:is>
      </x:c>
      <x:c r="F664" s="20" t="inlineStr">
        <x:is>
          <x:t xml:space="preserve">Cập nhật nguồn JSON/MD/OpenAPI/DDL tương ứng, tái tạo viewer/ZIP và ghi kiểm chứng</x:t>
        </x:is>
      </x:c>
    </x:row>
    <x:row r="665" ht="52" customHeight="1">
      <x:c r="A665" s="20" t="inlineStr">
        <x:is>
          <x:t xml:space="preserve">F19</x:t>
        </x:is>
      </x:c>
      <x:c r="B665" s="20" t="inlineStr">
        <x:is>
          <x:t xml:space="preserve">Phạm vi / mục tiêu / pending</x:t>
        </x:is>
      </x:c>
      <x:c r="C665" s="20" t="inlineStr">
        <x:is>
          <x:t xml:space="preserve">PLAN-008</x:t>
        </x:is>
      </x:c>
      <x:c r="D665" s="20" t="inlineStr">
        <x:is>
          <x:t xml:space="preserve">Không biến đề xuất thành quyết định</x:t>
        </x:is>
      </x:c>
      <x:c r="E665" s="20" t="inlineStr">
        <x:is>
          <x:t xml:space="preserve">Khi chức năng hoặc hợp đồng kỹ thuật đổi</x:t>
        </x:is>
      </x:c>
      <x:c r="F665" s="20" t="inlineStr">
        <x:is>
          <x:t xml:space="preserve">Cập nhật nguồn JSON/MD/OpenAPI/DDL tương ứng, tái tạo viewer/ZIP và ghi kiểm chứng</x:t>
        </x:is>
      </x:c>
    </x:row>
    <x:row r="666" ht="52" customHeight="1">
      <x:c r="A666" s="20" t="inlineStr">
        <x:is>
          <x:t xml:space="preserve">F19</x:t>
        </x:is>
      </x:c>
      <x:c r="B666" s="20" t="inlineStr">
        <x:is>
          <x:t xml:space="preserve">Phạm vi / mục tiêu / pending</x:t>
        </x:is>
      </x:c>
      <x:c r="C666" s="20" t="inlineStr">
        <x:is>
          <x:t xml:space="preserve">DOC-037</x:t>
        </x:is>
      </x:c>
      <x:c r="D666" s="20" t="inlineStr">
        <x:is>
          <x:t xml:space="preserve">Không biến đề xuất thành quyết định</x:t>
        </x:is>
      </x:c>
      <x:c r="E666" s="20" t="inlineStr">
        <x:is>
          <x:t xml:space="preserve">Khi chức năng hoặc hợp đồng kỹ thuật đổi</x:t>
        </x:is>
      </x:c>
      <x:c r="F666" s="20" t="inlineStr">
        <x:is>
          <x:t xml:space="preserve">Cập nhật nguồn JSON/MD/OpenAPI/DDL tương ứng, tái tạo viewer/ZIP và ghi kiểm chứng</x:t>
        </x:is>
      </x:c>
    </x:row>
    <x:row r="667" ht="52" customHeight="1">
      <x:c r="A667" s="20" t="inlineStr">
        <x:is>
          <x:t xml:space="preserve">F19</x:t>
        </x:is>
      </x:c>
      <x:c r="B667" s="20" t="inlineStr">
        <x:is>
          <x:t xml:space="preserve">Phạm vi / mục tiêu / pending</x:t>
        </x:is>
      </x:c>
      <x:c r="C667" s="20" t="inlineStr">
        <x:is>
          <x:t xml:space="preserve">DOC-038</x:t>
        </x:is>
      </x:c>
      <x:c r="D667" s="20" t="inlineStr">
        <x:is>
          <x:t xml:space="preserve">Không biến đề xuất thành quyết định</x:t>
        </x:is>
      </x:c>
      <x:c r="E667" s="20" t="inlineStr">
        <x:is>
          <x:t xml:space="preserve">Khi chức năng hoặc hợp đồng kỹ thuật đổi</x:t>
        </x:is>
      </x:c>
      <x:c r="F667" s="20" t="inlineStr">
        <x:is>
          <x:t xml:space="preserve">Cập nhật nguồn JSON/MD/OpenAPI/DDL tương ứng, tái tạo viewer/ZIP và ghi kiểm chứng</x:t>
        </x:is>
      </x:c>
    </x:row>
    <x:row r="668" ht="52" customHeight="1">
      <x:c r="A668" s="20" t="inlineStr">
        <x:is>
          <x:t xml:space="preserve">F19</x:t>
        </x:is>
      </x:c>
      <x:c r="B668" s="20" t="inlineStr">
        <x:is>
          <x:t xml:space="preserve">Phạm vi / mục tiêu / pending</x:t>
        </x:is>
      </x:c>
      <x:c r="C668" s="20" t="inlineStr">
        <x:is>
          <x:t xml:space="preserve">DOC-039</x:t>
        </x:is>
      </x:c>
      <x:c r="D668" s="20" t="inlineStr">
        <x:is>
          <x:t xml:space="preserve">Không biến đề xuất thành quyết định</x:t>
        </x:is>
      </x:c>
      <x:c r="E668" s="20" t="inlineStr">
        <x:is>
          <x:t xml:space="preserve">Khi chức năng hoặc hợp đồng kỹ thuật đổi</x:t>
        </x:is>
      </x:c>
      <x:c r="F668" s="20" t="inlineStr">
        <x:is>
          <x:t xml:space="preserve">Cập nhật nguồn JSON/MD/OpenAPI/DDL tương ứng, tái tạo viewer/ZIP và ghi kiểm chứng</x:t>
        </x:is>
      </x:c>
    </x:row>
    <x:row r="669" ht="52" customHeight="1">
      <x:c r="A669" s="20" t="inlineStr">
        <x:is>
          <x:t xml:space="preserve">F19</x:t>
        </x:is>
      </x:c>
      <x:c r="B669" s="20" t="inlineStr">
        <x:is>
          <x:t xml:space="preserve">Phạm vi / mục tiêu / pending</x:t>
        </x:is>
      </x:c>
      <x:c r="C669" s="20" t="inlineStr">
        <x:is>
          <x:t xml:space="preserve">DOC-040</x:t>
        </x:is>
      </x:c>
      <x:c r="D669" s="20" t="inlineStr">
        <x:is>
          <x:t xml:space="preserve">Không biến đề xuất thành quyết định</x:t>
        </x:is>
      </x:c>
      <x:c r="E669" s="20" t="inlineStr">
        <x:is>
          <x:t xml:space="preserve">Khi chức năng hoặc hợp đồng kỹ thuật đổi</x:t>
        </x:is>
      </x:c>
      <x:c r="F669" s="20" t="inlineStr">
        <x:is>
          <x:t xml:space="preserve">Cập nhật nguồn JSON/MD/OpenAPI/DDL tương ứng, tái tạo viewer/ZIP và ghi kiểm chứng</x:t>
        </x:is>
      </x:c>
    </x:row>
    <x:row r="670" ht="52" customHeight="1">
      <x:c r="A670" s="20" t="inlineStr">
        <x:is>
          <x:t xml:space="preserve">F19</x:t>
        </x:is>
      </x:c>
      <x:c r="B670" s="20" t="inlineStr">
        <x:is>
          <x:t xml:space="preserve">Phạm vi / mục tiêu / pending</x:t>
        </x:is>
      </x:c>
      <x:c r="C670" s="20" t="inlineStr">
        <x:is>
          <x:t xml:space="preserve">DOC-041</x:t>
        </x:is>
      </x:c>
      <x:c r="D670" s="20" t="inlineStr">
        <x:is>
          <x:t xml:space="preserve">Không biến đề xuất thành quyết định</x:t>
        </x:is>
      </x:c>
      <x:c r="E670" s="20" t="inlineStr">
        <x:is>
          <x:t xml:space="preserve">Khi chức năng hoặc hợp đồng kỹ thuật đổi</x:t>
        </x:is>
      </x:c>
      <x:c r="F670" s="20" t="inlineStr">
        <x:is>
          <x:t xml:space="preserve">Cập nhật nguồn JSON/MD/OpenAPI/DDL tương ứng, tái tạo viewer/ZIP và ghi kiểm chứng</x:t>
        </x:is>
      </x:c>
    </x:row>
    <x:row r="671" ht="52" customHeight="1">
      <x:c r="A671" s="20" t="inlineStr">
        <x:is>
          <x:t xml:space="preserve">F19</x:t>
        </x:is>
      </x:c>
      <x:c r="B671" s="20" t="inlineStr">
        <x:is>
          <x:t xml:space="preserve">Phạm vi / mục tiêu / pending</x:t>
        </x:is>
      </x:c>
      <x:c r="C671" s="20" t="inlineStr">
        <x:is>
          <x:t xml:space="preserve">DOC-042</x:t>
        </x:is>
      </x:c>
      <x:c r="D671" s="20" t="inlineStr">
        <x:is>
          <x:t xml:space="preserve">Không biến đề xuất thành quyết định</x:t>
        </x:is>
      </x:c>
      <x:c r="E671" s="20" t="inlineStr">
        <x:is>
          <x:t xml:space="preserve">Khi chức năng hoặc hợp đồng kỹ thuật đổi</x:t>
        </x:is>
      </x:c>
      <x:c r="F671" s="20" t="inlineStr">
        <x:is>
          <x:t xml:space="preserve">Cập nhật nguồn JSON/MD/OpenAPI/DDL tương ứng, tái tạo viewer/ZIP và ghi kiểm chứng</x:t>
        </x:is>
      </x:c>
    </x:row>
    <x:row r="672" ht="52" customHeight="1">
      <x:c r="A672" s="20" t="inlineStr">
        <x:is>
          <x:t xml:space="preserve">F19</x:t>
        </x:is>
      </x:c>
      <x:c r="B672" s="20" t="inlineStr">
        <x:is>
          <x:t xml:space="preserve">Phạm vi / mục tiêu / pending</x:t>
        </x:is>
      </x:c>
      <x:c r="C672" s="20" t="inlineStr">
        <x:is>
          <x:t xml:space="preserve">DOC-043</x:t>
        </x:is>
      </x:c>
      <x:c r="D672" s="20" t="inlineStr">
        <x:is>
          <x:t xml:space="preserve">Không biến đề xuất thành quyết định</x:t>
        </x:is>
      </x:c>
      <x:c r="E672" s="20" t="inlineStr">
        <x:is>
          <x:t xml:space="preserve">Khi chức năng hoặc hợp đồng kỹ thuật đổi</x:t>
        </x:is>
      </x:c>
      <x:c r="F672" s="20" t="inlineStr">
        <x:is>
          <x:t xml:space="preserve">Cập nhật nguồn JSON/MD/OpenAPI/DDL tương ứng, tái tạo viewer/ZIP và ghi kiểm chứng</x:t>
        </x:is>
      </x:c>
    </x:row>
    <x:row r="673" ht="52" customHeight="1">
      <x:c r="A673" s="20" t="inlineStr">
        <x:is>
          <x:t xml:space="preserve">F19</x:t>
        </x:is>
      </x:c>
      <x:c r="B673" s="20" t="inlineStr">
        <x:is>
          <x:t xml:space="preserve">Phạm vi / mục tiêu / pending</x:t>
        </x:is>
      </x:c>
      <x:c r="C673" s="20" t="inlineStr">
        <x:is>
          <x:t xml:space="preserve">DOC-044</x:t>
        </x:is>
      </x:c>
      <x:c r="D673" s="20" t="inlineStr">
        <x:is>
          <x:t xml:space="preserve">Không biến đề xuất thành quyết định</x:t>
        </x:is>
      </x:c>
      <x:c r="E673" s="20" t="inlineStr">
        <x:is>
          <x:t xml:space="preserve">Khi chức năng hoặc hợp đồng kỹ thuật đổi</x:t>
        </x:is>
      </x:c>
      <x:c r="F673" s="20" t="inlineStr">
        <x:is>
          <x:t xml:space="preserve">Cập nhật nguồn JSON/MD/OpenAPI/DDL tương ứng, tái tạo viewer/ZIP và ghi kiểm chứng</x:t>
        </x:is>
      </x:c>
    </x:row>
    <x:row r="674" ht="52" customHeight="1">
      <x:c r="A674" s="20" t="inlineStr">
        <x:is>
          <x:t xml:space="preserve">F19</x:t>
        </x:is>
      </x:c>
      <x:c r="B674" s="20" t="inlineStr">
        <x:is>
          <x:t xml:space="preserve">Phạm vi / mục tiêu / pending</x:t>
        </x:is>
      </x:c>
      <x:c r="C674" s="20" t="inlineStr">
        <x:is>
          <x:t xml:space="preserve">DOC-045</x:t>
        </x:is>
      </x:c>
      <x:c r="D674" s="20" t="inlineStr">
        <x:is>
          <x:t xml:space="preserve">Không biến đề xuất thành quyết định</x:t>
        </x:is>
      </x:c>
      <x:c r="E674" s="20" t="inlineStr">
        <x:is>
          <x:t xml:space="preserve">Khi chức năng hoặc hợp đồng kỹ thuật đổi</x:t>
        </x:is>
      </x:c>
      <x:c r="F674" s="20" t="inlineStr">
        <x:is>
          <x:t xml:space="preserve">Cập nhật nguồn JSON/MD/OpenAPI/DDL tương ứng, tái tạo viewer/ZIP và ghi kiểm chứng</x:t>
        </x:is>
      </x:c>
    </x:row>
    <x:row r="675" ht="52" customHeight="1">
      <x:c r="A675" s="20" t="inlineStr">
        <x:is>
          <x:t xml:space="preserve">F19</x:t>
        </x:is>
      </x:c>
      <x:c r="B675" s="20" t="inlineStr">
        <x:is>
          <x:t xml:space="preserve">Phạm vi / mục tiêu / pending</x:t>
        </x:is>
      </x:c>
      <x:c r="C675" s="20" t="inlineStr">
        <x:is>
          <x:t xml:space="preserve">DOC-046</x:t>
        </x:is>
      </x:c>
      <x:c r="D675" s="20" t="inlineStr">
        <x:is>
          <x:t xml:space="preserve">Không biến đề xuất thành quyết định</x:t>
        </x:is>
      </x:c>
      <x:c r="E675" s="20" t="inlineStr">
        <x:is>
          <x:t xml:space="preserve">Khi chức năng hoặc hợp đồng kỹ thuật đổi</x:t>
        </x:is>
      </x:c>
      <x:c r="F675" s="20" t="inlineStr">
        <x:is>
          <x:t xml:space="preserve">Cập nhật nguồn JSON/MD/OpenAPI/DDL tương ứng, tái tạo viewer/ZIP và ghi kiểm chứng</x:t>
        </x:is>
      </x:c>
    </x:row>
    <x:row r="676" ht="52" customHeight="1">
      <x:c r="A676" s="20" t="inlineStr">
        <x:is>
          <x:t xml:space="preserve">F19</x:t>
        </x:is>
      </x:c>
      <x:c r="B676" s="20" t="inlineStr">
        <x:is>
          <x:t xml:space="preserve">Phạm vi / mục tiêu / pending</x:t>
        </x:is>
      </x:c>
      <x:c r="C676" s="20" t="inlineStr">
        <x:is>
          <x:t xml:space="preserve">DOC-047</x:t>
        </x:is>
      </x:c>
      <x:c r="D676" s="20" t="inlineStr">
        <x:is>
          <x:t xml:space="preserve">Không biến đề xuất thành quyết định</x:t>
        </x:is>
      </x:c>
      <x:c r="E676" s="20" t="inlineStr">
        <x:is>
          <x:t xml:space="preserve">Khi chức năng hoặc hợp đồng kỹ thuật đổi</x:t>
        </x:is>
      </x:c>
      <x:c r="F676" s="20" t="inlineStr">
        <x:is>
          <x:t xml:space="preserve">Cập nhật nguồn JSON/MD/OpenAPI/DDL tương ứng, tái tạo viewer/ZIP và ghi kiểm chứng</x:t>
        </x:is>
      </x:c>
    </x:row>
    <x:row r="677" ht="52" customHeight="1">
      <x:c r="A677" s="20" t="inlineStr">
        <x:is>
          <x:t xml:space="preserve">F19</x:t>
        </x:is>
      </x:c>
      <x:c r="B677" s="20" t="inlineStr">
        <x:is>
          <x:t xml:space="preserve">Phạm vi / mục tiêu / pending</x:t>
        </x:is>
      </x:c>
      <x:c r="C677" s="20" t="inlineStr">
        <x:is>
          <x:t xml:space="preserve">DOC-048</x:t>
        </x:is>
      </x:c>
      <x:c r="D677" s="20" t="inlineStr">
        <x:is>
          <x:t xml:space="preserve">Không biến đề xuất thành quyết định</x:t>
        </x:is>
      </x:c>
      <x:c r="E677" s="20" t="inlineStr">
        <x:is>
          <x:t xml:space="preserve">Khi chức năng hoặc hợp đồng kỹ thuật đổi</x:t>
        </x:is>
      </x:c>
      <x:c r="F677" s="20" t="inlineStr">
        <x:is>
          <x:t xml:space="preserve">Cập nhật nguồn JSON/MD/OpenAPI/DDL tương ứng, tái tạo viewer/ZIP và ghi kiểm chứng</x:t>
        </x:is>
      </x:c>
    </x:row>
    <x:row r="678" ht="52" customHeight="1">
      <x:c r="A678" s="20" t="inlineStr">
        <x:is>
          <x:t xml:space="preserve">F20</x:t>
        </x:is>
      </x:c>
      <x:c r="B678" s="20" t="inlineStr">
        <x:is>
          <x:t xml:space="preserve">Quản lý tài liệu / đồng bộ</x:t>
        </x:is>
      </x:c>
      <x:c r="C678" s="20" t="inlineStr">
        <x:is>
          <x:t xml:space="preserve">PLAN-001</x:t>
        </x:is>
      </x:c>
      <x:c r="D678" s="20" t="inlineStr">
        <x:is>
          <x:t xml:space="preserve">Luôn dùng sổ quản lý này; cập nhật đủ tài liệu liên quan</x:t>
        </x:is>
      </x:c>
      <x:c r="E678" s="20" t="inlineStr">
        <x:is>
          <x:t xml:space="preserve">Khi chức năng hoặc hợp đồng kỹ thuật đổi</x:t>
        </x:is>
      </x:c>
      <x:c r="F678" s="20" t="inlineStr">
        <x:is>
          <x:t xml:space="preserve">Cập nhật nguồn JSON/MD/OpenAPI/DDL tương ứng, tái tạo viewer/ZIP và ghi kiểm chứng</x:t>
        </x:is>
      </x:c>
    </x:row>
    <x:row r="679" ht="52" customHeight="1">
      <x:c r="A679" s="20" t="inlineStr">
        <x:is>
          <x:t xml:space="preserve">F20</x:t>
        </x:is>
      </x:c>
      <x:c r="B679" s="20" t="inlineStr">
        <x:is>
          <x:t xml:space="preserve">Quản lý tài liệu / đồng bộ</x:t>
        </x:is>
      </x:c>
      <x:c r="C679" s="20" t="inlineStr">
        <x:is>
          <x:t xml:space="preserve">PLAN-002</x:t>
        </x:is>
      </x:c>
      <x:c r="D679" s="20" t="inlineStr">
        <x:is>
          <x:t xml:space="preserve">Luôn dùng sổ quản lý này; cập nhật đủ tài liệu liên quan</x:t>
        </x:is>
      </x:c>
      <x:c r="E679" s="20" t="inlineStr">
        <x:is>
          <x:t xml:space="preserve">Khi chức năng hoặc hợp đồng kỹ thuật đổi</x:t>
        </x:is>
      </x:c>
      <x:c r="F679" s="20" t="inlineStr">
        <x:is>
          <x:t xml:space="preserve">Cập nhật nguồn JSON/MD/OpenAPI/DDL tương ứng, tái tạo viewer/ZIP và ghi kiểm chứng</x:t>
        </x:is>
      </x:c>
    </x:row>
    <x:row r="680" ht="52" customHeight="1">
      <x:c r="A680" s="20" t="inlineStr">
        <x:is>
          <x:t xml:space="preserve">F20</x:t>
        </x:is>
      </x:c>
      <x:c r="B680" s="20" t="inlineStr">
        <x:is>
          <x:t xml:space="preserve">Quản lý tài liệu / đồng bộ</x:t>
        </x:is>
      </x:c>
      <x:c r="C680" s="20" t="inlineStr">
        <x:is>
          <x:t xml:space="preserve">PLAN-003</x:t>
        </x:is>
      </x:c>
      <x:c r="D680" s="20" t="inlineStr">
        <x:is>
          <x:t xml:space="preserve">Luôn dùng sổ quản lý này; cập nhật đủ tài liệu liên quan</x:t>
        </x:is>
      </x:c>
      <x:c r="E680" s="20" t="inlineStr">
        <x:is>
          <x:t xml:space="preserve">Khi chức năng hoặc hợp đồng kỹ thuật đổi</x:t>
        </x:is>
      </x:c>
      <x:c r="F680" s="20" t="inlineStr">
        <x:is>
          <x:t xml:space="preserve">Cập nhật nguồn JSON/MD/OpenAPI/DDL tương ứng, tái tạo viewer/ZIP và ghi kiểm chứng</x:t>
        </x:is>
      </x:c>
    </x:row>
    <x:row r="681" ht="52" customHeight="1">
      <x:c r="A681" s="20" t="inlineStr">
        <x:is>
          <x:t xml:space="preserve">F20</x:t>
        </x:is>
      </x:c>
      <x:c r="B681" s="20" t="inlineStr">
        <x:is>
          <x:t xml:space="preserve">Quản lý tài liệu / đồng bộ</x:t>
        </x:is>
      </x:c>
      <x:c r="C681" s="20" t="inlineStr">
        <x:is>
          <x:t xml:space="preserve">PLAN-008</x:t>
        </x:is>
      </x:c>
      <x:c r="D681" s="20" t="inlineStr">
        <x:is>
          <x:t xml:space="preserve">Luôn dùng sổ quản lý này; cập nhật đủ tài liệu liên quan</x:t>
        </x:is>
      </x:c>
      <x:c r="E681" s="20" t="inlineStr">
        <x:is>
          <x:t xml:space="preserve">Khi chức năng hoặc hợp đồng kỹ thuật đổi</x:t>
        </x:is>
      </x:c>
      <x:c r="F681" s="20" t="inlineStr">
        <x:is>
          <x:t xml:space="preserve">Cập nhật nguồn JSON/MD/OpenAPI/DDL tương ứng, tái tạo viewer/ZIP và ghi kiểm chứng</x:t>
        </x:is>
      </x:c>
    </x:row>
    <x:row r="682" ht="52" customHeight="1">
      <x:c r="A682" s="20" t="inlineStr">
        <x:is>
          <x:t xml:space="preserve">F20</x:t>
        </x:is>
      </x:c>
      <x:c r="B682" s="20" t="inlineStr">
        <x:is>
          <x:t xml:space="preserve">Quản lý tài liệu / đồng bộ</x:t>
        </x:is>
      </x:c>
      <x:c r="C682" s="20" t="inlineStr">
        <x:is>
          <x:t xml:space="preserve">DOC-037</x:t>
        </x:is>
      </x:c>
      <x:c r="D682" s="20" t="inlineStr">
        <x:is>
          <x:t xml:space="preserve">Luôn dùng sổ quản lý này; cập nhật đủ tài liệu liên quan</x:t>
        </x:is>
      </x:c>
      <x:c r="E682" s="20" t="inlineStr">
        <x:is>
          <x:t xml:space="preserve">Khi chức năng hoặc hợp đồng kỹ thuật đổi</x:t>
        </x:is>
      </x:c>
      <x:c r="F682" s="20" t="inlineStr">
        <x:is>
          <x:t xml:space="preserve">Cập nhật nguồn JSON/MD/OpenAPI/DDL tương ứng, tái tạo viewer/ZIP và ghi kiểm chứng</x:t>
        </x:is>
      </x:c>
    </x:row>
    <x:row r="683" ht="52" customHeight="1">
      <x:c r="A683" s="20" t="inlineStr">
        <x:is>
          <x:t xml:space="preserve">F20</x:t>
        </x:is>
      </x:c>
      <x:c r="B683" s="20" t="inlineStr">
        <x:is>
          <x:t xml:space="preserve">Quản lý tài liệu / đồng bộ</x:t>
        </x:is>
      </x:c>
      <x:c r="C683" s="20" t="inlineStr">
        <x:is>
          <x:t xml:space="preserve">DOC-038</x:t>
        </x:is>
      </x:c>
      <x:c r="D683" s="20" t="inlineStr">
        <x:is>
          <x:t xml:space="preserve">Luôn dùng sổ quản lý này; cập nhật đủ tài liệu liên quan</x:t>
        </x:is>
      </x:c>
      <x:c r="E683" s="20" t="inlineStr">
        <x:is>
          <x:t xml:space="preserve">Khi chức năng hoặc hợp đồng kỹ thuật đổi</x:t>
        </x:is>
      </x:c>
      <x:c r="F683" s="20" t="inlineStr">
        <x:is>
          <x:t xml:space="preserve">Cập nhật nguồn JSON/MD/OpenAPI/DDL tương ứng, tái tạo viewer/ZIP và ghi kiểm chứng</x:t>
        </x:is>
      </x:c>
    </x:row>
    <x:row r="684" ht="52" customHeight="1">
      <x:c r="A684" s="20" t="inlineStr">
        <x:is>
          <x:t xml:space="preserve">F20</x:t>
        </x:is>
      </x:c>
      <x:c r="B684" s="20" t="inlineStr">
        <x:is>
          <x:t xml:space="preserve">Quản lý tài liệu / đồng bộ</x:t>
        </x:is>
      </x:c>
      <x:c r="C684" s="20" t="inlineStr">
        <x:is>
          <x:t xml:space="preserve">DOC-039</x:t>
        </x:is>
      </x:c>
      <x:c r="D684" s="20" t="inlineStr">
        <x:is>
          <x:t xml:space="preserve">Luôn dùng sổ quản lý này; cập nhật đủ tài liệu liên quan</x:t>
        </x:is>
      </x:c>
      <x:c r="E684" s="20" t="inlineStr">
        <x:is>
          <x:t xml:space="preserve">Khi chức năng hoặc hợp đồng kỹ thuật đổi</x:t>
        </x:is>
      </x:c>
      <x:c r="F684" s="20" t="inlineStr">
        <x:is>
          <x:t xml:space="preserve">Cập nhật nguồn JSON/MD/OpenAPI/DDL tương ứng, tái tạo viewer/ZIP và ghi kiểm chứng</x:t>
        </x:is>
      </x:c>
    </x:row>
    <x:row r="685" ht="52" customHeight="1">
      <x:c r="A685" s="20" t="inlineStr">
        <x:is>
          <x:t xml:space="preserve">F20</x:t>
        </x:is>
      </x:c>
      <x:c r="B685" s="20" t="inlineStr">
        <x:is>
          <x:t xml:space="preserve">Quản lý tài liệu / đồng bộ</x:t>
        </x:is>
      </x:c>
      <x:c r="C685" s="20" t="inlineStr">
        <x:is>
          <x:t xml:space="preserve">DOC-040</x:t>
        </x:is>
      </x:c>
      <x:c r="D685" s="20" t="inlineStr">
        <x:is>
          <x:t xml:space="preserve">Luôn dùng sổ quản lý này; cập nhật đủ tài liệu liên quan</x:t>
        </x:is>
      </x:c>
      <x:c r="E685" s="20" t="inlineStr">
        <x:is>
          <x:t xml:space="preserve">Khi chức năng hoặc hợp đồng kỹ thuật đổi</x:t>
        </x:is>
      </x:c>
      <x:c r="F685" s="20" t="inlineStr">
        <x:is>
          <x:t xml:space="preserve">Cập nhật nguồn JSON/MD/OpenAPI/DDL tương ứng, tái tạo viewer/ZIP và ghi kiểm chứng</x:t>
        </x:is>
      </x:c>
    </x:row>
    <x:row r="686" ht="52" customHeight="1">
      <x:c r="A686" s="20" t="inlineStr">
        <x:is>
          <x:t xml:space="preserve">F20</x:t>
        </x:is>
      </x:c>
      <x:c r="B686" s="20" t="inlineStr">
        <x:is>
          <x:t xml:space="preserve">Quản lý tài liệu / đồng bộ</x:t>
        </x:is>
      </x:c>
      <x:c r="C686" s="20" t="inlineStr">
        <x:is>
          <x:t xml:space="preserve">DOC-041</x:t>
        </x:is>
      </x:c>
      <x:c r="D686" s="20" t="inlineStr">
        <x:is>
          <x:t xml:space="preserve">Luôn dùng sổ quản lý này; cập nhật đủ tài liệu liên quan</x:t>
        </x:is>
      </x:c>
      <x:c r="E686" s="20" t="inlineStr">
        <x:is>
          <x:t xml:space="preserve">Khi chức năng hoặc hợp đồng kỹ thuật đổi</x:t>
        </x:is>
      </x:c>
      <x:c r="F686" s="20" t="inlineStr">
        <x:is>
          <x:t xml:space="preserve">Cập nhật nguồn JSON/MD/OpenAPI/DDL tương ứng, tái tạo viewer/ZIP và ghi kiểm chứng</x:t>
        </x:is>
      </x:c>
    </x:row>
    <x:row r="687" ht="52" customHeight="1">
      <x:c r="A687" s="20" t="inlineStr">
        <x:is>
          <x:t xml:space="preserve">F20</x:t>
        </x:is>
      </x:c>
      <x:c r="B687" s="20" t="inlineStr">
        <x:is>
          <x:t xml:space="preserve">Quản lý tài liệu / đồng bộ</x:t>
        </x:is>
      </x:c>
      <x:c r="C687" s="20" t="inlineStr">
        <x:is>
          <x:t xml:space="preserve">DOC-042</x:t>
        </x:is>
      </x:c>
      <x:c r="D687" s="20" t="inlineStr">
        <x:is>
          <x:t xml:space="preserve">Luôn dùng sổ quản lý này; cập nhật đủ tài liệu liên quan</x:t>
        </x:is>
      </x:c>
      <x:c r="E687" s="20" t="inlineStr">
        <x:is>
          <x:t xml:space="preserve">Khi chức năng hoặc hợp đồng kỹ thuật đổi</x:t>
        </x:is>
      </x:c>
      <x:c r="F687" s="20" t="inlineStr">
        <x:is>
          <x:t xml:space="preserve">Cập nhật nguồn JSON/MD/OpenAPI/DDL tương ứng, tái tạo viewer/ZIP và ghi kiểm chứng</x:t>
        </x:is>
      </x:c>
    </x:row>
    <x:row r="688" ht="52" customHeight="1">
      <x:c r="A688" s="20" t="inlineStr">
        <x:is>
          <x:t xml:space="preserve">F20</x:t>
        </x:is>
      </x:c>
      <x:c r="B688" s="20" t="inlineStr">
        <x:is>
          <x:t xml:space="preserve">Quản lý tài liệu / đồng bộ</x:t>
        </x:is>
      </x:c>
      <x:c r="C688" s="20" t="inlineStr">
        <x:is>
          <x:t xml:space="preserve">DOC-043</x:t>
        </x:is>
      </x:c>
      <x:c r="D688" s="20" t="inlineStr">
        <x:is>
          <x:t xml:space="preserve">Luôn dùng sổ quản lý này; cập nhật đủ tài liệu liên quan</x:t>
        </x:is>
      </x:c>
      <x:c r="E688" s="20" t="inlineStr">
        <x:is>
          <x:t xml:space="preserve">Khi chức năng hoặc hợp đồng kỹ thuật đổi</x:t>
        </x:is>
      </x:c>
      <x:c r="F688" s="20" t="inlineStr">
        <x:is>
          <x:t xml:space="preserve">Cập nhật nguồn JSON/MD/OpenAPI/DDL tương ứng, tái tạo viewer/ZIP và ghi kiểm chứng</x:t>
        </x:is>
      </x:c>
    </x:row>
    <x:row r="689" ht="52" customHeight="1">
      <x:c r="A689" s="20" t="inlineStr">
        <x:is>
          <x:t xml:space="preserve">F20</x:t>
        </x:is>
      </x:c>
      <x:c r="B689" s="20" t="inlineStr">
        <x:is>
          <x:t xml:space="preserve">Quản lý tài liệu / đồng bộ</x:t>
        </x:is>
      </x:c>
      <x:c r="C689" s="20" t="inlineStr">
        <x:is>
          <x:t xml:space="preserve">DOC-044</x:t>
        </x:is>
      </x:c>
      <x:c r="D689" s="20" t="inlineStr">
        <x:is>
          <x:t xml:space="preserve">Luôn dùng sổ quản lý này; cập nhật đủ tài liệu liên quan</x:t>
        </x:is>
      </x:c>
      <x:c r="E689" s="20" t="inlineStr">
        <x:is>
          <x:t xml:space="preserve">Khi chức năng hoặc hợp đồng kỹ thuật đổi</x:t>
        </x:is>
      </x:c>
      <x:c r="F689" s="20" t="inlineStr">
        <x:is>
          <x:t xml:space="preserve">Cập nhật nguồn JSON/MD/OpenAPI/DDL tương ứng, tái tạo viewer/ZIP và ghi kiểm chứng</x:t>
        </x:is>
      </x:c>
    </x:row>
    <x:row r="690" ht="52" customHeight="1">
      <x:c r="A690" s="20" t="inlineStr">
        <x:is>
          <x:t xml:space="preserve">F20</x:t>
        </x:is>
      </x:c>
      <x:c r="B690" s="20" t="inlineStr">
        <x:is>
          <x:t xml:space="preserve">Quản lý tài liệu / đồng bộ</x:t>
        </x:is>
      </x:c>
      <x:c r="C690" s="20" t="inlineStr">
        <x:is>
          <x:t xml:space="preserve">DOC-045</x:t>
        </x:is>
      </x:c>
      <x:c r="D690" s="20" t="inlineStr">
        <x:is>
          <x:t xml:space="preserve">Luôn dùng sổ quản lý này; cập nhật đủ tài liệu liên quan</x:t>
        </x:is>
      </x:c>
      <x:c r="E690" s="20" t="inlineStr">
        <x:is>
          <x:t xml:space="preserve">Khi chức năng hoặc hợp đồng kỹ thuật đổi</x:t>
        </x:is>
      </x:c>
      <x:c r="F690" s="20" t="inlineStr">
        <x:is>
          <x:t xml:space="preserve">Cập nhật nguồn JSON/MD/OpenAPI/DDL tương ứng, tái tạo viewer/ZIP và ghi kiểm chứng</x:t>
        </x:is>
      </x:c>
    </x:row>
    <x:row r="691" ht="52" customHeight="1">
      <x:c r="A691" s="20" t="inlineStr">
        <x:is>
          <x:t xml:space="preserve">F20</x:t>
        </x:is>
      </x:c>
      <x:c r="B691" s="20" t="inlineStr">
        <x:is>
          <x:t xml:space="preserve">Quản lý tài liệu / đồng bộ</x:t>
        </x:is>
      </x:c>
      <x:c r="C691" s="20" t="inlineStr">
        <x:is>
          <x:t xml:space="preserve">DOC-046</x:t>
        </x:is>
      </x:c>
      <x:c r="D691" s="20" t="inlineStr">
        <x:is>
          <x:t xml:space="preserve">Luôn dùng sổ quản lý này; cập nhật đủ tài liệu liên quan</x:t>
        </x:is>
      </x:c>
      <x:c r="E691" s="20" t="inlineStr">
        <x:is>
          <x:t xml:space="preserve">Khi chức năng hoặc hợp đồng kỹ thuật đổi</x:t>
        </x:is>
      </x:c>
      <x:c r="F691" s="20" t="inlineStr">
        <x:is>
          <x:t xml:space="preserve">Cập nhật nguồn JSON/MD/OpenAPI/DDL tương ứng, tái tạo viewer/ZIP và ghi kiểm chứng</x:t>
        </x:is>
      </x:c>
    </x:row>
    <x:row r="692" ht="52" customHeight="1">
      <x:c r="A692" s="20" t="inlineStr">
        <x:is>
          <x:t xml:space="preserve">F20</x:t>
        </x:is>
      </x:c>
      <x:c r="B692" s="20" t="inlineStr">
        <x:is>
          <x:t xml:space="preserve">Quản lý tài liệu / đồng bộ</x:t>
        </x:is>
      </x:c>
      <x:c r="C692" s="20" t="inlineStr">
        <x:is>
          <x:t xml:space="preserve">DOC-047</x:t>
        </x:is>
      </x:c>
      <x:c r="D692" s="20" t="inlineStr">
        <x:is>
          <x:t xml:space="preserve">Luôn dùng sổ quản lý này; cập nhật đủ tài liệu liên quan</x:t>
        </x:is>
      </x:c>
      <x:c r="E692" s="20" t="inlineStr">
        <x:is>
          <x:t xml:space="preserve">Khi chức năng hoặc hợp đồng kỹ thuật đổi</x:t>
        </x:is>
      </x:c>
      <x:c r="F692" s="20" t="inlineStr">
        <x:is>
          <x:t xml:space="preserve">Cập nhật nguồn JSON/MD/OpenAPI/DDL tương ứng, tái tạo viewer/ZIP và ghi kiểm chứng</x:t>
        </x:is>
      </x:c>
    </x:row>
    <x:row r="693" ht="52" customHeight="1">
      <x:c r="A693" s="20" t="inlineStr">
        <x:is>
          <x:t xml:space="preserve">F20</x:t>
        </x:is>
      </x:c>
      <x:c r="B693" s="20" t="inlineStr">
        <x:is>
          <x:t xml:space="preserve">Quản lý tài liệu / đồng bộ</x:t>
        </x:is>
      </x:c>
      <x:c r="C693" s="20" t="inlineStr">
        <x:is>
          <x:t xml:space="preserve">DOC-048</x:t>
        </x:is>
      </x:c>
      <x:c r="D693" s="20" t="inlineStr">
        <x:is>
          <x:t xml:space="preserve">Luôn dùng sổ quản lý này; cập nhật đủ tài liệu liên quan</x:t>
        </x:is>
      </x:c>
      <x:c r="E693" s="20" t="inlineStr">
        <x:is>
          <x:t xml:space="preserve">Khi chức năng hoặc hợp đồng kỹ thuật đổi</x:t>
        </x:is>
      </x:c>
      <x:c r="F693" s="20" t="inlineStr">
        <x:is>
          <x:t xml:space="preserve">Cập nhật nguồn JSON/MD/OpenAPI/DDL tương ứng, tái tạo viewer/ZIP và ghi kiểm chứng</x:t>
        </x:is>
      </x:c>
    </x:row>
    <x:row r="694" ht="64" customHeight="1">
      <x:c r="A694" s="24" t="inlineStr">
        <x:is>
          <x:t xml:space="preserve">F04</x:t>
        </x:is>
      </x:c>
      <x:c r="B694" s="24" t="inlineStr">
        <x:is>
          <x:t xml:space="preserve">Tìm kiếm / bản đồ / vùng phục vụ</x:t>
        </x:is>
      </x:c>
      <x:c r="C694" s="24" t="inlineStr">
        <x:is>
          <x:t xml:space="preserve">DOC-049</x:t>
        </x:is>
      </x:c>
      <x:c r="D694" s="24" t="inlineStr">
        <x:is>
          <x:t xml:space="preserve">Màn minh họa / tokens đề xuất</x:t>
        </x:is>
      </x:c>
      <x:c r="E694" s="24" t="inlineStr">
        <x:is>
          <x:t xml:space="preserve">Khi duyệt hướng UI hoặc thay đổi nghiệp vụ liên quan</x:t>
        </x:is>
      </x:c>
      <x:c r="F694" s="24" t="inlineStr">
        <x:is>
          <x:t xml:space="preserve">Đối chiếu Figma với tài liệu nguồn, ghi rõ đề xuất và kiểm ảnh</x:t>
        </x:is>
      </x:c>
    </x:row>
    <x:row r="695" ht="64" customHeight="1">
      <x:c r="A695" s="24" t="inlineStr">
        <x:is>
          <x:t xml:space="preserve">F05</x:t>
        </x:is>
      </x:c>
      <x:c r="B695" s="24" t="inlineStr">
        <x:is>
          <x:t xml:space="preserve">Bật / tắt nhận việc</x:t>
        </x:is>
      </x:c>
      <x:c r="C695" s="24" t="inlineStr">
        <x:is>
          <x:t xml:space="preserve">DOC-049</x:t>
        </x:is>
      </x:c>
      <x:c r="D695" s="24" t="inlineStr">
        <x:is>
          <x:t xml:space="preserve">Màn minh họa / tokens đề xuất</x:t>
        </x:is>
      </x:c>
      <x:c r="E695" s="24" t="inlineStr">
        <x:is>
          <x:t xml:space="preserve">Khi duyệt hướng UI hoặc thay đổi nghiệp vụ liên quan</x:t>
        </x:is>
      </x:c>
      <x:c r="F695" s="24" t="inlineStr">
        <x:is>
          <x:t xml:space="preserve">Đối chiếu Figma với tài liệu nguồn, ghi rõ đề xuất và kiểm ảnh</x:t>
        </x:is>
      </x:c>
    </x:row>
    <x:row r="696" ht="64" customHeight="1">
      <x:c r="A696" s="24" t="inlineStr">
        <x:is>
          <x:t xml:space="preserve">F06</x:t>
        </x:is>
      </x:c>
      <x:c r="B696" s="24" t="inlineStr">
        <x:is>
          <x:t xml:space="preserve">Thuê ngay / hẹn trước</x:t>
        </x:is>
      </x:c>
      <x:c r="C696" s="24" t="inlineStr">
        <x:is>
          <x:t xml:space="preserve">DOC-049</x:t>
        </x:is>
      </x:c>
      <x:c r="D696" s="24" t="inlineStr">
        <x:is>
          <x:t xml:space="preserve">Màn minh họa / tokens đề xuất</x:t>
        </x:is>
      </x:c>
      <x:c r="E696" s="24" t="inlineStr">
        <x:is>
          <x:t xml:space="preserve">Khi duyệt hướng UI hoặc thay đổi nghiệp vụ liên quan</x:t>
        </x:is>
      </x:c>
      <x:c r="F696" s="24" t="inlineStr">
        <x:is>
          <x:t xml:space="preserve">Đối chiếu Figma với tài liệu nguồn, ghi rõ đề xuất và kiểm ảnh</x:t>
        </x:is>
      </x:c>
    </x:row>
    <x:row r="697" ht="64" customHeight="1">
      <x:c r="A697" s="24" t="inlineStr">
        <x:is>
          <x:t xml:space="preserve">F10</x:t>
        </x:is>
      </x:c>
      <x:c r="B697" s="24" t="inlineStr">
        <x:is>
          <x:t xml:space="preserve">Hóa đơn / ảnh / phiên bản</x:t>
        </x:is>
      </x:c>
      <x:c r="C697" s="24" t="inlineStr">
        <x:is>
          <x:t xml:space="preserve">DOC-049</x:t>
        </x:is>
      </x:c>
      <x:c r="D697" s="24" t="inlineStr">
        <x:is>
          <x:t xml:space="preserve">Màn minh họa / tokens đề xuất</x:t>
        </x:is>
      </x:c>
      <x:c r="E697" s="24" t="inlineStr">
        <x:is>
          <x:t xml:space="preserve">Khi duyệt hướng UI hoặc thay đổi nghiệp vụ liên quan</x:t>
        </x:is>
      </x:c>
      <x:c r="F697" s="24" t="inlineStr">
        <x:is>
          <x:t xml:space="preserve">Đối chiếu Figma với tài liệu nguồn, ghi rõ đề xuất và kiểm ảnh</x:t>
        </x:is>
      </x:c>
    </x:row>
    <x:row r="698" ht="64" customHeight="1">
      <x:c r="A698" s="24" t="inlineStr">
        <x:is>
          <x:t xml:space="preserve">F16</x:t>
        </x:is>
      </x:c>
      <x:c r="B698" s="24" t="inlineStr">
        <x:is>
          <x:t xml:space="preserve">Admin / kiểm duyệt / báo cáo / audit</x:t>
        </x:is>
      </x:c>
      <x:c r="C698" s="24" t="inlineStr">
        <x:is>
          <x:t xml:space="preserve">DOC-049</x:t>
        </x:is>
      </x:c>
      <x:c r="D698" s="24" t="inlineStr">
        <x:is>
          <x:t xml:space="preserve">Màn minh họa / tokens đề xuất</x:t>
        </x:is>
      </x:c>
      <x:c r="E698" s="24" t="inlineStr">
        <x:is>
          <x:t xml:space="preserve">Khi duyệt hướng UI hoặc thay đổi nghiệp vụ liên quan</x:t>
        </x:is>
      </x:c>
      <x:c r="F698" s="24" t="inlineStr">
        <x:is>
          <x:t xml:space="preserve">Đối chiếu Figma với tài liệu nguồn, ghi rõ đề xuất và kiểm ảnh</x:t>
        </x:is>
      </x:c>
    </x:row>
    <x:row r="699" ht="64" customHeight="1">
      <x:c r="A699" s="24" t="inlineStr">
        <x:is>
          <x:t xml:space="preserve">F17</x:t>
        </x:is>
      </x:c>
      <x:c r="B699" s="24" t="inlineStr">
        <x:is>
          <x:t xml:space="preserve">App / web / ngôn ngữ</x:t>
        </x:is>
      </x:c>
      <x:c r="C699" s="24" t="inlineStr">
        <x:is>
          <x:t xml:space="preserve">DOC-049</x:t>
        </x:is>
      </x:c>
      <x:c r="D699" s="24" t="inlineStr">
        <x:is>
          <x:t xml:space="preserve">Màn minh họa / tokens đề xuất</x:t>
        </x:is>
      </x:c>
      <x:c r="E699" s="24" t="inlineStr">
        <x:is>
          <x:t xml:space="preserve">Khi duyệt hướng UI hoặc thay đổi nghiệp vụ liên quan</x:t>
        </x:is>
      </x:c>
      <x:c r="F699" s="24" t="inlineStr">
        <x:is>
          <x:t xml:space="preserve">Đối chiếu Figma với tài liệu nguồn, ghi rõ đề xuất và kiểm ảnh</x:t>
        </x:is>
      </x:c>
    </x:row>
    <x:row r="700" ht="64" customHeight="1">
      <x:c r="A700" s="24" t="inlineStr">
        <x:is>
          <x:t xml:space="preserve">F20</x:t>
        </x:is>
      </x:c>
      <x:c r="B700" s="24" t="inlineStr">
        <x:is>
          <x:t xml:space="preserve">Quản lý tài liệu / đồng bộ</x:t>
        </x:is>
      </x:c>
      <x:c r="C700" s="24" t="inlineStr">
        <x:is>
          <x:t xml:space="preserve">DOC-049</x:t>
        </x:is>
      </x:c>
      <x:c r="D700" s="24" t="inlineStr">
        <x:is>
          <x:t xml:space="preserve">Màn minh họa / tokens đề xuất</x:t>
        </x:is>
      </x:c>
      <x:c r="E700" s="24" t="inlineStr">
        <x:is>
          <x:t xml:space="preserve">Khi duyệt hướng UI hoặc thay đổi nghiệp vụ liên quan</x:t>
        </x:is>
      </x:c>
      <x:c r="F700" s="24" t="inlineStr">
        <x:is>
          <x:t xml:space="preserve">Đối chiếu Figma với tài liệu nguồn, ghi rõ đề xuất và kiểm ảnh</x:t>
        </x:is>
      </x:c>
    </x:row>
    <x:row r="701" ht="60" customHeight="1">
      <x:c r="A701" s="24" t="inlineStr">
        <x:is>
          <x:t xml:space="preserve">F04</x:t>
        </x:is>
      </x:c>
      <x:c r="B701" s="24" t="inlineStr">
        <x:is>
          <x:t xml:space="preserve">Tìm kiếm / bản đồ / vùng phục vụ</x:t>
        </x:is>
      </x:c>
      <x:c r="C701" s="24" t="inlineStr">
        <x:is>
          <x:t xml:space="preserve">DOC-050</x:t>
        </x:is>
      </x:c>
      <x:c r="D701" s="24" t="inlineStr">
        <x:is>
          <x:t xml:space="preserve">Bản thử / đề xuất UI</x:t>
        </x:is>
      </x:c>
      <x:c r="E701" s="24" t="inlineStr">
        <x:is>
          <x:t xml:space="preserve">Khi thay đổi thiết kế hoặc chốt hướng</x:t>
        </x:is>
      </x:c>
      <x:c r="F701" s="24" t="inlineStr">
        <x:is>
          <x:t xml:space="preserve">Đối chiếu bản thử, README và nguồn đã duyệt; chưa thay SRS bằng đề xuất</x:t>
        </x:is>
      </x:c>
    </x:row>
    <x:row r="702" ht="60" customHeight="1">
      <x:c r="A702" s="24" t="inlineStr">
        <x:is>
          <x:t xml:space="preserve">F09</x:t>
        </x:is>
      </x:c>
      <x:c r="B702" s="24" t="inlineStr">
        <x:is>
          <x:t xml:space="preserve">Chat / gọi / thông báo</x:t>
        </x:is>
      </x:c>
      <x:c r="C702" s="24" t="inlineStr">
        <x:is>
          <x:t xml:space="preserve">DOC-050</x:t>
        </x:is>
      </x:c>
      <x:c r="D702" s="24" t="inlineStr">
        <x:is>
          <x:t xml:space="preserve">Bản thử / đề xuất UI</x:t>
        </x:is>
      </x:c>
      <x:c r="E702" s="24" t="inlineStr">
        <x:is>
          <x:t xml:space="preserve">Khi thay đổi thiết kế hoặc chốt hướng</x:t>
        </x:is>
      </x:c>
      <x:c r="F702" s="24" t="inlineStr">
        <x:is>
          <x:t xml:space="preserve">Đối chiếu bản thử, README và nguồn đã duyệt; chưa thay SRS bằng đề xuất</x:t>
        </x:is>
      </x:c>
    </x:row>
    <x:row r="703" ht="60" customHeight="1">
      <x:c r="A703" s="24" t="inlineStr">
        <x:is>
          <x:t xml:space="preserve">F17</x:t>
        </x:is>
      </x:c>
      <x:c r="B703" s="24" t="inlineStr">
        <x:is>
          <x:t xml:space="preserve">App / web / ngôn ngữ</x:t>
        </x:is>
      </x:c>
      <x:c r="C703" s="24" t="inlineStr">
        <x:is>
          <x:t xml:space="preserve">DOC-050</x:t>
        </x:is>
      </x:c>
      <x:c r="D703" s="24" t="inlineStr">
        <x:is>
          <x:t xml:space="preserve">Bản thử / đề xuất UI</x:t>
        </x:is>
      </x:c>
      <x:c r="E703" s="24" t="inlineStr">
        <x:is>
          <x:t xml:space="preserve">Khi thay đổi thiết kế hoặc chốt hướng</x:t>
        </x:is>
      </x:c>
      <x:c r="F703" s="24" t="inlineStr">
        <x:is>
          <x:t xml:space="preserve">Đối chiếu bản thử, README và nguồn đã duyệt; chưa thay SRS bằng đề xuất</x:t>
        </x:is>
      </x:c>
    </x:row>
    <x:row r="704" ht="60" customHeight="1">
      <x:c r="A704" s="24" t="inlineStr">
        <x:is>
          <x:t xml:space="preserve">F20</x:t>
        </x:is>
      </x:c>
      <x:c r="B704" s="24" t="inlineStr">
        <x:is>
          <x:t xml:space="preserve">Quản lý tài liệu / đồng bộ</x:t>
        </x:is>
      </x:c>
      <x:c r="C704" s="24" t="inlineStr">
        <x:is>
          <x:t xml:space="preserve">DOC-050</x:t>
        </x:is>
      </x:c>
      <x:c r="D704" s="24" t="inlineStr">
        <x:is>
          <x:t xml:space="preserve">Bản thử / đề xuất UI</x:t>
        </x:is>
      </x:c>
      <x:c r="E704" s="24" t="inlineStr">
        <x:is>
          <x:t xml:space="preserve">Khi thay đổi thiết kế hoặc chốt hướng</x:t>
        </x:is>
      </x:c>
      <x:c r="F704" s="24" t="inlineStr">
        <x:is>
          <x:t xml:space="preserve">Đối chiếu bản thử, README và nguồn đã duyệt; chưa thay SRS bằng đề xuất</x:t>
        </x:is>
      </x:c>
    </x:row>
    <x:row r="705" ht="60" customHeight="1">
      <x:c r="A705" s="24" t="inlineStr">
        <x:is>
          <x:t xml:space="preserve">F04</x:t>
        </x:is>
      </x:c>
      <x:c r="B705" s="24" t="inlineStr">
        <x:is>
          <x:t xml:space="preserve">Tìm kiếm / bản đồ / vùng phục vụ</x:t>
        </x:is>
      </x:c>
      <x:c r="C705" s="24" t="inlineStr">
        <x:is>
          <x:t xml:space="preserve">DOC-051</x:t>
        </x:is>
      </x:c>
      <x:c r="D705" s="24" t="inlineStr">
        <x:is>
          <x:t xml:space="preserve">Bản thử / đề xuất UI</x:t>
        </x:is>
      </x:c>
      <x:c r="E705" s="24" t="inlineStr">
        <x:is>
          <x:t xml:space="preserve">Khi thay đổi thiết kế hoặc chốt hướng</x:t>
        </x:is>
      </x:c>
      <x:c r="F705" s="24" t="inlineStr">
        <x:is>
          <x:t xml:space="preserve">Đối chiếu bản thử, README và nguồn đã duyệt; chưa thay SRS bằng đề xuất</x:t>
        </x:is>
      </x:c>
    </x:row>
    <x:row r="706" ht="60" customHeight="1">
      <x:c r="A706" s="24" t="inlineStr">
        <x:is>
          <x:t xml:space="preserve">F09</x:t>
        </x:is>
      </x:c>
      <x:c r="B706" s="24" t="inlineStr">
        <x:is>
          <x:t xml:space="preserve">Chat / gọi / thông báo</x:t>
        </x:is>
      </x:c>
      <x:c r="C706" s="24" t="inlineStr">
        <x:is>
          <x:t xml:space="preserve">DOC-051</x:t>
        </x:is>
      </x:c>
      <x:c r="D706" s="24" t="inlineStr">
        <x:is>
          <x:t xml:space="preserve">Bản thử / đề xuất UI</x:t>
        </x:is>
      </x:c>
      <x:c r="E706" s="24" t="inlineStr">
        <x:is>
          <x:t xml:space="preserve">Khi thay đổi thiết kế hoặc chốt hướng</x:t>
        </x:is>
      </x:c>
      <x:c r="F706" s="24" t="inlineStr">
        <x:is>
          <x:t xml:space="preserve">Đối chiếu bản thử, README và nguồn đã duyệt; chưa thay SRS bằng đề xuất</x:t>
        </x:is>
      </x:c>
    </x:row>
    <x:row r="707" ht="60" customHeight="1">
      <x:c r="A707" s="24" t="inlineStr">
        <x:is>
          <x:t xml:space="preserve">F17</x:t>
        </x:is>
      </x:c>
      <x:c r="B707" s="24" t="inlineStr">
        <x:is>
          <x:t xml:space="preserve">App / web / ngôn ngữ</x:t>
        </x:is>
      </x:c>
      <x:c r="C707" s="24" t="inlineStr">
        <x:is>
          <x:t xml:space="preserve">DOC-051</x:t>
        </x:is>
      </x:c>
      <x:c r="D707" s="24" t="inlineStr">
        <x:is>
          <x:t xml:space="preserve">Bản thử / đề xuất UI</x:t>
        </x:is>
      </x:c>
      <x:c r="E707" s="24" t="inlineStr">
        <x:is>
          <x:t xml:space="preserve">Khi thay đổi thiết kế hoặc chốt hướng</x:t>
        </x:is>
      </x:c>
      <x:c r="F707" s="24" t="inlineStr">
        <x:is>
          <x:t xml:space="preserve">Đối chiếu bản thử, README và nguồn đã duyệt; chưa thay SRS bằng đề xuất</x:t>
        </x:is>
      </x:c>
    </x:row>
    <x:row r="708" ht="60" customHeight="1">
      <x:c r="A708" s="24" t="inlineStr">
        <x:is>
          <x:t xml:space="preserve">F20</x:t>
        </x:is>
      </x:c>
      <x:c r="B708" s="24" t="inlineStr">
        <x:is>
          <x:t xml:space="preserve">Quản lý tài liệu / đồng bộ</x:t>
        </x:is>
      </x:c>
      <x:c r="C708" s="24" t="inlineStr">
        <x:is>
          <x:t xml:space="preserve">DOC-051</x:t>
        </x:is>
      </x:c>
      <x:c r="D708" s="24" t="inlineStr">
        <x:is>
          <x:t xml:space="preserve">Bản thử / đề xuất UI</x:t>
        </x:is>
      </x:c>
      <x:c r="E708" s="24" t="inlineStr">
        <x:is>
          <x:t xml:space="preserve">Khi thay đổi thiết kế hoặc chốt hướng</x:t>
        </x:is>
      </x:c>
      <x:c r="F708" s="24" t="inlineStr">
        <x:is>
          <x:t xml:space="preserve">Đối chiếu bản thử, README và nguồn đã duyệt; chưa thay SRS bằng đề xuất</x:t>
        </x:is>
      </x:c>
    </x:row>
    <x:row r="709" ht="60" customHeight="1">
      <x:c r="A709" s="24" t="inlineStr">
        <x:is>
          <x:t xml:space="preserve">F04</x:t>
        </x:is>
      </x:c>
      <x:c r="B709" s="24" t="inlineStr">
        <x:is>
          <x:t xml:space="preserve">Tìm kiếm / bản đồ / vùng phục vụ</x:t>
        </x:is>
      </x:c>
      <x:c r="C709" s="24" t="inlineStr">
        <x:is>
          <x:t xml:space="preserve">DOC-052</x:t>
        </x:is>
      </x:c>
      <x:c r="D709" s="24" t="inlineStr">
        <x:is>
          <x:t xml:space="preserve">Bản thử / đề xuất UI</x:t>
        </x:is>
      </x:c>
      <x:c r="E709" s="24" t="inlineStr">
        <x:is>
          <x:t xml:space="preserve">Khi thay đổi thiết kế hoặc chốt hướng</x:t>
        </x:is>
      </x:c>
      <x:c r="F709" s="24" t="inlineStr">
        <x:is>
          <x:t xml:space="preserve">Đối chiếu bản thử, README và nguồn đã duyệt; chưa thay SRS bằng đề xuất</x:t>
        </x:is>
      </x:c>
    </x:row>
    <x:row r="710" ht="60" customHeight="1">
      <x:c r="A710" s="24" t="inlineStr">
        <x:is>
          <x:t xml:space="preserve">F09</x:t>
        </x:is>
      </x:c>
      <x:c r="B710" s="24" t="inlineStr">
        <x:is>
          <x:t xml:space="preserve">Chat / gọi / thông báo</x:t>
        </x:is>
      </x:c>
      <x:c r="C710" s="24" t="inlineStr">
        <x:is>
          <x:t xml:space="preserve">DOC-052</x:t>
        </x:is>
      </x:c>
      <x:c r="D710" s="24" t="inlineStr">
        <x:is>
          <x:t xml:space="preserve">Bản thử / đề xuất UI</x:t>
        </x:is>
      </x:c>
      <x:c r="E710" s="24" t="inlineStr">
        <x:is>
          <x:t xml:space="preserve">Khi thay đổi thiết kế hoặc chốt hướng</x:t>
        </x:is>
      </x:c>
      <x:c r="F710" s="24" t="inlineStr">
        <x:is>
          <x:t xml:space="preserve">Đối chiếu bản thử, README và nguồn đã duyệt; chưa thay SRS bằng đề xuất</x:t>
        </x:is>
      </x:c>
    </x:row>
    <x:row r="711" ht="60" customHeight="1">
      <x:c r="A711" s="24" t="inlineStr">
        <x:is>
          <x:t xml:space="preserve">F17</x:t>
        </x:is>
      </x:c>
      <x:c r="B711" s="24" t="inlineStr">
        <x:is>
          <x:t xml:space="preserve">App / web / ngôn ngữ</x:t>
        </x:is>
      </x:c>
      <x:c r="C711" s="24" t="inlineStr">
        <x:is>
          <x:t xml:space="preserve">DOC-052</x:t>
        </x:is>
      </x:c>
      <x:c r="D711" s="24" t="inlineStr">
        <x:is>
          <x:t xml:space="preserve">Bản thử / đề xuất UI</x:t>
        </x:is>
      </x:c>
      <x:c r="E711" s="24" t="inlineStr">
        <x:is>
          <x:t xml:space="preserve">Khi thay đổi thiết kế hoặc chốt hướng</x:t>
        </x:is>
      </x:c>
      <x:c r="F711" s="24" t="inlineStr">
        <x:is>
          <x:t xml:space="preserve">Đối chiếu bản thử, README và nguồn đã duyệt; chưa thay SRS bằng đề xuất</x:t>
        </x:is>
      </x:c>
    </x:row>
    <x:row r="712" ht="60" customHeight="1">
      <x:c r="A712" s="24" t="inlineStr">
        <x:is>
          <x:t xml:space="preserve">F20</x:t>
        </x:is>
      </x:c>
      <x:c r="B712" s="24" t="inlineStr">
        <x:is>
          <x:t xml:space="preserve">Quản lý tài liệu / đồng bộ</x:t>
        </x:is>
      </x:c>
      <x:c r="C712" s="24" t="inlineStr">
        <x:is>
          <x:t xml:space="preserve">DOC-052</x:t>
        </x:is>
      </x:c>
      <x:c r="D712" s="24" t="inlineStr">
        <x:is>
          <x:t xml:space="preserve">Bản thử / đề xuất UI</x:t>
        </x:is>
      </x:c>
      <x:c r="E712" s="24" t="inlineStr">
        <x:is>
          <x:t xml:space="preserve">Khi thay đổi thiết kế hoặc chốt hướng</x:t>
        </x:is>
      </x:c>
      <x:c r="F712" s="24" t="inlineStr">
        <x:is>
          <x:t xml:space="preserve">Đối chiếu bản thử, README và nguồn đã duyệt; chưa thay SRS bằng đề xuất</x:t>
        </x:is>
      </x:c>
    </x:row>
    <x:row r="713" ht="60" customHeight="1">
      <x:c r="A713" s="24" t="inlineStr">
        <x:is>
          <x:t xml:space="preserve">F04</x:t>
        </x:is>
      </x:c>
      <x:c r="B713" s="24" t="inlineStr">
        <x:is>
          <x:t xml:space="preserve">Tìm kiếm / bản đồ / vùng phục vụ</x:t>
        </x:is>
      </x:c>
      <x:c r="C713" s="24" t="inlineStr">
        <x:is>
          <x:t xml:space="preserve">DOC-053</x:t>
        </x:is>
      </x:c>
      <x:c r="D713" s="24" t="inlineStr">
        <x:is>
          <x:t xml:space="preserve">Đề xuất UI</x:t>
        </x:is>
      </x:c>
      <x:c r="E713" s="24" t="inlineStr">
        <x:is>
          <x:t xml:space="preserve">Khi duyệt hướng UI</x:t>
        </x:is>
      </x:c>
      <x:c r="F713" s="24" t="inlineStr">
        <x:is>
          <x:t xml:space="preserve">Đối chiếu UX và dữ liệu vùng phục vụ</x:t>
        </x:is>
      </x:c>
    </x:row>
    <x:row r="714" ht="60" customHeight="1">
      <x:c r="A714" s="24" t="inlineStr">
        <x:is>
          <x:t xml:space="preserve">F09</x:t>
        </x:is>
      </x:c>
      <x:c r="B714" s="24" t="inlineStr">
        <x:is>
          <x:t xml:space="preserve">Chat / gọi / thông báo</x:t>
        </x:is>
      </x:c>
      <x:c r="C714" s="24" t="inlineStr">
        <x:is>
          <x:t xml:space="preserve">DOC-053</x:t>
        </x:is>
      </x:c>
      <x:c r="D714" s="24" t="inlineStr">
        <x:is>
          <x:t xml:space="preserve">Đề xuất UI</x:t>
        </x:is>
      </x:c>
      <x:c r="E714" s="24" t="inlineStr">
        <x:is>
          <x:t xml:space="preserve">Khi duyệt hướng UI</x:t>
        </x:is>
      </x:c>
      <x:c r="F714" s="24" t="inlineStr">
        <x:is>
          <x:t xml:space="preserve">Chat trước thuê và lịch sử theo cặp giữ nguyên</x:t>
        </x:is>
      </x:c>
    </x:row>
    <x:row r="715" ht="60" customHeight="1">
      <x:c r="A715" s="24" t="inlineStr">
        <x:is>
          <x:t xml:space="preserve">F17</x:t>
        </x:is>
      </x:c>
      <x:c r="B715" s="24" t="inlineStr">
        <x:is>
          <x:t xml:space="preserve">App / web / ngôn ngữ</x:t>
        </x:is>
      </x:c>
      <x:c r="C715" s="24" t="inlineStr">
        <x:is>
          <x:t xml:space="preserve">DOC-053</x:t>
        </x:is>
      </x:c>
      <x:c r="D715" s="24" t="inlineStr">
        <x:is>
          <x:t xml:space="preserve">Đề xuất UI</x:t>
        </x:is>
      </x:c>
      <x:c r="E715" s="24" t="inlineStr">
        <x:is>
          <x:t xml:space="preserve">Khi duyệt hướng UI</x:t>
        </x:is>
      </x:c>
      <x:c r="F715" s="24" t="inlineStr">
        <x:is>
          <x:t xml:space="preserve">Mobile và web dùng cùng hệ thống thiết kế</x:t>
        </x:is>
      </x:c>
    </x:row>
    <x:row r="716" ht="60" customHeight="1">
      <x:c r="A716" s="24" t="inlineStr">
        <x:is>
          <x:t xml:space="preserve">F20</x:t>
        </x:is>
      </x:c>
      <x:c r="B716" s="24" t="inlineStr">
        <x:is>
          <x:t xml:space="preserve">Quản lý tài liệu / đồng bộ</x:t>
        </x:is>
      </x:c>
      <x:c r="C716" s="24" t="inlineStr">
        <x:is>
          <x:t xml:space="preserve">DOC-053</x:t>
        </x:is>
      </x:c>
      <x:c r="D716" s="24" t="inlineStr">
        <x:is>
          <x:t xml:space="preserve">Tổ chức dự án</x:t>
        </x:is>
      </x:c>
      <x:c r="E716" s="24" t="inlineStr">
        <x:is>
          <x:t xml:space="preserve">Khi đổi đường dẫn</x:t>
        </x:is>
      </x:c>
      <x:c r="F716" s="24" t="inlineStr">
        <x:is>
          <x:t xml:space="preserve">Một sổ quản lý chính; cũ là symlink</x:t>
        </x:is>
      </x:c>
    </x:row>
    <x:row r="717" ht="65" customHeight="1">
      <x:c r="A717" s="24" t="inlineStr">
        <x:is>
          <x:t xml:space="preserve">F17</x:t>
        </x:is>
      </x:c>
      <x:c r="B717" s="24" t="inlineStr">
        <x:is>
          <x:t xml:space="preserve">App/web</x:t>
        </x:is>
      </x:c>
      <x:c r="C717" s="24" t="inlineStr">
        <x:is>
          <x:t xml:space="preserve">DOC-054</x:t>
        </x:is>
      </x:c>
      <x:c r="D717" s="24" t="inlineStr">
        <x:is>
          <x:t xml:space="preserve">Tổ chức dự án</x:t>
        </x:is>
      </x:c>
      <x:c r="E717" s="24" t="inlineStr">
        <x:is>
          <x:t xml:space="preserve">Khi đổi cấu trúc</x:t>
        </x:is>
      </x:c>
      <x:c r="F717" s="24" t="inlineStr">
        <x:is>
          <x:t xml:space="preserve">Đối chiếu README, apps, services, ui-ux</x:t>
        </x:is>
      </x:c>
    </x:row>
    <x:row r="718" ht="65" customHeight="1">
      <x:c r="A718" s="24" t="inlineStr">
        <x:is>
          <x:t xml:space="preserve">F20</x:t>
        </x:is>
      </x:c>
      <x:c r="B718" s="24" t="inlineStr">
        <x:is>
          <x:t xml:space="preserve">Quản lý tài liệu</x:t>
        </x:is>
      </x:c>
      <x:c r="C718" s="24" t="inlineStr">
        <x:is>
          <x:t xml:space="preserve">DOC-054</x:t>
        </x:is>
      </x:c>
      <x:c r="D718" s="24" t="inlineStr">
        <x:is>
          <x:t xml:space="preserve">Đường dẫn chính</x:t>
        </x:is>
      </x:c>
      <x:c r="E718" s="24" t="inlineStr">
        <x:is>
          <x:t xml:space="preserve">Khi di chuyển</x:t>
        </x:is>
      </x:c>
      <x:c r="F718" s="24" t="inlineStr">
        <x:is>
          <x:t xml:space="preserve">Giữ một sổ quản lý và cùng Drive ID</x:t>
        </x:is>
      </x:c>
    </x:row>
    <x:row r="719" ht="65" customHeight="1">
      <x:c r="A719" s="24" t="inlineStr">
        <x:is>
          <x:t xml:space="preserve">F04</x:t>
        </x:is>
      </x:c>
      <x:c r="B719" s="24" t="inlineStr">
        <x:is>
          <x:t xml:space="preserve">Tìm kiếm / bản đồ</x:t>
        </x:is>
      </x:c>
      <x:c r="C719" s="24" t="inlineStr">
        <x:is>
          <x:t xml:space="preserve">DOC-055</x:t>
        </x:is>
      </x:c>
      <x:c r="D719" s="24" t="inlineStr">
        <x:is>
          <x:t xml:space="preserve">Đề xuất quảng bá</x:t>
        </x:is>
      </x:c>
      <x:c r="E719" s="24" t="inlineStr">
        <x:is>
          <x:t xml:space="preserve">Chỉ sau khi duyệt PROMO-01</x:t>
        </x:is>
      </x:c>
      <x:c r="F719" s="24" t="inlineStr">
        <x:is>
          <x:t xml:space="preserve">Đối chiếu thẻ tài trợ và điều kiện partner</x:t>
        </x:is>
      </x:c>
    </x:row>
    <x:row r="720" ht="65" customHeight="1">
      <x:c r="A720" s="24" t="inlineStr">
        <x:is>
          <x:t xml:space="preserve">F17</x:t>
        </x:is>
      </x:c>
      <x:c r="B720" s="24" t="inlineStr">
        <x:is>
          <x:t xml:space="preserve">App/web</x:t>
        </x:is>
      </x:c>
      <x:c r="C720" s="24" t="inlineStr">
        <x:is>
          <x:t xml:space="preserve">DOC-055</x:t>
        </x:is>
      </x:c>
      <x:c r="D720" s="24" t="inlineStr">
        <x:is>
          <x:t xml:space="preserve">Đề xuất UI</x:t>
        </x:is>
      </x:c>
      <x:c r="E720" s="24" t="inlineStr">
        <x:is>
          <x:t xml:space="preserve">Chỉ sau khi duyệt PROMO-01</x:t>
        </x:is>
      </x:c>
      <x:c r="F720" s="24" t="inlineStr">
        <x:is>
          <x:t xml:space="preserve">Banner responsive và màn ưu đãi</x:t>
        </x:is>
      </x:c>
    </x:row>
    <x:row r="721" ht="65" customHeight="1">
      <x:c r="A721" s="24" t="inlineStr">
        <x:is>
          <x:t xml:space="preserve">F20</x:t>
        </x:is>
      </x:c>
      <x:c r="B721" s="24" t="inlineStr">
        <x:is>
          <x:t xml:space="preserve">Quản lý tài liệu</x:t>
        </x:is>
      </x:c>
      <x:c r="C721" s="24" t="inlineStr">
        <x:is>
          <x:t xml:space="preserve">DOC-055</x:t>
        </x:is>
      </x:c>
      <x:c r="D721" s="24" t="inlineStr">
        <x:is>
          <x:t xml:space="preserve">Nghiên cứu</x:t>
        </x:is>
      </x:c>
      <x:c r="E721" s="24" t="inlineStr">
        <x:is>
          <x:t xml:space="preserve">Khi chốt chính sách</x:t>
        </x:is>
      </x:c>
      <x:c r="F721" s="24" t="inlineStr">
        <x:is>
          <x:t xml:space="preserve">Đồng bộ FR/SRS/UX/hóa đơn/point/ví/admin/ERD/API/QA; không tự bật phạm vi</x:t>
        </x:is>
      </x:c>
    </x:row>
    <x:row r="722" ht="110" customHeight="1">
      <x:c r="A722" s="24" t="inlineStr">
        <x:is>
          <x:t xml:space="preserve">F06</x:t>
        </x:is>
      </x:c>
      <x:c r="B722" s="24" t="inlineStr">
        <x:is>
          <x:t xml:space="preserve">Thuê ngay / hẹn trước</x:t>
        </x:is>
      </x:c>
      <x:c r="C722" s="24" t="inlineStr">
        <x:is>
          <x:t xml:space="preserve">DOC-050</x:t>
        </x:is>
      </x:c>
      <x:c r="D722" s="24" t="inlineStr">
        <x:is>
          <x:t xml:space="preserve">UI-05; không thay nghiệp vụ</x:t>
        </x:is>
      </x:c>
      <x:c r="E722" s="24" t="inlineStr">
        <x:is>
          <x:t xml:space="preserve">Khi sửa luồng khách hàng</x:t>
        </x:is>
      </x:c>
      <x:c r="F722" s="24" t="inlineStr">
        <x:is>
          <x:t xml:space="preserve">Đối chiếu DOC-056, nguồn nghiệp vụ và prototype; cập nhật ZIP/registry</x:t>
        </x:is>
      </x:c>
    </x:row>
    <x:row r="723" ht="110" customHeight="1">
      <x:c r="A723" s="24" t="inlineStr">
        <x:is>
          <x:t xml:space="preserve">F10</x:t>
        </x:is>
      </x:c>
      <x:c r="B723" s="24" t="inlineStr">
        <x:is>
          <x:t xml:space="preserve">Hóa đơn / ảnh / phiên bản</x:t>
        </x:is>
      </x:c>
      <x:c r="C723" s="24" t="inlineStr">
        <x:is>
          <x:t xml:space="preserve">DOC-050</x:t>
        </x:is>
      </x:c>
      <x:c r="D723" s="24" t="inlineStr">
        <x:is>
          <x:t xml:space="preserve">UI-05; không thay nghiệp vụ</x:t>
        </x:is>
      </x:c>
      <x:c r="E723" s="24" t="inlineStr">
        <x:is>
          <x:t xml:space="preserve">Khi sửa luồng khách hàng</x:t>
        </x:is>
      </x:c>
      <x:c r="F723" s="24" t="inlineStr">
        <x:is>
          <x:t xml:space="preserve">Đối chiếu DOC-056, nguồn nghiệp vụ và prototype; cập nhật ZIP/registry</x:t>
        </x:is>
      </x:c>
    </x:row>
    <x:row r="724" ht="110" customHeight="1">
      <x:c r="A724" s="24" t="inlineStr">
        <x:is>
          <x:t xml:space="preserve">F11</x:t>
        </x:is>
      </x:c>
      <x:c r="B724" s="24" t="inlineStr">
        <x:is>
          <x:t xml:space="preserve">Point / giữ phí / quyết toán</x:t>
        </x:is>
      </x:c>
      <x:c r="C724" s="24" t="inlineStr">
        <x:is>
          <x:t xml:space="preserve">DOC-050</x:t>
        </x:is>
      </x:c>
      <x:c r="D724" s="24" t="inlineStr">
        <x:is>
          <x:t xml:space="preserve">UI-05; không thay nghiệp vụ</x:t>
        </x:is>
      </x:c>
      <x:c r="E724" s="24" t="inlineStr">
        <x:is>
          <x:t xml:space="preserve">Khi sửa luồng khách hàng</x:t>
        </x:is>
      </x:c>
      <x:c r="F724" s="24" t="inlineStr">
        <x:is>
          <x:t xml:space="preserve">Đối chiếu DOC-056, nguồn nghiệp vụ và prototype; cập nhật ZIP/registry</x:t>
        </x:is>
      </x:c>
    </x:row>
    <x:row r="725" ht="110" customHeight="1">
      <x:c r="A725" s="24" t="inlineStr">
        <x:is>
          <x:t xml:space="preserve">F13</x:t>
        </x:is>
      </x:c>
      <x:c r="B725" s="24" t="inlineStr">
        <x:is>
          <x:t xml:space="preserve">Đánh giá hai chiều</x:t>
        </x:is>
      </x:c>
      <x:c r="C725" s="24" t="inlineStr">
        <x:is>
          <x:t xml:space="preserve">DOC-050</x:t>
        </x:is>
      </x:c>
      <x:c r="D725" s="24" t="inlineStr">
        <x:is>
          <x:t xml:space="preserve">UI-05; không thay nghiệp vụ</x:t>
        </x:is>
      </x:c>
      <x:c r="E725" s="24" t="inlineStr">
        <x:is>
          <x:t xml:space="preserve">Khi sửa luồng khách hàng</x:t>
        </x:is>
      </x:c>
      <x:c r="F725" s="24" t="inlineStr">
        <x:is>
          <x:t xml:space="preserve">Đối chiếu DOC-056, nguồn nghiệp vụ và prototype; cập nhật ZIP/registry</x:t>
        </x:is>
      </x:c>
    </x:row>
    <x:row r="726" ht="110" customHeight="1">
      <x:c r="A726" s="24" t="inlineStr">
        <x:is>
          <x:t xml:space="preserve">F06</x:t>
        </x:is>
      </x:c>
      <x:c r="B726" s="24" t="inlineStr">
        <x:is>
          <x:t xml:space="preserve">Thuê ngay / hẹn trước</x:t>
        </x:is>
      </x:c>
      <x:c r="C726" s="24" t="inlineStr">
        <x:is>
          <x:t xml:space="preserve">PLAN-006</x:t>
        </x:is>
      </x:c>
      <x:c r="D726" s="24" t="inlineStr">
        <x:is>
          <x:t xml:space="preserve">UI-05; không thay nghiệp vụ</x:t>
        </x:is>
      </x:c>
      <x:c r="E726" s="24" t="inlineStr">
        <x:is>
          <x:t xml:space="preserve">Khi sửa luồng khách hàng</x:t>
        </x:is>
      </x:c>
      <x:c r="F726" s="24" t="inlineStr">
        <x:is>
          <x:t xml:space="preserve">Đối chiếu DOC-056, nguồn nghiệp vụ và prototype; cập nhật ZIP/registry</x:t>
        </x:is>
      </x:c>
    </x:row>
    <x:row r="727" ht="110" customHeight="1">
      <x:c r="A727" s="24" t="inlineStr">
        <x:is>
          <x:t xml:space="preserve">F09</x:t>
        </x:is>
      </x:c>
      <x:c r="B727" s="24" t="inlineStr">
        <x:is>
          <x:t xml:space="preserve">Chat / gọi / thông báo</x:t>
        </x:is>
      </x:c>
      <x:c r="C727" s="24" t="inlineStr">
        <x:is>
          <x:t xml:space="preserve">PLAN-006</x:t>
        </x:is>
      </x:c>
      <x:c r="D727" s="24" t="inlineStr">
        <x:is>
          <x:t xml:space="preserve">UI-05; không thay nghiệp vụ</x:t>
        </x:is>
      </x:c>
      <x:c r="E727" s="24" t="inlineStr">
        <x:is>
          <x:t xml:space="preserve">Khi sửa luồng khách hàng</x:t>
        </x:is>
      </x:c>
      <x:c r="F727" s="24" t="inlineStr">
        <x:is>
          <x:t xml:space="preserve">Đối chiếu DOC-056, nguồn nghiệp vụ và prototype; cập nhật ZIP/registry</x:t>
        </x:is>
      </x:c>
    </x:row>
    <x:row r="728" ht="110" customHeight="1">
      <x:c r="A728" s="24" t="inlineStr">
        <x:is>
          <x:t xml:space="preserve">F10</x:t>
        </x:is>
      </x:c>
      <x:c r="B728" s="24" t="inlineStr">
        <x:is>
          <x:t xml:space="preserve">Hóa đơn / ảnh / phiên bản</x:t>
        </x:is>
      </x:c>
      <x:c r="C728" s="24" t="inlineStr">
        <x:is>
          <x:t xml:space="preserve">PLAN-006</x:t>
        </x:is>
      </x:c>
      <x:c r="D728" s="24" t="inlineStr">
        <x:is>
          <x:t xml:space="preserve">UI-05; không thay nghiệp vụ</x:t>
        </x:is>
      </x:c>
      <x:c r="E728" s="24" t="inlineStr">
        <x:is>
          <x:t xml:space="preserve">Khi sửa luồng khách hàng</x:t>
        </x:is>
      </x:c>
      <x:c r="F728" s="24" t="inlineStr">
        <x:is>
          <x:t xml:space="preserve">Đối chiếu DOC-056, nguồn nghiệp vụ và prototype; cập nhật ZIP/registry</x:t>
        </x:is>
      </x:c>
    </x:row>
    <x:row r="729" ht="110" customHeight="1">
      <x:c r="A729" s="24" t="inlineStr">
        <x:is>
          <x:t xml:space="preserve">F11</x:t>
        </x:is>
      </x:c>
      <x:c r="B729" s="24" t="inlineStr">
        <x:is>
          <x:t xml:space="preserve">Point / giữ phí / quyết toán</x:t>
        </x:is>
      </x:c>
      <x:c r="C729" s="24" t="inlineStr">
        <x:is>
          <x:t xml:space="preserve">PLAN-006</x:t>
        </x:is>
      </x:c>
      <x:c r="D729" s="24" t="inlineStr">
        <x:is>
          <x:t xml:space="preserve">UI-05; không thay nghiệp vụ</x:t>
        </x:is>
      </x:c>
      <x:c r="E729" s="24" t="inlineStr">
        <x:is>
          <x:t xml:space="preserve">Khi sửa luồng khách hàng</x:t>
        </x:is>
      </x:c>
      <x:c r="F729" s="24" t="inlineStr">
        <x:is>
          <x:t xml:space="preserve">Đối chiếu DOC-056, nguồn nghiệp vụ và prototype; cập nhật ZIP/registry</x:t>
        </x:is>
      </x:c>
    </x:row>
    <x:row r="730" ht="110" customHeight="1">
      <x:c r="A730" s="24" t="inlineStr">
        <x:is>
          <x:t xml:space="preserve">F13</x:t>
        </x:is>
      </x:c>
      <x:c r="B730" s="24" t="inlineStr">
        <x:is>
          <x:t xml:space="preserve">Đánh giá hai chiều</x:t>
        </x:is>
      </x:c>
      <x:c r="C730" s="24" t="inlineStr">
        <x:is>
          <x:t xml:space="preserve">PLAN-006</x:t>
        </x:is>
      </x:c>
      <x:c r="D730" s="24" t="inlineStr">
        <x:is>
          <x:t xml:space="preserve">UI-05; không thay nghiệp vụ</x:t>
        </x:is>
      </x:c>
      <x:c r="E730" s="24" t="inlineStr">
        <x:is>
          <x:t xml:space="preserve">Khi sửa luồng khách hàng</x:t>
        </x:is>
      </x:c>
      <x:c r="F730" s="24" t="inlineStr">
        <x:is>
          <x:t xml:space="preserve">Đối chiếu DOC-056, nguồn nghiệp vụ và prototype; cập nhật ZIP/registry</x:t>
        </x:is>
      </x:c>
    </x:row>
    <x:row r="731" ht="110" customHeight="1">
      <x:c r="A731" s="24" t="inlineStr">
        <x:is>
          <x:t xml:space="preserve">F17</x:t>
        </x:is>
      </x:c>
      <x:c r="B731" s="24" t="inlineStr">
        <x:is>
          <x:t xml:space="preserve">App / web / ngôn ngữ</x:t>
        </x:is>
      </x:c>
      <x:c r="C731" s="24" t="inlineStr">
        <x:is>
          <x:t xml:space="preserve">PLAN-006</x:t>
        </x:is>
      </x:c>
      <x:c r="D731" s="24" t="inlineStr">
        <x:is>
          <x:t xml:space="preserve">UI-05; không thay nghiệp vụ</x:t>
        </x:is>
      </x:c>
      <x:c r="E731" s="24" t="inlineStr">
        <x:is>
          <x:t xml:space="preserve">Khi sửa luồng khách hàng</x:t>
        </x:is>
      </x:c>
      <x:c r="F731" s="24" t="inlineStr">
        <x:is>
          <x:t xml:space="preserve">Đối chiếu DOC-056, nguồn nghiệp vụ và prototype; cập nhật ZIP/registry</x:t>
        </x:is>
      </x:c>
    </x:row>
    <x:row r="732" ht="110" customHeight="1">
      <x:c r="A732" s="24" t="inlineStr">
        <x:is>
          <x:t xml:space="preserve">F06</x:t>
        </x:is>
      </x:c>
      <x:c r="B732" s="24" t="inlineStr">
        <x:is>
          <x:t xml:space="preserve">Thuê ngay / hẹn trước</x:t>
        </x:is>
      </x:c>
      <x:c r="C732" s="24" t="inlineStr">
        <x:is>
          <x:t xml:space="preserve">DOC-056</x:t>
        </x:is>
      </x:c>
      <x:c r="D732" s="24" t="inlineStr">
        <x:is>
          <x:t xml:space="preserve">UI-05; không thay nghiệp vụ</x:t>
        </x:is>
      </x:c>
      <x:c r="E732" s="24" t="inlineStr">
        <x:is>
          <x:t xml:space="preserve">Khi sửa luồng khách hàng</x:t>
        </x:is>
      </x:c>
      <x:c r="F732" s="24" t="inlineStr">
        <x:is>
          <x:t xml:space="preserve">Đối chiếu DOC-056, nguồn nghiệp vụ và prototype; cập nhật ZIP/registry</x:t>
        </x:is>
      </x:c>
    </x:row>
    <x:row r="733" ht="110" customHeight="1">
      <x:c r="A733" s="24" t="inlineStr">
        <x:is>
          <x:t xml:space="preserve">F09</x:t>
        </x:is>
      </x:c>
      <x:c r="B733" s="24" t="inlineStr">
        <x:is>
          <x:t xml:space="preserve">Chat / gọi / thông báo</x:t>
        </x:is>
      </x:c>
      <x:c r="C733" s="24" t="inlineStr">
        <x:is>
          <x:t xml:space="preserve">DOC-056</x:t>
        </x:is>
      </x:c>
      <x:c r="D733" s="24" t="inlineStr">
        <x:is>
          <x:t xml:space="preserve">UI-05; không thay nghiệp vụ</x:t>
        </x:is>
      </x:c>
      <x:c r="E733" s="24" t="inlineStr">
        <x:is>
          <x:t xml:space="preserve">Khi sửa luồng khách hàng</x:t>
        </x:is>
      </x:c>
      <x:c r="F733" s="24" t="inlineStr">
        <x:is>
          <x:t xml:space="preserve">Đối chiếu DOC-056, nguồn nghiệp vụ và prototype; cập nhật ZIP/registry</x:t>
        </x:is>
      </x:c>
    </x:row>
    <x:row r="734" ht="110" customHeight="1">
      <x:c r="A734" s="24" t="inlineStr">
        <x:is>
          <x:t xml:space="preserve">F10</x:t>
        </x:is>
      </x:c>
      <x:c r="B734" s="24" t="inlineStr">
        <x:is>
          <x:t xml:space="preserve">Hóa đơn / ảnh / phiên bản</x:t>
        </x:is>
      </x:c>
      <x:c r="C734" s="24" t="inlineStr">
        <x:is>
          <x:t xml:space="preserve">DOC-056</x:t>
        </x:is>
      </x:c>
      <x:c r="D734" s="24" t="inlineStr">
        <x:is>
          <x:t xml:space="preserve">UI-05; không thay nghiệp vụ</x:t>
        </x:is>
      </x:c>
      <x:c r="E734" s="24" t="inlineStr">
        <x:is>
          <x:t xml:space="preserve">Khi sửa luồng khách hàng</x:t>
        </x:is>
      </x:c>
      <x:c r="F734" s="24" t="inlineStr">
        <x:is>
          <x:t xml:space="preserve">Đối chiếu DOC-056, nguồn nghiệp vụ và prototype; cập nhật ZIP/registry</x:t>
        </x:is>
      </x:c>
    </x:row>
    <x:row r="735" ht="110" customHeight="1">
      <x:c r="A735" s="24" t="inlineStr">
        <x:is>
          <x:t xml:space="preserve">F11</x:t>
        </x:is>
      </x:c>
      <x:c r="B735" s="24" t="inlineStr">
        <x:is>
          <x:t xml:space="preserve">Point / giữ phí / quyết toán</x:t>
        </x:is>
      </x:c>
      <x:c r="C735" s="24" t="inlineStr">
        <x:is>
          <x:t xml:space="preserve">DOC-056</x:t>
        </x:is>
      </x:c>
      <x:c r="D735" s="24" t="inlineStr">
        <x:is>
          <x:t xml:space="preserve">UI-05; không thay nghiệp vụ</x:t>
        </x:is>
      </x:c>
      <x:c r="E735" s="24" t="inlineStr">
        <x:is>
          <x:t xml:space="preserve">Khi sửa luồng khách hàng</x:t>
        </x:is>
      </x:c>
      <x:c r="F735" s="24" t="inlineStr">
        <x:is>
          <x:t xml:space="preserve">Đối chiếu DOC-056, nguồn nghiệp vụ và prototype; cập nhật ZIP/registry</x:t>
        </x:is>
      </x:c>
    </x:row>
    <x:row r="736" ht="110" customHeight="1">
      <x:c r="A736" s="24" t="inlineStr">
        <x:is>
          <x:t xml:space="preserve">F13</x:t>
        </x:is>
      </x:c>
      <x:c r="B736" s="24" t="inlineStr">
        <x:is>
          <x:t xml:space="preserve">Đánh giá hai chiều</x:t>
        </x:is>
      </x:c>
      <x:c r="C736" s="24" t="inlineStr">
        <x:is>
          <x:t xml:space="preserve">DOC-056</x:t>
        </x:is>
      </x:c>
      <x:c r="D736" s="24" t="inlineStr">
        <x:is>
          <x:t xml:space="preserve">UI-05; không thay nghiệp vụ</x:t>
        </x:is>
      </x:c>
      <x:c r="E736" s="24" t="inlineStr">
        <x:is>
          <x:t xml:space="preserve">Khi sửa luồng khách hàng</x:t>
        </x:is>
      </x:c>
      <x:c r="F736" s="24" t="inlineStr">
        <x:is>
          <x:t xml:space="preserve">Đối chiếu DOC-056, nguồn nghiệp vụ và prototype; cập nhật ZIP/registry</x:t>
        </x:is>
      </x:c>
    </x:row>
    <x:row r="737" ht="110" customHeight="1">
      <x:c r="A737" s="24" t="inlineStr">
        <x:is>
          <x:t xml:space="preserve">F17</x:t>
        </x:is>
      </x:c>
      <x:c r="B737" s="24" t="inlineStr">
        <x:is>
          <x:t xml:space="preserve">App / web / ngôn ngữ</x:t>
        </x:is>
      </x:c>
      <x:c r="C737" s="24" t="inlineStr">
        <x:is>
          <x:t xml:space="preserve">DOC-056</x:t>
        </x:is>
      </x:c>
      <x:c r="D737" s="24" t="inlineStr">
        <x:is>
          <x:t xml:space="preserve">UI-05; không thay nghiệp vụ</x:t>
        </x:is>
      </x:c>
      <x:c r="E737" s="24" t="inlineStr">
        <x:is>
          <x:t xml:space="preserve">Khi sửa luồng khách hàng</x:t>
        </x:is>
      </x:c>
      <x:c r="F737" s="24" t="inlineStr">
        <x:is>
          <x:t xml:space="preserve">Đối chiếu DOC-056, nguồn nghiệp vụ và prototype; cập nhật ZIP/registry</x:t>
        </x:is>
      </x:c>
    </x:row>
    <x:row r="738" ht="110" customHeight="1">
      <x:c r="A738" s="24" t="inlineStr">
        <x:is>
          <x:t xml:space="preserve">F05</x:t>
        </x:is>
      </x:c>
      <x:c r="B738" s="24" t="inlineStr">
        <x:is>
          <x:t xml:space="preserve">Bật / tắt nhận việc</x:t>
        </x:is>
      </x:c>
      <x:c r="C738" s="24" t="inlineStr">
        <x:is>
          <x:t xml:space="preserve">DOC-050</x:t>
        </x:is>
      </x:c>
      <x:c r="D738" s="24" t="inlineStr">
        <x:is>
          <x:t xml:space="preserve">UI-06; nghiệp vụ giữ nguyên</x:t>
        </x:is>
      </x:c>
      <x:c r="E738" s="24" t="inlineStr">
        <x:is>
          <x:t xml:space="preserve">Khi sửa UI partner hoặc luồng hai phía</x:t>
        </x:is>
      </x:c>
      <x:c r="F738" s="24" t="inlineStr">
        <x:is>
          <x:t xml:space="preserve">Đối chiếu DOC-057 và nguồn nghiệp vụ; kiểm quyền, ví và chat; đồng bộ ZIP/registry</x:t>
        </x:is>
      </x:c>
    </x:row>
    <x:row r="739" ht="110" customHeight="1">
      <x:c r="A739" s="24" t="inlineStr">
        <x:is>
          <x:t xml:space="preserve">F08</x:t>
        </x:is>
      </x:c>
      <x:c r="B739" s="24" t="inlineStr">
        <x:is>
          <x:t xml:space="preserve">Doanh nghiệp / quyền / phân công</x:t>
        </x:is>
      </x:c>
      <x:c r="C739" s="24" t="inlineStr">
        <x:is>
          <x:t xml:space="preserve">DOC-050</x:t>
        </x:is>
      </x:c>
      <x:c r="D739" s="24" t="inlineStr">
        <x:is>
          <x:t xml:space="preserve">UI-06; nghiệp vụ giữ nguyên</x:t>
        </x:is>
      </x:c>
      <x:c r="E739" s="24" t="inlineStr">
        <x:is>
          <x:t xml:space="preserve">Khi sửa UI partner hoặc luồng hai phía</x:t>
        </x:is>
      </x:c>
      <x:c r="F739" s="24" t="inlineStr">
        <x:is>
          <x:t xml:space="preserve">Đối chiếu DOC-057 và nguồn nghiệp vụ; kiểm quyền, ví và chat; đồng bộ ZIP/registry</x:t>
        </x:is>
      </x:c>
    </x:row>
    <x:row r="740" ht="110" customHeight="1">
      <x:c r="A740" s="24" t="inlineStr">
        <x:is>
          <x:t xml:space="preserve">F12</x:t>
        </x:is>
      </x:c>
      <x:c r="B740" s="24" t="inlineStr">
        <x:is>
          <x:t xml:space="preserve">Ví / nạp / rút / ngân hàng</x:t>
        </x:is>
      </x:c>
      <x:c r="C740" s="24" t="inlineStr">
        <x:is>
          <x:t xml:space="preserve">DOC-050</x:t>
        </x:is>
      </x:c>
      <x:c r="D740" s="24" t="inlineStr">
        <x:is>
          <x:t xml:space="preserve">UI-06; nghiệp vụ giữ nguyên</x:t>
        </x:is>
      </x:c>
      <x:c r="E740" s="24" t="inlineStr">
        <x:is>
          <x:t xml:space="preserve">Khi sửa UI partner hoặc luồng hai phía</x:t>
        </x:is>
      </x:c>
      <x:c r="F740" s="24" t="inlineStr">
        <x:is>
          <x:t xml:space="preserve">Đối chiếu DOC-057 và nguồn nghiệp vụ; kiểm quyền, ví và chat; đồng bộ ZIP/registry</x:t>
        </x:is>
      </x:c>
    </x:row>
    <x:row r="741" ht="110" customHeight="1">
      <x:c r="A741" s="24" t="inlineStr">
        <x:is>
          <x:t xml:space="preserve">F05</x:t>
        </x:is>
      </x:c>
      <x:c r="B741" s="24" t="inlineStr">
        <x:is>
          <x:t xml:space="preserve">Bật / tắt nhận việc</x:t>
        </x:is>
      </x:c>
      <x:c r="C741" s="24" t="inlineStr">
        <x:is>
          <x:t xml:space="preserve">DOC-057</x:t>
        </x:is>
      </x:c>
      <x:c r="D741" s="24" t="inlineStr">
        <x:is>
          <x:t xml:space="preserve">UI-06; nghiệp vụ giữ nguyên</x:t>
        </x:is>
      </x:c>
      <x:c r="E741" s="24" t="inlineStr">
        <x:is>
          <x:t xml:space="preserve">Khi sửa UI partner hoặc luồng hai phía</x:t>
        </x:is>
      </x:c>
      <x:c r="F741" s="24" t="inlineStr">
        <x:is>
          <x:t xml:space="preserve">Đối chiếu DOC-057 và nguồn nghiệp vụ; kiểm quyền, ví và chat; đồng bộ ZIP/registry</x:t>
        </x:is>
      </x:c>
    </x:row>
    <x:row r="742" ht="110" customHeight="1">
      <x:c r="A742" s="24" t="inlineStr">
        <x:is>
          <x:t xml:space="preserve">F08</x:t>
        </x:is>
      </x:c>
      <x:c r="B742" s="24" t="inlineStr">
        <x:is>
          <x:t xml:space="preserve">Doanh nghiệp / quyền / phân công</x:t>
        </x:is>
      </x:c>
      <x:c r="C742" s="24" t="inlineStr">
        <x:is>
          <x:t xml:space="preserve">DOC-057</x:t>
        </x:is>
      </x:c>
      <x:c r="D742" s="24" t="inlineStr">
        <x:is>
          <x:t xml:space="preserve">UI-06; nghiệp vụ giữ nguyên</x:t>
        </x:is>
      </x:c>
      <x:c r="E742" s="24" t="inlineStr">
        <x:is>
          <x:t xml:space="preserve">Khi sửa UI partner hoặc luồng hai phía</x:t>
        </x:is>
      </x:c>
      <x:c r="F742" s="24" t="inlineStr">
        <x:is>
          <x:t xml:space="preserve">Đối chiếu DOC-057 và nguồn nghiệp vụ; kiểm quyền, ví và chat; đồng bộ ZIP/registry</x:t>
        </x:is>
      </x:c>
    </x:row>
    <x:row r="743" ht="110" customHeight="1">
      <x:c r="A743" s="24" t="inlineStr">
        <x:is>
          <x:t xml:space="preserve">F09</x:t>
        </x:is>
      </x:c>
      <x:c r="B743" s="24" t="inlineStr">
        <x:is>
          <x:t xml:space="preserve">Chat / gọi / thông báo</x:t>
        </x:is>
      </x:c>
      <x:c r="C743" s="24" t="inlineStr">
        <x:is>
          <x:t xml:space="preserve">DOC-057</x:t>
        </x:is>
      </x:c>
      <x:c r="D743" s="24" t="inlineStr">
        <x:is>
          <x:t xml:space="preserve">UI-06; nghiệp vụ giữ nguyên</x:t>
        </x:is>
      </x:c>
      <x:c r="E743" s="24" t="inlineStr">
        <x:is>
          <x:t xml:space="preserve">Khi sửa UI partner hoặc luồng hai phía</x:t>
        </x:is>
      </x:c>
      <x:c r="F743" s="24" t="inlineStr">
        <x:is>
          <x:t xml:space="preserve">Đối chiếu DOC-057 và nguồn nghiệp vụ; kiểm quyền, ví và chat; đồng bộ ZIP/registry</x:t>
        </x:is>
      </x:c>
    </x:row>
    <x:row r="744" ht="110" customHeight="1">
      <x:c r="A744" s="24" t="inlineStr">
        <x:is>
          <x:t xml:space="preserve">F10</x:t>
        </x:is>
      </x:c>
      <x:c r="B744" s="24" t="inlineStr">
        <x:is>
          <x:t xml:space="preserve">Hóa đơn / ảnh / phiên bản</x:t>
        </x:is>
      </x:c>
      <x:c r="C744" s="24" t="inlineStr">
        <x:is>
          <x:t xml:space="preserve">DOC-057</x:t>
        </x:is>
      </x:c>
      <x:c r="D744" s="24" t="inlineStr">
        <x:is>
          <x:t xml:space="preserve">UI-06; nghiệp vụ giữ nguyên</x:t>
        </x:is>
      </x:c>
      <x:c r="E744" s="24" t="inlineStr">
        <x:is>
          <x:t xml:space="preserve">Khi sửa UI partner hoặc luồng hai phía</x:t>
        </x:is>
      </x:c>
      <x:c r="F744" s="24" t="inlineStr">
        <x:is>
          <x:t xml:space="preserve">Đối chiếu DOC-057 và nguồn nghiệp vụ; kiểm quyền, ví và chat; đồng bộ ZIP/registry</x:t>
        </x:is>
      </x:c>
    </x:row>
    <x:row r="745" ht="110" customHeight="1">
      <x:c r="A745" s="24" t="inlineStr">
        <x:is>
          <x:t xml:space="preserve">F11</x:t>
        </x:is>
      </x:c>
      <x:c r="B745" s="24" t="inlineStr">
        <x:is>
          <x:t xml:space="preserve">Point / giữ phí / quyết toán</x:t>
        </x:is>
      </x:c>
      <x:c r="C745" s="24" t="inlineStr">
        <x:is>
          <x:t xml:space="preserve">DOC-057</x:t>
        </x:is>
      </x:c>
      <x:c r="D745" s="24" t="inlineStr">
        <x:is>
          <x:t xml:space="preserve">UI-06; nghiệp vụ giữ nguyên</x:t>
        </x:is>
      </x:c>
      <x:c r="E745" s="24" t="inlineStr">
        <x:is>
          <x:t xml:space="preserve">Khi sửa UI partner hoặc luồng hai phía</x:t>
        </x:is>
      </x:c>
      <x:c r="F745" s="24" t="inlineStr">
        <x:is>
          <x:t xml:space="preserve">Đối chiếu DOC-057 và nguồn nghiệp vụ; kiểm quyền, ví và chat; đồng bộ ZIP/registry</x:t>
        </x:is>
      </x:c>
    </x:row>
    <x:row r="746" ht="110" customHeight="1">
      <x:c r="A746" s="24" t="inlineStr">
        <x:is>
          <x:t xml:space="preserve">F12</x:t>
        </x:is>
      </x:c>
      <x:c r="B746" s="24" t="inlineStr">
        <x:is>
          <x:t xml:space="preserve">Ví / nạp / rút / ngân hàng</x:t>
        </x:is>
      </x:c>
      <x:c r="C746" s="24" t="inlineStr">
        <x:is>
          <x:t xml:space="preserve">DOC-057</x:t>
        </x:is>
      </x:c>
      <x:c r="D746" s="24" t="inlineStr">
        <x:is>
          <x:t xml:space="preserve">UI-06; nghiệp vụ giữ nguyên</x:t>
        </x:is>
      </x:c>
      <x:c r="E746" s="24" t="inlineStr">
        <x:is>
          <x:t xml:space="preserve">Khi sửa UI partner hoặc luồng hai phía</x:t>
        </x:is>
      </x:c>
      <x:c r="F746" s="24" t="inlineStr">
        <x:is>
          <x:t xml:space="preserve">Đối chiếu DOC-057 và nguồn nghiệp vụ; kiểm quyền, ví và chat; đồng bộ ZIP/registry</x:t>
        </x:is>
      </x:c>
    </x:row>
    <x:row r="747" ht="110" customHeight="1">
      <x:c r="A747" s="24" t="inlineStr">
        <x:is>
          <x:t xml:space="preserve">F17</x:t>
        </x:is>
      </x:c>
      <x:c r="B747" s="24" t="inlineStr">
        <x:is>
          <x:t xml:space="preserve">App / web / ngôn ngữ</x:t>
        </x:is>
      </x:c>
      <x:c r="C747" s="24" t="inlineStr">
        <x:is>
          <x:t xml:space="preserve">DOC-057</x:t>
        </x:is>
      </x:c>
      <x:c r="D747" s="24" t="inlineStr">
        <x:is>
          <x:t xml:space="preserve">UI-06; nghiệp vụ giữ nguyên</x:t>
        </x:is>
      </x:c>
      <x:c r="E747" s="24" t="inlineStr">
        <x:is>
          <x:t xml:space="preserve">Khi sửa UI partner hoặc luồng hai phía</x:t>
        </x:is>
      </x:c>
      <x:c r="F747" s="24" t="inlineStr">
        <x:is>
          <x:t xml:space="preserve">Đối chiếu DOC-057 và nguồn nghiệp vụ; kiểm quyền, ví và chat; đồng bộ ZIP/registry</x:t>
        </x:is>
      </x:c>
    </x:row>
    <x:row r="748" ht="110" customHeight="1">
      <x:c r="A748" s="24" t="inlineStr">
        <x:is>
          <x:t xml:space="preserve">F05</x:t>
        </x:is>
      </x:c>
      <x:c r="B748" s="24" t="inlineStr">
        <x:is>
          <x:t xml:space="preserve">Bật / tắt nhận việc</x:t>
        </x:is>
      </x:c>
      <x:c r="C748" s="24" t="inlineStr">
        <x:is>
          <x:t xml:space="preserve">PLAN-006</x:t>
        </x:is>
      </x:c>
      <x:c r="D748" s="24" t="inlineStr">
        <x:is>
          <x:t xml:space="preserve">UI-06; nghiệp vụ giữ nguyên</x:t>
        </x:is>
      </x:c>
      <x:c r="E748" s="24" t="inlineStr">
        <x:is>
          <x:t xml:space="preserve">Khi sửa UI partner hoặc luồng hai phía</x:t>
        </x:is>
      </x:c>
      <x:c r="F748" s="24" t="inlineStr">
        <x:is>
          <x:t xml:space="preserve">Đối chiếu DOC-057 và nguồn nghiệp vụ; kiểm quyền, ví và chat; đồng bộ ZIP/registry</x:t>
        </x:is>
      </x:c>
    </x:row>
    <x:row r="749" ht="110" customHeight="1">
      <x:c r="A749" s="24" t="inlineStr">
        <x:is>
          <x:t xml:space="preserve">F08</x:t>
        </x:is>
      </x:c>
      <x:c r="B749" s="24" t="inlineStr">
        <x:is>
          <x:t xml:space="preserve">Doanh nghiệp / quyền / phân công</x:t>
        </x:is>
      </x:c>
      <x:c r="C749" s="24" t="inlineStr">
        <x:is>
          <x:t xml:space="preserve">PLAN-006</x:t>
        </x:is>
      </x:c>
      <x:c r="D749" s="24" t="inlineStr">
        <x:is>
          <x:t xml:space="preserve">UI-06; nghiệp vụ giữ nguyên</x:t>
        </x:is>
      </x:c>
      <x:c r="E749" s="24" t="inlineStr">
        <x:is>
          <x:t xml:space="preserve">Khi sửa UI partner hoặc luồng hai phía</x:t>
        </x:is>
      </x:c>
      <x:c r="F749" s="24" t="inlineStr">
        <x:is>
          <x:t xml:space="preserve">Đối chiếu DOC-057 và nguồn nghiệp vụ; kiểm quyền, ví và chat; đồng bộ ZIP/registry</x:t>
        </x:is>
      </x:c>
    </x:row>
    <x:row r="750" ht="110" customHeight="1">
      <x:c r="A750" s="24" t="inlineStr">
        <x:is>
          <x:t xml:space="preserve">F12</x:t>
        </x:is>
      </x:c>
      <x:c r="B750" s="24" t="inlineStr">
        <x:is>
          <x:t xml:space="preserve">Ví / nạp / rút / ngân hàng</x:t>
        </x:is>
      </x:c>
      <x:c r="C750" s="24" t="inlineStr">
        <x:is>
          <x:t xml:space="preserve">PLAN-006</x:t>
        </x:is>
      </x:c>
      <x:c r="D750" s="24" t="inlineStr">
        <x:is>
          <x:t xml:space="preserve">UI-06; nghiệp vụ giữ nguyên</x:t>
        </x:is>
      </x:c>
      <x:c r="E750" s="24" t="inlineStr">
        <x:is>
          <x:t xml:space="preserve">Khi sửa UI partner hoặc luồng hai phía</x:t>
        </x:is>
      </x:c>
      <x:c r="F750" s="24" t="inlineStr">
        <x:is>
          <x:t xml:space="preserve">Đối chiếu DOC-057 và nguồn nghiệp vụ; kiểm quyền, ví và chat; đồng bộ ZIP/registry</x:t>
        </x:is>
      </x:c>
    </x:row>
    <x:row r="751" ht="120" customHeight="1">
      <x:c r="A751" s="24" t="inlineStr">
        <x:is>
          <x:t xml:space="preserve">F02</x:t>
        </x:is>
      </x:c>
      <x:c r="B751" s="24" t="inlineStr">
        <x:is>
          <x:t xml:space="preserve">Danh mục / kỹ năng đa ngành</x:t>
        </x:is>
      </x:c>
      <x:c r="C751" s="24" t="inlineStr">
        <x:is>
          <x:t xml:space="preserve">DOC-050</x:t>
        </x:is>
      </x:c>
      <x:c r="D751" s="24" t="inlineStr">
        <x:is>
          <x:t xml:space="preserve">UI-08; chuyển UI, không đổi nghiệp vụ</x:t>
        </x:is>
      </x:c>
      <x:c r="E751" s="24" t="inlineStr">
        <x:is>
          <x:t xml:space="preserve">Khi sửa hồ sơ hoặc lựa chọn kỹ năng</x:t>
        </x:is>
      </x:c>
      <x:c r="F751" s="24" t="inlineStr">
        <x:is>
          <x:t xml:space="preserve">Đối chiếu DOC-057, nguồn UX và dữ liệu chung khách/partner</x:t>
        </x:is>
      </x:c>
    </x:row>
    <x:row r="752" ht="120" customHeight="1">
      <x:c r="A752" s="24" t="inlineStr">
        <x:is>
          <x:t xml:space="preserve">F03</x:t>
        </x:is>
      </x:c>
      <x:c r="B752" s="24" t="inlineStr">
        <x:is>
          <x:t xml:space="preserve">Hồ sơ / xác minh partner</x:t>
        </x:is>
      </x:c>
      <x:c r="C752" s="24" t="inlineStr">
        <x:is>
          <x:t xml:space="preserve">DOC-050</x:t>
        </x:is>
      </x:c>
      <x:c r="D752" s="24" t="inlineStr">
        <x:is>
          <x:t xml:space="preserve">UI-08; chuyển UI, không đổi nghiệp vụ</x:t>
        </x:is>
      </x:c>
      <x:c r="E752" s="24" t="inlineStr">
        <x:is>
          <x:t xml:space="preserve">Khi sửa hồ sơ hoặc lựa chọn kỹ năng</x:t>
        </x:is>
      </x:c>
      <x:c r="F752" s="24" t="inlineStr">
        <x:is>
          <x:t xml:space="preserve">Đối chiếu DOC-057, nguồn UX và dữ liệu chung khách/partner</x:t>
        </x:is>
      </x:c>
    </x:row>
    <x:row r="753" ht="120" customHeight="1">
      <x:c r="A753" s="24" t="inlineStr">
        <x:is>
          <x:t xml:space="preserve">F02</x:t>
        </x:is>
      </x:c>
      <x:c r="B753" s="24" t="inlineStr">
        <x:is>
          <x:t xml:space="preserve">Danh mục / kỹ năng đa ngành</x:t>
        </x:is>
      </x:c>
      <x:c r="C753" s="24" t="inlineStr">
        <x:is>
          <x:t xml:space="preserve">DOC-057</x:t>
        </x:is>
      </x:c>
      <x:c r="D753" s="24" t="inlineStr">
        <x:is>
          <x:t xml:space="preserve">UI-08; chuyển UI, không đổi nghiệp vụ</x:t>
        </x:is>
      </x:c>
      <x:c r="E753" s="24" t="inlineStr">
        <x:is>
          <x:t xml:space="preserve">Khi sửa hồ sơ hoặc lựa chọn kỹ năng</x:t>
        </x:is>
      </x:c>
      <x:c r="F753" s="24" t="inlineStr">
        <x:is>
          <x:t xml:space="preserve">Đối chiếu DOC-057, nguồn UX và dữ liệu chung khách/partner</x:t>
        </x:is>
      </x:c>
    </x:row>
    <x:row r="754" ht="120" customHeight="1">
      <x:c r="A754" s="24" t="inlineStr">
        <x:is>
          <x:t xml:space="preserve">F03</x:t>
        </x:is>
      </x:c>
      <x:c r="B754" s="24" t="inlineStr">
        <x:is>
          <x:t xml:space="preserve">Hồ sơ / xác minh partner</x:t>
        </x:is>
      </x:c>
      <x:c r="C754" s="24" t="inlineStr">
        <x:is>
          <x:t xml:space="preserve">DOC-057</x:t>
        </x:is>
      </x:c>
      <x:c r="D754" s="24" t="inlineStr">
        <x:is>
          <x:t xml:space="preserve">UI-08; chuyển UI, không đổi nghiệp vụ</x:t>
        </x:is>
      </x:c>
      <x:c r="E754" s="24" t="inlineStr">
        <x:is>
          <x:t xml:space="preserve">Khi sửa hồ sơ hoặc lựa chọn kỹ năng</x:t>
        </x:is>
      </x:c>
      <x:c r="F754" s="24" t="inlineStr">
        <x:is>
          <x:t xml:space="preserve">Đối chiếu DOC-057, nguồn UX và dữ liệu chung khách/partner</x:t>
        </x:is>
      </x:c>
    </x:row>
    <x:row r="755" ht="120" customHeight="1">
      <x:c r="A755" s="24" t="inlineStr">
        <x:is>
          <x:t xml:space="preserve">F04</x:t>
        </x:is>
      </x:c>
      <x:c r="B755" s="24" t="inlineStr">
        <x:is>
          <x:t xml:space="preserve">Tìm kiếm / bản đồ</x:t>
        </x:is>
      </x:c>
      <x:c r="C755" s="24" t="inlineStr">
        <x:is>
          <x:t xml:space="preserve">DOC-057</x:t>
        </x:is>
      </x:c>
      <x:c r="D755" s="24" t="inlineStr">
        <x:is>
          <x:t xml:space="preserve">UI-08; chuyển UI, không đổi nghiệp vụ</x:t>
        </x:is>
      </x:c>
      <x:c r="E755" s="24" t="inlineStr">
        <x:is>
          <x:t xml:space="preserve">Khi sửa hồ sơ hoặc lựa chọn kỹ năng</x:t>
        </x:is>
      </x:c>
      <x:c r="F755" s="24" t="inlineStr">
        <x:is>
          <x:t xml:space="preserve">Đối chiếu DOC-057, nguồn UX và dữ liệu chung khách/partner</x:t>
        </x:is>
      </x:c>
    </x:row>
    <x:row r="756" ht="120" customHeight="1">
      <x:c r="A756" s="24" t="inlineStr">
        <x:is>
          <x:t xml:space="preserve">F06</x:t>
        </x:is>
      </x:c>
      <x:c r="B756" s="24" t="inlineStr">
        <x:is>
          <x:t xml:space="preserve">Thuê ngay / hẹn trước</x:t>
        </x:is>
      </x:c>
      <x:c r="C756" s="24" t="inlineStr">
        <x:is>
          <x:t xml:space="preserve">DOC-057</x:t>
        </x:is>
      </x:c>
      <x:c r="D756" s="24" t="inlineStr">
        <x:is>
          <x:t xml:space="preserve">UI-08; chuyển UI, không đổi nghiệp vụ</x:t>
        </x:is>
      </x:c>
      <x:c r="E756" s="24" t="inlineStr">
        <x:is>
          <x:t xml:space="preserve">Khi sửa hồ sơ hoặc lựa chọn kỹ năng</x:t>
        </x:is>
      </x:c>
      <x:c r="F756" s="24" t="inlineStr">
        <x:is>
          <x:t xml:space="preserve">Đối chiếu DOC-057, nguồn UX và dữ liệu chung khách/partner</x:t>
        </x:is>
      </x:c>
    </x:row>
    <x:row r="757" ht="120" customHeight="1">
      <x:c r="A757" s="24" t="inlineStr">
        <x:is>
          <x:t xml:space="preserve">F02</x:t>
        </x:is>
      </x:c>
      <x:c r="B757" s="24" t="inlineStr">
        <x:is>
          <x:t xml:space="preserve">Danh mục / kỹ năng đa ngành</x:t>
        </x:is>
      </x:c>
      <x:c r="C757" s="24" t="inlineStr">
        <x:is>
          <x:t xml:space="preserve">PLAN-006</x:t>
        </x:is>
      </x:c>
      <x:c r="D757" s="24" t="inlineStr">
        <x:is>
          <x:t xml:space="preserve">UI-08; chuyển UI, không đổi nghiệp vụ</x:t>
        </x:is>
      </x:c>
      <x:c r="E757" s="24" t="inlineStr">
        <x:is>
          <x:t xml:space="preserve">Khi sửa hồ sơ hoặc lựa chọn kỹ năng</x:t>
        </x:is>
      </x:c>
      <x:c r="F757" s="24" t="inlineStr">
        <x:is>
          <x:t xml:space="preserve">Đối chiếu DOC-057, nguồn UX và dữ liệu chung khách/partner</x:t>
        </x:is>
      </x:c>
    </x:row>
    <x:row r="758" ht="120" customHeight="1">
      <x:c r="A758" s="24" t="inlineStr">
        <x:is>
          <x:t xml:space="preserve">F03</x:t>
        </x:is>
      </x:c>
      <x:c r="B758" s="24" t="inlineStr">
        <x:is>
          <x:t xml:space="preserve">Hồ sơ / xác minh partner</x:t>
        </x:is>
      </x:c>
      <x:c r="C758" s="24" t="inlineStr">
        <x:is>
          <x:t xml:space="preserve">PLAN-006</x:t>
        </x:is>
      </x:c>
      <x:c r="D758" s="24" t="inlineStr">
        <x:is>
          <x:t xml:space="preserve">UI-08; chuyển UI, không đổi nghiệp vụ</x:t>
        </x:is>
      </x:c>
      <x:c r="E758" s="24" t="inlineStr">
        <x:is>
          <x:t xml:space="preserve">Khi sửa hồ sơ hoặc lựa chọn kỹ năng</x:t>
        </x:is>
      </x:c>
      <x:c r="F758" s="24" t="inlineStr">
        <x:is>
          <x:t xml:space="preserve">Đối chiếu DOC-057, nguồn UX và dữ liệu chung khách/partner</x:t>
        </x:is>
      </x:c>
    </x:row>
    <x:row r="759" ht="120" customHeight="1">
      <x:c r="A759" s="24" t="inlineStr">
        <x:is>
          <x:t xml:space="preserve">F04</x:t>
        </x:is>
      </x:c>
      <x:c r="B759" s="24" t="inlineStr">
        <x:is>
          <x:t xml:space="preserve">Tìm kiếm / bản đồ</x:t>
        </x:is>
      </x:c>
      <x:c r="C759" s="24" t="inlineStr">
        <x:is>
          <x:t xml:space="preserve">PLAN-006</x:t>
        </x:is>
      </x:c>
      <x:c r="D759" s="24" t="inlineStr">
        <x:is>
          <x:t xml:space="preserve">UI-08; chuyển UI, không đổi nghiệp vụ</x:t>
        </x:is>
      </x:c>
      <x:c r="E759" s="24" t="inlineStr">
        <x:is>
          <x:t xml:space="preserve">Khi sửa hồ sơ hoặc lựa chọn kỹ năng</x:t>
        </x:is>
      </x:c>
      <x:c r="F759" s="24" t="inlineStr">
        <x:is>
          <x:t xml:space="preserve">Đối chiếu DOC-057, nguồn UX và dữ liệu chung khách/partner</x:t>
        </x:is>
      </x:c>
    </x:row>
    <x:row r="760" ht="120" customHeight="1">
      <x:c r="A760" s="24" t="inlineStr">
        <x:is>
          <x:t xml:space="preserve">F01</x:t>
        </x:is>
      </x:c>
      <x:c r="B760" s="24" t="inlineStr">
        <x:is>
          <x:t xml:space="preserve">Tài khoản / đăng nhập</x:t>
        </x:is>
      </x:c>
      <x:c r="C760" s="24" t="inlineStr">
        <x:is>
          <x:t xml:space="preserve">DOC-058</x:t>
        </x:is>
      </x:c>
      <x:c r="D760" s="24" t="inlineStr">
        <x:is>
          <x:t xml:space="preserve">UI-12</x:t>
        </x:is>
      </x:c>
      <x:c r="E760" s="24" t="inlineStr">
        <x:is>
          <x:t xml:space="preserve">Khi sửa nhóm tài khoản/địa chỉ/onboarding</x:t>
        </x:is>
      </x:c>
      <x:c r="F760" s="24" t="inlineStr">
        <x:is>
          <x:t xml:space="preserve">Đối chiếu DOC-058, nguồn UX, source và bản xuất</x:t>
        </x:is>
      </x:c>
    </x:row>
    <x:row r="761" ht="120" customHeight="1">
      <x:c r="A761" s="24" t="inlineStr">
        <x:is>
          <x:t xml:space="preserve">F03</x:t>
        </x:is>
      </x:c>
      <x:c r="B761" s="24" t="inlineStr">
        <x:is>
          <x:t xml:space="preserve">Hồ sơ / xác minh partner</x:t>
        </x:is>
      </x:c>
      <x:c r="C761" s="24" t="inlineStr">
        <x:is>
          <x:t xml:space="preserve">DOC-058</x:t>
        </x:is>
      </x:c>
      <x:c r="D761" s="24" t="inlineStr">
        <x:is>
          <x:t xml:space="preserve">UI-12</x:t>
        </x:is>
      </x:c>
      <x:c r="E761" s="24" t="inlineStr">
        <x:is>
          <x:t xml:space="preserve">Khi sửa nhóm tài khoản/địa chỉ/onboarding</x:t>
        </x:is>
      </x:c>
      <x:c r="F761" s="24" t="inlineStr">
        <x:is>
          <x:t xml:space="preserve">Đối chiếu DOC-058, nguồn UX, source và bản xuất</x:t>
        </x:is>
      </x:c>
    </x:row>
    <x:row r="762" ht="120" customHeight="1">
      <x:c r="A762" s="24" t="inlineStr">
        <x:is>
          <x:t xml:space="preserve">F04</x:t>
        </x:is>
      </x:c>
      <x:c r="B762" s="24" t="inlineStr">
        <x:is>
          <x:t xml:space="preserve">Tìm kiếm / bản đồ</x:t>
        </x:is>
      </x:c>
      <x:c r="C762" s="24" t="inlineStr">
        <x:is>
          <x:t xml:space="preserve">DOC-058</x:t>
        </x:is>
      </x:c>
      <x:c r="D762" s="24" t="inlineStr">
        <x:is>
          <x:t xml:space="preserve">UI-12</x:t>
        </x:is>
      </x:c>
      <x:c r="E762" s="24" t="inlineStr">
        <x:is>
          <x:t xml:space="preserve">Khi sửa nhóm tài khoản/địa chỉ/onboarding</x:t>
        </x:is>
      </x:c>
      <x:c r="F762" s="24" t="inlineStr">
        <x:is>
          <x:t xml:space="preserve">Đối chiếu DOC-058, nguồn UX, source và bản xuất</x:t>
        </x:is>
      </x:c>
    </x:row>
    <x:row r="763" ht="120" customHeight="1">
      <x:c r="A763" s="24" t="inlineStr">
        <x:is>
          <x:t xml:space="preserve">F06</x:t>
        </x:is>
      </x:c>
      <x:c r="B763" s="24" t="inlineStr">
        <x:is>
          <x:t xml:space="preserve">Thuê ngay / hẹn trước</x:t>
        </x:is>
      </x:c>
      <x:c r="C763" s="24" t="inlineStr">
        <x:is>
          <x:t xml:space="preserve">DOC-058</x:t>
        </x:is>
      </x:c>
      <x:c r="D763" s="24" t="inlineStr">
        <x:is>
          <x:t xml:space="preserve">UI-12</x:t>
        </x:is>
      </x:c>
      <x:c r="E763" s="24" t="inlineStr">
        <x:is>
          <x:t xml:space="preserve">Khi sửa nhóm tài khoản/địa chỉ/onboarding</x:t>
        </x:is>
      </x:c>
      <x:c r="F763" s="24" t="inlineStr">
        <x:is>
          <x:t xml:space="preserve">Đối chiếu DOC-058, nguồn UX, source và bản xuất</x:t>
        </x:is>
      </x:c>
    </x:row>
    <x:row r="764" ht="120" customHeight="1">
      <x:c r="A764" s="24" t="inlineStr">
        <x:is>
          <x:t xml:space="preserve">F17</x:t>
        </x:is>
      </x:c>
      <x:c r="B764" s="24" t="inlineStr">
        <x:is>
          <x:t xml:space="preserve">App / web / ngôn ngữ</x:t>
        </x:is>
      </x:c>
      <x:c r="C764" s="24" t="inlineStr">
        <x:is>
          <x:t xml:space="preserve">DOC-058</x:t>
        </x:is>
      </x:c>
      <x:c r="D764" s="24" t="inlineStr">
        <x:is>
          <x:t xml:space="preserve">UI-12</x:t>
        </x:is>
      </x:c>
      <x:c r="E764" s="24" t="inlineStr">
        <x:is>
          <x:t xml:space="preserve">Khi sửa nhóm tài khoản/địa chỉ/onboarding</x:t>
        </x:is>
      </x:c>
      <x:c r="F764" s="24" t="inlineStr">
        <x:is>
          <x:t xml:space="preserve">Đối chiếu DOC-058, nguồn UX, source và bản xuất</x:t>
        </x:is>
      </x:c>
    </x:row>
    <x:row r="765" ht="120" customHeight="1">
      <x:c r="A765" s="24" t="inlineStr">
        <x:is>
          <x:t xml:space="preserve">F01</x:t>
        </x:is>
      </x:c>
      <x:c r="B765" s="24" t="inlineStr">
        <x:is>
          <x:t xml:space="preserve">Tài khoản / đăng nhập</x:t>
        </x:is>
      </x:c>
      <x:c r="C765" s="24" t="inlineStr">
        <x:is>
          <x:t xml:space="preserve">DOC-050</x:t>
        </x:is>
      </x:c>
      <x:c r="D765" s="24" t="inlineStr">
        <x:is>
          <x:t xml:space="preserve">UI-12</x:t>
        </x:is>
      </x:c>
      <x:c r="E765" s="24" t="inlineStr">
        <x:is>
          <x:t xml:space="preserve">Khi sửa nhóm tài khoản/địa chỉ/onboarding</x:t>
        </x:is>
      </x:c>
      <x:c r="F765" s="24" t="inlineStr">
        <x:is>
          <x:t xml:space="preserve">Đối chiếu DOC-058, nguồn UX, source và bản xuất</x:t>
        </x:is>
      </x:c>
    </x:row>
    <x:row r="766" ht="120" customHeight="1">
      <x:c r="A766" s="24" t="inlineStr">
        <x:is>
          <x:t xml:space="preserve">F01</x:t>
        </x:is>
      </x:c>
      <x:c r="B766" s="24" t="inlineStr">
        <x:is>
          <x:t xml:space="preserve">Tài khoản / đăng nhập</x:t>
        </x:is>
      </x:c>
      <x:c r="C766" s="24" t="inlineStr">
        <x:is>
          <x:t xml:space="preserve">PLAN-006</x:t>
        </x:is>
      </x:c>
      <x:c r="D766" s="24" t="inlineStr">
        <x:is>
          <x:t xml:space="preserve">UI-12</x:t>
        </x:is>
      </x:c>
      <x:c r="E766" s="24" t="inlineStr">
        <x:is>
          <x:t xml:space="preserve">Khi sửa nhóm tài khoản/địa chỉ/onboarding</x:t>
        </x:is>
      </x:c>
      <x:c r="F766" s="24" t="inlineStr">
        <x:is>
          <x:t xml:space="preserve">Đối chiếu DOC-058, nguồn UX, source và bản xuất</x:t>
        </x:is>
      </x:c>
    </x:row>
    <x:row r="767">
      <x:c r="A767" t="inlineStr">
        <x:is>
          <x:t xml:space="preserve">F06</x:t>
        </x:is>
      </x:c>
      <x:c r="B767" t="inlineStr">
        <x:is>
          <x:t xml:space="preserve">Thuê / công việc</x:t>
        </x:is>
      </x:c>
      <x:c r="C767" t="inlineStr">
        <x:is>
          <x:t xml:space="preserve">DOC-059</x:t>
        </x:is>
      </x:c>
      <x:c r="D767" t="inlineStr">
        <x:is>
          <x:t xml:space="preserve">UI-14</x:t>
        </x:is>
      </x:c>
      <x:c r="E767" t="inlineStr">
        <x:is>
          <x:t xml:space="preserve">Khi sửa công việc/đánh giá/liên lạc</x:t>
        </x:is>
      </x:c>
      <x:c r="F767" t="inlineStr">
        <x:is>
          <x:t xml:space="preserve">Đối chiếu source React, nghiệp vụ, QA và bản xuất</x:t>
        </x:is>
      </x:c>
    </x:row>
    <x:row r="768">
      <x:c r="A768" t="inlineStr">
        <x:is>
          <x:t xml:space="preserve">F09</x:t>
        </x:is>
      </x:c>
      <x:c r="B768" t="inlineStr">
        <x:is>
          <x:t xml:space="preserve">Chat / gọi / thông báo</x:t>
        </x:is>
      </x:c>
      <x:c r="C768" t="inlineStr">
        <x:is>
          <x:t xml:space="preserve">DOC-059</x:t>
        </x:is>
      </x:c>
      <x:c r="D768" t="inlineStr">
        <x:is>
          <x:t xml:space="preserve">UI-14</x:t>
        </x:is>
      </x:c>
      <x:c r="E768" t="inlineStr">
        <x:is>
          <x:t xml:space="preserve">Khi sửa công việc/đánh giá/liên lạc</x:t>
        </x:is>
      </x:c>
      <x:c r="F768" t="inlineStr">
        <x:is>
          <x:t xml:space="preserve">Đối chiếu source React, nghiệp vụ, QA và bản xuất</x:t>
        </x:is>
      </x:c>
    </x:row>
    <x:row r="769">
      <x:c r="A769" t="inlineStr">
        <x:is>
          <x:t xml:space="preserve">F13</x:t>
        </x:is>
      </x:c>
      <x:c r="B769" t="inlineStr">
        <x:is>
          <x:t xml:space="preserve">Đánh giá</x:t>
        </x:is>
      </x:c>
      <x:c r="C769" t="inlineStr">
        <x:is>
          <x:t xml:space="preserve">DOC-059</x:t>
        </x:is>
      </x:c>
      <x:c r="D769" t="inlineStr">
        <x:is>
          <x:t xml:space="preserve">UI-14</x:t>
        </x:is>
      </x:c>
      <x:c r="E769" t="inlineStr">
        <x:is>
          <x:t xml:space="preserve">Khi sửa công việc/đánh giá/liên lạc</x:t>
        </x:is>
      </x:c>
      <x:c r="F769" t="inlineStr">
        <x:is>
          <x:t xml:space="preserve">Đối chiếu source React, nghiệp vụ, QA và bản xuất</x:t>
        </x:is>
      </x:c>
    </x:row>
    <x:row r="770">
      <x:c r="A770" t="inlineStr">
        <x:is>
          <x:t xml:space="preserve">F17</x:t>
        </x:is>
      </x:c>
      <x:c r="B770" t="inlineStr">
        <x:is>
          <x:t xml:space="preserve">App / web / ngôn ngữ</x:t>
        </x:is>
      </x:c>
      <x:c r="C770" t="inlineStr">
        <x:is>
          <x:t xml:space="preserve">DOC-059</x:t>
        </x:is>
      </x:c>
      <x:c r="D770" t="inlineStr">
        <x:is>
          <x:t xml:space="preserve">UI-14</x:t>
        </x:is>
      </x:c>
      <x:c r="E770" t="inlineStr">
        <x:is>
          <x:t xml:space="preserve">Khi sửa công việc/đánh giá/liên lạc</x:t>
        </x:is>
      </x:c>
      <x:c r="F770" t="inlineStr">
        <x:is>
          <x:t xml:space="preserve">Đối chiếu source React, nghiệp vụ, QA và bản xuất</x:t>
        </x:is>
      </x:c>
    </x:row>
    <x:row r="771">
      <x:c r="A771" t="inlineStr">
        <x:is>
          <x:t xml:space="preserve">F07</x:t>
        </x:is>
      </x:c>
      <x:c r="B771" t="inlineStr">
        <x:is>
          <x:t xml:space="preserve">Đổi lịch / dừng việc</x:t>
        </x:is>
      </x:c>
      <x:c r="C771" t="inlineStr">
        <x:is>
          <x:t xml:space="preserve">DOC-059</x:t>
        </x:is>
      </x:c>
      <x:c r="D771" t="inlineStr">
        <x:is>
          <x:t xml:space="preserve">UI-14</x:t>
        </x:is>
      </x:c>
      <x:c r="E771" t="inlineStr">
        <x:is>
          <x:t xml:space="preserve">Khi sửa lịch/hủy/dừng</x:t>
        </x:is>
      </x:c>
      <x:c r="F771" t="inlineStr">
        <x:is>
          <x:t xml:space="preserve">Đối chiếu model/JobActions/UX/QA</x:t>
        </x:is>
      </x:c>
    </x:row>
    <x:row r="772">
      <x:c r="A772" t="inlineStr">
        <x:is>
          <x:t xml:space="preserve">F08</x:t>
        </x:is>
      </x:c>
      <x:c r="B772" t="inlineStr">
        <x:is>
          <x:t xml:space="preserve">Doanh nghiệp / quyền</x:t>
        </x:is>
      </x:c>
      <x:c r="C772" t="inlineStr">
        <x:is>
          <x:t xml:space="preserve">DOC-060</x:t>
        </x:is>
      </x:c>
      <x:c r="D772" t="inlineStr">
        <x:is>
          <x:t xml:space="preserve">UI-17</x:t>
        </x:is>
      </x:c>
      <x:c r="E772" t="inlineStr">
        <x:is>
          <x:t xml:space="preserve">Khi sửa ví/ngân hàng/quyền</x:t>
        </x:is>
      </x:c>
      <x:c r="F772" t="inlineStr">
        <x:is>
          <x:t xml:space="preserve">Đối chiếu DOC-007, React, QA và gói xuất</x:t>
        </x:is>
      </x:c>
    </x:row>
    <x:row r="773">
      <x:c r="A773" t="inlineStr">
        <x:is>
          <x:t xml:space="preserve">F12</x:t>
        </x:is>
      </x:c>
      <x:c r="B773" t="inlineStr">
        <x:is>
          <x:t xml:space="preserve">Ví / ngân hàng</x:t>
        </x:is>
      </x:c>
      <x:c r="C773" t="inlineStr">
        <x:is>
          <x:t xml:space="preserve">DOC-060</x:t>
        </x:is>
      </x:c>
      <x:c r="D773" t="inlineStr">
        <x:is>
          <x:t xml:space="preserve">UI-17</x:t>
        </x:is>
      </x:c>
      <x:c r="E773" t="inlineStr">
        <x:is>
          <x:t xml:space="preserve">Khi sửa ví/ngân hàng/quyền</x:t>
        </x:is>
      </x:c>
      <x:c r="F773" t="inlineStr">
        <x:is>
          <x:t xml:space="preserve">Đối chiếu DOC-007, React, QA và gói xuất</x:t>
        </x:is>
      </x:c>
    </x:row>
    <x:row r="774">
      <x:c r="A774" t="inlineStr">
        <x:is>
          <x:t xml:space="preserve">F17</x:t>
        </x:is>
      </x:c>
      <x:c r="B774" t="inlineStr">
        <x:is>
          <x:t xml:space="preserve">App / web</x:t>
        </x:is>
      </x:c>
      <x:c r="C774" t="inlineStr">
        <x:is>
          <x:t xml:space="preserve">DOC-060</x:t>
        </x:is>
      </x:c>
      <x:c r="D774" t="inlineStr">
        <x:is>
          <x:t xml:space="preserve">UI-17</x:t>
        </x:is>
      </x:c>
      <x:c r="E774" t="inlineStr">
        <x:is>
          <x:t xml:space="preserve">Khi sửa ví/ngân hàng/quyền</x:t>
        </x:is>
      </x:c>
      <x:c r="F774" t="inlineStr">
        <x:is>
          <x:t xml:space="preserve">Đối chiếu DOC-007, React, QA và gói xuất</x:t>
        </x:is>
      </x:c>
    </x:row>
    <x:row r="775">
      <x:c r="A775" t="inlineStr">
        <x:is>
          <x:t xml:space="preserve">F16</x:t>
        </x:is>
      </x:c>
      <x:c r="B775" t="inlineStr">
        <x:is>
          <x:t xml:space="preserve">Admin</x:t>
        </x:is>
      </x:c>
      <x:c r="C775" t="inlineStr">
        <x:is>
          <x:t xml:space="preserve">DOC-060</x:t>
        </x:is>
      </x:c>
      <x:c r="D775" t="inlineStr">
        <x:is>
          <x:t xml:space="preserve">UI-18</x:t>
        </x:is>
      </x:c>
      <x:c r="E775" t="inlineStr">
        <x:is>
          <x:t xml:space="preserve">Khi sửa duyệt tài chính</x:t>
        </x:is>
      </x:c>
      <x:c r="F775" t="inlineStr">
        <x:is>
          <x:t xml:space="preserve">Kiểm source, tiền, quyền, QA và gói xuất</x:t>
        </x:is>
      </x:c>
    </x:row>
    <x:row r="776">
      <x:c r="A776" t="inlineStr">
        <x:is>
          <x:t xml:space="preserve">F03</x:t>
        </x:is>
      </x:c>
      <x:c r="B776" t="inlineStr">
        <x:is>
          <x:t xml:space="preserve">Xác minh</x:t>
        </x:is>
      </x:c>
      <x:c r="C776" t="inlineStr">
        <x:is>
          <x:t xml:space="preserve">DOC-061</x:t>
        </x:is>
      </x:c>
      <x:c r="D776" t="inlineStr">
        <x:is>
          <x:t xml:space="preserve">UI-19</x:t>
        </x:is>
      </x:c>
      <x:c r="E776" t="inlineStr">
        <x:is>
          <x:t xml:space="preserve">Khi sửa hỗ trợ/kiểm duyệt</x:t>
        </x:is>
      </x:c>
      <x:c r="F776" t="inlineStr">
        <x:is>
          <x:t xml:space="preserve">Đối chiếu React, phạm vi, QA và gói xuất</x:t>
        </x:is>
      </x:c>
    </x:row>
    <x:row r="777">
      <x:c r="A777" t="inlineStr">
        <x:is>
          <x:t xml:space="preserve">F13</x:t>
        </x:is>
      </x:c>
      <x:c r="B777" t="inlineStr">
        <x:is>
          <x:t xml:space="preserve">Đánh giá</x:t>
        </x:is>
      </x:c>
      <x:c r="C777" t="inlineStr">
        <x:is>
          <x:t xml:space="preserve">DOC-061</x:t>
        </x:is>
      </x:c>
      <x:c r="D777" t="inlineStr">
        <x:is>
          <x:t xml:space="preserve">UI-19</x:t>
        </x:is>
      </x:c>
      <x:c r="E777" t="inlineStr">
        <x:is>
          <x:t xml:space="preserve">Khi sửa hỗ trợ/kiểm duyệt</x:t>
        </x:is>
      </x:c>
      <x:c r="F777" t="inlineStr">
        <x:is>
          <x:t xml:space="preserve">Đối chiếu React, phạm vi, QA và gói xuất</x:t>
        </x:is>
      </x:c>
    </x:row>
    <x:row r="778">
      <x:c r="A778" t="inlineStr">
        <x:is>
          <x:t xml:space="preserve">F14</x:t>
        </x:is>
      </x:c>
      <x:c r="B778" t="inlineStr">
        <x:is>
          <x:t xml:space="preserve">Hỗ trợ</x:t>
        </x:is>
      </x:c>
      <x:c r="C778" t="inlineStr">
        <x:is>
          <x:t xml:space="preserve">DOC-061</x:t>
        </x:is>
      </x:c>
      <x:c r="D778" t="inlineStr">
        <x:is>
          <x:t xml:space="preserve">UI-19</x:t>
        </x:is>
      </x:c>
      <x:c r="E778" t="inlineStr">
        <x:is>
          <x:t xml:space="preserve">Khi sửa hỗ trợ/kiểm duyệt</x:t>
        </x:is>
      </x:c>
      <x:c r="F778" t="inlineStr">
        <x:is>
          <x:t xml:space="preserve">Đối chiếu React, phạm vi, QA và gói xuất</x:t>
        </x:is>
      </x:c>
    </x:row>
    <x:row r="779">
      <x:c r="A779" t="inlineStr">
        <x:is>
          <x:t xml:space="preserve">F16</x:t>
        </x:is>
      </x:c>
      <x:c r="B779" t="inlineStr">
        <x:is>
          <x:t xml:space="preserve">Admin</x:t>
        </x:is>
      </x:c>
      <x:c r="C779" t="inlineStr">
        <x:is>
          <x:t xml:space="preserve">DOC-061</x:t>
        </x:is>
      </x:c>
      <x:c r="D779" t="inlineStr">
        <x:is>
          <x:t xml:space="preserve">UI-19</x:t>
        </x:is>
      </x:c>
      <x:c r="E779" t="inlineStr">
        <x:is>
          <x:t xml:space="preserve">Khi sửa hỗ trợ/kiểm duyệt</x:t>
        </x:is>
      </x:c>
      <x:c r="F779" t="inlineStr">
        <x:is>
          <x:t xml:space="preserve">Đối chiếu React, phạm vi, QA và gói xuất</x:t>
        </x:is>
      </x:c>
    </x:row>
    <x:row r="780">
      <x:c r="A780" t="inlineStr">
        <x:is>
          <x:t xml:space="preserve">F17</x:t>
        </x:is>
      </x:c>
      <x:c r="B780" t="inlineStr">
        <x:is>
          <x:t xml:space="preserve">App / web</x:t>
        </x:is>
      </x:c>
      <x:c r="C780" t="inlineStr">
        <x:is>
          <x:t xml:space="preserve">DOC-061</x:t>
        </x:is>
      </x:c>
      <x:c r="D780" t="inlineStr">
        <x:is>
          <x:t xml:space="preserve">UI-19</x:t>
        </x:is>
      </x:c>
      <x:c r="E780" t="inlineStr">
        <x:is>
          <x:t xml:space="preserve">Khi sửa hỗ trợ/kiểm duyệt</x:t>
        </x:is>
      </x:c>
      <x:c r="F780" t="inlineStr">
        <x:is>
          <x:t xml:space="preserve">Đối chiếu React, phạm vi, QA và gói xuất</x:t>
        </x:is>
      </x:c>
    </x:row>
    <x:row r="781">
      <x:c r="A781" t="inlineStr">
        <x:is>
          <x:t xml:space="preserve">F01</x:t>
        </x:is>
      </x:c>
      <x:c r="B781" t="inlineStr">
        <x:is>
          <x:t xml:space="preserve">Tài khoản / đăng nhập</x:t>
        </x:is>
      </x:c>
      <x:c r="C781" t="inlineStr">
        <x:is>
          <x:t xml:space="preserve">DOC-062</x:t>
        </x:is>
      </x:c>
      <x:c r="D781" t="inlineStr">
        <x:is>
          <x:t xml:space="preserve">UI-20</x:t>
        </x:is>
      </x:c>
      <x:c r="E781" t="inlineStr">
        <x:is>
          <x:t xml:space="preserve">Khi sửa quản trị vận hành</x:t>
        </x:is>
      </x:c>
      <x:c r="F781" t="inlineStr">
        <x:is>
          <x:t xml:space="preserve">Đối chiếu React, phạm vi, QA và gói xuất</x:t>
        </x:is>
      </x:c>
    </x:row>
    <x:row r="782">
      <x:c r="A782" t="inlineStr">
        <x:is>
          <x:t xml:space="preserve">F02</x:t>
        </x:is>
      </x:c>
      <x:c r="B782" t="inlineStr">
        <x:is>
          <x:t xml:space="preserve">Danh mục / kỹ năng đa ngành</x:t>
        </x:is>
      </x:c>
      <x:c r="C782" t="inlineStr">
        <x:is>
          <x:t xml:space="preserve">DOC-062</x:t>
        </x:is>
      </x:c>
      <x:c r="D782" t="inlineStr">
        <x:is>
          <x:t xml:space="preserve">UI-20</x:t>
        </x:is>
      </x:c>
      <x:c r="E782" t="inlineStr">
        <x:is>
          <x:t xml:space="preserve">Khi sửa quản trị vận hành</x:t>
        </x:is>
      </x:c>
      <x:c r="F782" t="inlineStr">
        <x:is>
          <x:t xml:space="preserve">Đối chiếu React, phạm vi, QA và gói xuất</x:t>
        </x:is>
      </x:c>
    </x:row>
    <x:row r="783">
      <x:c r="A783" t="inlineStr">
        <x:is>
          <x:t xml:space="preserve">F03</x:t>
        </x:is>
      </x:c>
      <x:c r="B783" t="inlineStr">
        <x:is>
          <x:t xml:space="preserve">Hồ sơ / xác minh partner</x:t>
        </x:is>
      </x:c>
      <x:c r="C783" t="inlineStr">
        <x:is>
          <x:t xml:space="preserve">DOC-062</x:t>
        </x:is>
      </x:c>
      <x:c r="D783" t="inlineStr">
        <x:is>
          <x:t xml:space="preserve">UI-20</x:t>
        </x:is>
      </x:c>
      <x:c r="E783" t="inlineStr">
        <x:is>
          <x:t xml:space="preserve">Khi sửa quản trị vận hành</x:t>
        </x:is>
      </x:c>
      <x:c r="F783" t="inlineStr">
        <x:is>
          <x:t xml:space="preserve">Đối chiếu React, phạm vi, QA và gói xuất</x:t>
        </x:is>
      </x:c>
    </x:row>
    <x:row r="784">
      <x:c r="A784" t="inlineStr">
        <x:is>
          <x:t xml:space="preserve">F05</x:t>
        </x:is>
      </x:c>
      <x:c r="B784" t="inlineStr">
        <x:is>
          <x:t xml:space="preserve">Bật / tắt nhận việc</x:t>
        </x:is>
      </x:c>
      <x:c r="C784" t="inlineStr">
        <x:is>
          <x:t xml:space="preserve">DOC-062</x:t>
        </x:is>
      </x:c>
      <x:c r="D784" t="inlineStr">
        <x:is>
          <x:t xml:space="preserve">UI-20</x:t>
        </x:is>
      </x:c>
      <x:c r="E784" t="inlineStr">
        <x:is>
          <x:t xml:space="preserve">Khi sửa quản trị vận hành</x:t>
        </x:is>
      </x:c>
      <x:c r="F784" t="inlineStr">
        <x:is>
          <x:t xml:space="preserve">Đối chiếu React, phạm vi, QA và gói xuất</x:t>
        </x:is>
      </x:c>
    </x:row>
    <x:row r="785">
      <x:c r="A785" t="inlineStr">
        <x:is>
          <x:t xml:space="preserve">F16</x:t>
        </x:is>
      </x:c>
      <x:c r="B785" t="inlineStr">
        <x:is>
          <x:t xml:space="preserve">Admin / kiểm duyệt / báo cáo / audit</x:t>
        </x:is>
      </x:c>
      <x:c r="C785" t="inlineStr">
        <x:is>
          <x:t xml:space="preserve">DOC-062</x:t>
        </x:is>
      </x:c>
      <x:c r="D785" t="inlineStr">
        <x:is>
          <x:t xml:space="preserve">UI-20</x:t>
        </x:is>
      </x:c>
      <x:c r="E785" t="inlineStr">
        <x:is>
          <x:t xml:space="preserve">Khi sửa quản trị vận hành</x:t>
        </x:is>
      </x:c>
      <x:c r="F785" t="inlineStr">
        <x:is>
          <x:t xml:space="preserve">Đối chiếu React, phạm vi, QA và gói xuất</x:t>
        </x:is>
      </x:c>
    </x:row>
    <x:row r="786">
      <x:c r="A786" t="inlineStr">
        <x:is>
          <x:t xml:space="preserve">F17</x:t>
        </x:is>
      </x:c>
      <x:c r="B786" t="inlineStr">
        <x:is>
          <x:t xml:space="preserve">App / web / ngôn ngữ</x:t>
        </x:is>
      </x:c>
      <x:c r="C786" t="inlineStr">
        <x:is>
          <x:t xml:space="preserve">DOC-062</x:t>
        </x:is>
      </x:c>
      <x:c r="D786" t="inlineStr">
        <x:is>
          <x:t xml:space="preserve">UI-20</x:t>
        </x:is>
      </x:c>
      <x:c r="E786" t="inlineStr">
        <x:is>
          <x:t xml:space="preserve">Khi sửa quản trị vận hành</x:t>
        </x:is>
      </x:c>
      <x:c r="F786" t="inlineStr">
        <x:is>
          <x:t xml:space="preserve">Đối chiếu React, phạm vi, QA và gói xuất</x:t>
        </x:is>
      </x:c>
    </x:row>
    <x:row r="787">
      <x:c r="A787" t="inlineStr">
        <x:is>
          <x:t xml:space="preserve">F02</x:t>
        </x:is>
      </x:c>
      <x:c r="B787" t="inlineStr">
        <x:is>
          <x:t xml:space="preserve">Danh mục / kỹ năng đa ngành</x:t>
        </x:is>
      </x:c>
      <x:c r="C787" t="inlineStr">
        <x:is>
          <x:t xml:space="preserve">DOC-063</x:t>
        </x:is>
      </x:c>
      <x:c r="D787" t="inlineStr">
        <x:is>
          <x:t xml:space="preserve">UI-21</x:t>
        </x:is>
      </x:c>
      <x:c r="E787" t="inlineStr">
        <x:is>
          <x:t xml:space="preserve">Khi sửa luồng liên quan</x:t>
        </x:is>
      </x:c>
      <x:c r="F787" t="inlineStr">
        <x:is>
          <x:t xml:space="preserve">Rà kết quả và phạm vi kiểm thử prototype</x:t>
        </x:is>
      </x:c>
    </x:row>
    <x:row r="788">
      <x:c r="A788" t="inlineStr">
        <x:is>
          <x:t xml:space="preserve">F05</x:t>
        </x:is>
      </x:c>
      <x:c r="B788" t="inlineStr">
        <x:is>
          <x:t xml:space="preserve">Bật / tắt nhận việc</x:t>
        </x:is>
      </x:c>
      <x:c r="C788" t="inlineStr">
        <x:is>
          <x:t xml:space="preserve">DOC-063</x:t>
        </x:is>
      </x:c>
      <x:c r="D788" t="inlineStr">
        <x:is>
          <x:t xml:space="preserve">UI-21</x:t>
        </x:is>
      </x:c>
      <x:c r="E788" t="inlineStr">
        <x:is>
          <x:t xml:space="preserve">Khi sửa luồng liên quan</x:t>
        </x:is>
      </x:c>
      <x:c r="F788" t="inlineStr">
        <x:is>
          <x:t xml:space="preserve">Rà kết quả và phạm vi kiểm thử prototype</x:t>
        </x:is>
      </x:c>
    </x:row>
    <x:row r="789">
      <x:c r="A789" t="inlineStr">
        <x:is>
          <x:t xml:space="preserve">F06</x:t>
        </x:is>
      </x:c>
      <x:c r="B789" t="inlineStr">
        <x:is>
          <x:t xml:space="preserve">Thuê ngay / hẹn trước</x:t>
        </x:is>
      </x:c>
      <x:c r="C789" t="inlineStr">
        <x:is>
          <x:t xml:space="preserve">DOC-063</x:t>
        </x:is>
      </x:c>
      <x:c r="D789" t="inlineStr">
        <x:is>
          <x:t xml:space="preserve">UI-21</x:t>
        </x:is>
      </x:c>
      <x:c r="E789" t="inlineStr">
        <x:is>
          <x:t xml:space="preserve">Khi sửa luồng liên quan</x:t>
        </x:is>
      </x:c>
      <x:c r="F789" t="inlineStr">
        <x:is>
          <x:t xml:space="preserve">Rà kết quả và phạm vi kiểm thử prototype</x:t>
        </x:is>
      </x:c>
    </x:row>
    <x:row r="790">
      <x:c r="A790" t="inlineStr">
        <x:is>
          <x:t xml:space="preserve">F08</x:t>
        </x:is>
      </x:c>
      <x:c r="B790" t="inlineStr">
        <x:is>
          <x:t xml:space="preserve">Doanh nghiệp / quyền / phân công</x:t>
        </x:is>
      </x:c>
      <x:c r="C790" t="inlineStr">
        <x:is>
          <x:t xml:space="preserve">DOC-063</x:t>
        </x:is>
      </x:c>
      <x:c r="D790" t="inlineStr">
        <x:is>
          <x:t xml:space="preserve">UI-21</x:t>
        </x:is>
      </x:c>
      <x:c r="E790" t="inlineStr">
        <x:is>
          <x:t xml:space="preserve">Khi sửa luồng liên quan</x:t>
        </x:is>
      </x:c>
      <x:c r="F790" t="inlineStr">
        <x:is>
          <x:t xml:space="preserve">Rà kết quả và phạm vi kiểm thử prototype</x:t>
        </x:is>
      </x:c>
    </x:row>
    <x:row r="791">
      <x:c r="A791" t="inlineStr">
        <x:is>
          <x:t xml:space="preserve">F09</x:t>
        </x:is>
      </x:c>
      <x:c r="B791" t="inlineStr">
        <x:is>
          <x:t xml:space="preserve">Chat / gọi / thông báo</x:t>
        </x:is>
      </x:c>
      <x:c r="C791" t="inlineStr">
        <x:is>
          <x:t xml:space="preserve">DOC-063</x:t>
        </x:is>
      </x:c>
      <x:c r="D791" t="inlineStr">
        <x:is>
          <x:t xml:space="preserve">UI-21</x:t>
        </x:is>
      </x:c>
      <x:c r="E791" t="inlineStr">
        <x:is>
          <x:t xml:space="preserve">Khi sửa luồng liên quan</x:t>
        </x:is>
      </x:c>
      <x:c r="F791" t="inlineStr">
        <x:is>
          <x:t xml:space="preserve">Rà kết quả và phạm vi kiểm thử prototype</x:t>
        </x:is>
      </x:c>
    </x:row>
    <x:row r="792">
      <x:c r="A792" t="inlineStr">
        <x:is>
          <x:t xml:space="preserve">F10</x:t>
        </x:is>
      </x:c>
      <x:c r="B792" t="inlineStr">
        <x:is>
          <x:t xml:space="preserve">Hóa đơn / ảnh / phiên bản</x:t>
        </x:is>
      </x:c>
      <x:c r="C792" t="inlineStr">
        <x:is>
          <x:t xml:space="preserve">DOC-063</x:t>
        </x:is>
      </x:c>
      <x:c r="D792" t="inlineStr">
        <x:is>
          <x:t xml:space="preserve">UI-21</x:t>
        </x:is>
      </x:c>
      <x:c r="E792" t="inlineStr">
        <x:is>
          <x:t xml:space="preserve">Khi sửa luồng liên quan</x:t>
        </x:is>
      </x:c>
      <x:c r="F792" t="inlineStr">
        <x:is>
          <x:t xml:space="preserve">Rà kết quả và phạm vi kiểm thử prototype</x:t>
        </x:is>
      </x:c>
    </x:row>
    <x:row r="793">
      <x:c r="A793" t="inlineStr">
        <x:is>
          <x:t xml:space="preserve">F11</x:t>
        </x:is>
      </x:c>
      <x:c r="B793" t="inlineStr">
        <x:is>
          <x:t xml:space="preserve">Point / giữ phí / quyết toán</x:t>
        </x:is>
      </x:c>
      <x:c r="C793" t="inlineStr">
        <x:is>
          <x:t xml:space="preserve">DOC-063</x:t>
        </x:is>
      </x:c>
      <x:c r="D793" t="inlineStr">
        <x:is>
          <x:t xml:space="preserve">UI-21</x:t>
        </x:is>
      </x:c>
      <x:c r="E793" t="inlineStr">
        <x:is>
          <x:t xml:space="preserve">Khi sửa luồng liên quan</x:t>
        </x:is>
      </x:c>
      <x:c r="F793" t="inlineStr">
        <x:is>
          <x:t xml:space="preserve">Rà kết quả và phạm vi kiểm thử prototype</x:t>
        </x:is>
      </x:c>
    </x:row>
    <x:row r="794">
      <x:c r="A794" t="inlineStr">
        <x:is>
          <x:t xml:space="preserve">F16</x:t>
        </x:is>
      </x:c>
      <x:c r="B794" t="inlineStr">
        <x:is>
          <x:t xml:space="preserve">Admin / kiểm duyệt / báo cáo / audit</x:t>
        </x:is>
      </x:c>
      <x:c r="C794" t="inlineStr">
        <x:is>
          <x:t xml:space="preserve">DOC-063</x:t>
        </x:is>
      </x:c>
      <x:c r="D794" t="inlineStr">
        <x:is>
          <x:t xml:space="preserve">UI-21</x:t>
        </x:is>
      </x:c>
      <x:c r="E794" t="inlineStr">
        <x:is>
          <x:t xml:space="preserve">Khi sửa luồng liên quan</x:t>
        </x:is>
      </x:c>
      <x:c r="F794" t="inlineStr">
        <x:is>
          <x:t xml:space="preserve">Rà kết quả và phạm vi kiểm thử prototype</x:t>
        </x:is>
      </x:c>
    </x:row>
    <x:row r="795">
      <x:c r="A795" t="inlineStr">
        <x:is>
          <x:t xml:space="preserve">F17</x:t>
        </x:is>
      </x:c>
      <x:c r="B795" t="inlineStr">
        <x:is>
          <x:t xml:space="preserve">App / web / ngôn ngữ</x:t>
        </x:is>
      </x:c>
      <x:c r="C795" t="inlineStr">
        <x:is>
          <x:t xml:space="preserve">DOC-063</x:t>
        </x:is>
      </x:c>
      <x:c r="D795" t="inlineStr">
        <x:is>
          <x:t xml:space="preserve">UI-21</x:t>
        </x:is>
      </x:c>
      <x:c r="E795" t="inlineStr">
        <x:is>
          <x:t xml:space="preserve">Khi sửa luồng liên quan</x:t>
        </x:is>
      </x:c>
      <x:c r="F795" t="inlineStr">
        <x:is>
          <x:t xml:space="preserve">Rà kết quả và phạm vi kiểm thử prototype</x:t>
        </x:is>
      </x:c>
    </x:row>
    <x:row r="796">
      <x:c r="A796" t="inlineStr">
        <x:is>
          <x:t xml:space="preserve">F18</x:t>
        </x:is>
      </x:c>
      <x:c r="B796" t="inlineStr">
        <x:is>
          <x:t xml:space="preserve">Kiến trúc / ERD / API / test / deploy</x:t>
        </x:is>
      </x:c>
      <x:c r="C796" t="inlineStr">
        <x:is>
          <x:t xml:space="preserve">DOC-064</x:t>
        </x:is>
      </x:c>
      <x:c r="D796" t="inlineStr">
        <x:is>
          <x:t xml:space="preserve">HANDOFF-01</x:t>
        </x:is>
      </x:c>
      <x:c r="E796" t="inlineStr">
        <x:is>
          <x:t xml:space="preserve">Khi đổi công nghệ, phạm vi hoặc cách bàn giao</x:t>
        </x:is>
      </x:c>
      <x:c r="F796" t="inlineStr">
        <x:is>
          <x:t xml:space="preserve">Giữ prompt khớp nguồn hiện hành; không thay tài liệu gốc</x:t>
        </x:is>
      </x:c>
    </x:row>
    <x:row r="797">
      <x:c r="A797" t="inlineStr">
        <x:is>
          <x:t xml:space="preserve">F19</x:t>
        </x:is>
      </x:c>
      <x:c r="B797" t="inlineStr">
        <x:is>
          <x:t xml:space="preserve">Phạm vi / mục tiêu / pending</x:t>
        </x:is>
      </x:c>
      <x:c r="C797" t="inlineStr">
        <x:is>
          <x:t xml:space="preserve">DOC-064</x:t>
        </x:is>
      </x:c>
      <x:c r="D797" t="inlineStr">
        <x:is>
          <x:t xml:space="preserve">HANDOFF-01</x:t>
        </x:is>
      </x:c>
      <x:c r="E797" t="inlineStr">
        <x:is>
          <x:t xml:space="preserve">Khi đổi công nghệ, phạm vi hoặc cách bàn giao</x:t>
        </x:is>
      </x:c>
      <x:c r="F797" t="inlineStr">
        <x:is>
          <x:t xml:space="preserve">Giữ prompt khớp nguồn hiện hành; không thay tài liệu gốc</x:t>
        </x:is>
      </x:c>
    </x:row>
    <x:row r="798">
      <x:c r="A798" t="inlineStr">
        <x:is>
          <x:t xml:space="preserve">F20</x:t>
        </x:is>
      </x:c>
      <x:c r="B798" t="inlineStr">
        <x:is>
          <x:t xml:space="preserve">Quản lý tài liệu / đồng bộ</x:t>
        </x:is>
      </x:c>
      <x:c r="C798" t="inlineStr">
        <x:is>
          <x:t xml:space="preserve">DOC-064</x:t>
        </x:is>
      </x:c>
      <x:c r="D798" t="inlineStr">
        <x:is>
          <x:t xml:space="preserve">HANDOFF-01</x:t>
        </x:is>
      </x:c>
      <x:c r="E798" t="inlineStr">
        <x:is>
          <x:t xml:space="preserve">Khi đổi công nghệ, phạm vi hoặc cách bàn giao</x:t>
        </x:is>
      </x:c>
      <x:c r="F798" t="inlineStr">
        <x:is>
          <x:t xml:space="preserve">Giữ prompt khớp nguồn hiện hành; không thay tài liệu gốc</x:t>
        </x:is>
      </x:c>
    </x:row>
    <x:row r="799" ht="75" customHeight="1">
      <x:c r="A799" s="24" t="inlineStr">
        <x:is>
          <x:t xml:space="preserve">F02</x:t>
        </x:is>
      </x:c>
      <x:c r="B799" s="24" t="inlineStr">
        <x:is>
          <x:t xml:space="preserve">Danh mục / kỹ năng đa ngành</x:t>
        </x:is>
      </x:c>
      <x:c r="C799" s="24" t="inlineStr">
        <x:is>
          <x:t xml:space="preserve">DOC-065</x:t>
        </x:is>
      </x:c>
      <x:c r="D799" s="24" t="inlineStr">
        <x:is>
          <x:t xml:space="preserve">IMPLEMENT-01; TECH-01</x:t>
        </x:is>
      </x:c>
      <x:c r="E799" s="24" t="inlineStr">
        <x:is>
          <x:t xml:space="preserve">Khi đổi nền tảng, contract, danh mục hoặc cách chạy</x:t>
        </x:is>
      </x:c>
      <x:c r="F799" s="24" t="inlineStr">
        <x:is>
          <x:t xml:space="preserve">Đối chiếu code/migration/test, DOC-065/066, technical JSON/MD/viewer/ZIP và registry</x:t>
        </x:is>
      </x:c>
    </x:row>
    <x:row r="800" ht="75" customHeight="1">
      <x:c r="A800" s="24" t="inlineStr">
        <x:is>
          <x:t xml:space="preserve">F18</x:t>
        </x:is>
      </x:c>
      <x:c r="B800" s="24" t="inlineStr">
        <x:is>
          <x:t xml:space="preserve">Kiến trúc / ERD / API / test / deploy</x:t>
        </x:is>
      </x:c>
      <x:c r="C800" s="24" t="inlineStr">
        <x:is>
          <x:t xml:space="preserve">DOC-065</x:t>
        </x:is>
      </x:c>
      <x:c r="D800" s="24" t="inlineStr">
        <x:is>
          <x:t xml:space="preserve">IMPLEMENT-01; TECH-01</x:t>
        </x:is>
      </x:c>
      <x:c r="E800" s="24" t="inlineStr">
        <x:is>
          <x:t xml:space="preserve">Khi đổi nền tảng, contract, danh mục hoặc cách chạy</x:t>
        </x:is>
      </x:c>
      <x:c r="F800" s="24" t="inlineStr">
        <x:is>
          <x:t xml:space="preserve">Đối chiếu code/migration/test, DOC-065/066, technical JSON/MD/viewer/ZIP và registry</x:t>
        </x:is>
      </x:c>
    </x:row>
    <x:row r="801" ht="75" customHeight="1">
      <x:c r="A801" s="24" t="inlineStr">
        <x:is>
          <x:t xml:space="preserve">F20</x:t>
        </x:is>
      </x:c>
      <x:c r="B801" s="24" t="inlineStr">
        <x:is>
          <x:t xml:space="preserve">Quản lý tài liệu / đồng bộ</x:t>
        </x:is>
      </x:c>
      <x:c r="C801" s="24" t="inlineStr">
        <x:is>
          <x:t xml:space="preserve">DOC-065</x:t>
        </x:is>
      </x:c>
      <x:c r="D801" s="24" t="inlineStr">
        <x:is>
          <x:t xml:space="preserve">IMPLEMENT-01; TECH-01</x:t>
        </x:is>
      </x:c>
      <x:c r="E801" s="24" t="inlineStr">
        <x:is>
          <x:t xml:space="preserve">Khi đổi nền tảng, contract, danh mục hoặc cách chạy</x:t>
        </x:is>
      </x:c>
      <x:c r="F801" s="24" t="inlineStr">
        <x:is>
          <x:t xml:space="preserve">Đối chiếu code/migration/test, DOC-065/066, technical JSON/MD/viewer/ZIP và registry</x:t>
        </x:is>
      </x:c>
    </x:row>
    <x:row r="802" ht="75" customHeight="1">
      <x:c r="A802" s="24" t="inlineStr">
        <x:is>
          <x:t xml:space="preserve">F02</x:t>
        </x:is>
      </x:c>
      <x:c r="B802" s="24" t="inlineStr">
        <x:is>
          <x:t xml:space="preserve">Danh mục / kỹ năng đa ngành</x:t>
        </x:is>
      </x:c>
      <x:c r="C802" s="24" t="inlineStr">
        <x:is>
          <x:t xml:space="preserve">DOC-066</x:t>
        </x:is>
      </x:c>
      <x:c r="D802" s="24" t="inlineStr">
        <x:is>
          <x:t xml:space="preserve">IMPLEMENT-01; TECH-01</x:t>
        </x:is>
      </x:c>
      <x:c r="E802" s="24" t="inlineStr">
        <x:is>
          <x:t xml:space="preserve">Khi đổi nền tảng, contract, danh mục hoặc cách chạy</x:t>
        </x:is>
      </x:c>
      <x:c r="F802" s="24" t="inlineStr">
        <x:is>
          <x:t xml:space="preserve">Đối chiếu code/migration/test, DOC-065/066, technical JSON/MD/viewer/ZIP và registry</x:t>
        </x:is>
      </x:c>
    </x:row>
    <x:row r="803" ht="75" customHeight="1">
      <x:c r="A803" s="24" t="inlineStr">
        <x:is>
          <x:t xml:space="preserve">F18</x:t>
        </x:is>
      </x:c>
      <x:c r="B803" s="24" t="inlineStr">
        <x:is>
          <x:t xml:space="preserve">Kiến trúc / ERD / API / test / deploy</x:t>
        </x:is>
      </x:c>
      <x:c r="C803" s="24" t="inlineStr">
        <x:is>
          <x:t xml:space="preserve">DOC-066</x:t>
        </x:is>
      </x:c>
      <x:c r="D803" s="24" t="inlineStr">
        <x:is>
          <x:t xml:space="preserve">IMPLEMENT-01; TECH-01</x:t>
        </x:is>
      </x:c>
      <x:c r="E803" s="24" t="inlineStr">
        <x:is>
          <x:t xml:space="preserve">Khi đổi nền tảng, contract, danh mục hoặc cách chạy</x:t>
        </x:is>
      </x:c>
      <x:c r="F803" s="24" t="inlineStr">
        <x:is>
          <x:t xml:space="preserve">Đối chiếu code/migration/test, DOC-065/066, technical JSON/MD/viewer/ZIP và registry</x:t>
        </x:is>
      </x:c>
    </x:row>
    <x:row r="804" ht="75" customHeight="1">
      <x:c r="A804" s="24" t="inlineStr">
        <x:is>
          <x:t xml:space="preserve">F20</x:t>
        </x:is>
      </x:c>
      <x:c r="B804" s="24" t="inlineStr">
        <x:is>
          <x:t xml:space="preserve">Quản lý tài liệu / đồng bộ</x:t>
        </x:is>
      </x:c>
      <x:c r="C804" s="24" t="inlineStr">
        <x:is>
          <x:t xml:space="preserve">DOC-066</x:t>
        </x:is>
      </x:c>
      <x:c r="D804" s="24" t="inlineStr">
        <x:is>
          <x:t xml:space="preserve">IMPLEMENT-01; TECH-01</x:t>
        </x:is>
      </x:c>
      <x:c r="E804" s="24" t="inlineStr">
        <x:is>
          <x:t xml:space="preserve">Khi đổi nền tảng, contract, danh mục hoặc cách chạy</x:t>
        </x:is>
      </x:c>
      <x:c r="F804" s="24" t="inlineStr">
        <x:is>
          <x:t xml:space="preserve">Đối chiếu code/migration/test, DOC-065/066, technical JSON/MD/viewer/ZIP và registry</x:t>
        </x:is>
      </x:c>
    </x:row>
    <x:row r="805" ht="90" customHeight="1">
      <x:c r="A805" s="24" t="inlineStr">
        <x:is>
          <x:t xml:space="preserve">F18</x:t>
        </x:is>
      </x:c>
      <x:c r="B805" s="24" t="inlineStr">
        <x:is>
          <x:t xml:space="preserve">Log / test / CI / bằng chứng</x:t>
        </x:is>
      </x:c>
      <x:c r="C805" s="24" t="inlineStr">
        <x:is>
          <x:t xml:space="preserve">DOC-069</x:t>
        </x:is>
      </x:c>
      <x:c r="D805" s="24" t="inlineStr">
        <x:is>
          <x:t xml:space="preserve">LOGTEST-REQ-01; LOGTEST-DESIGN-01</x:t>
        </x:is>
      </x:c>
      <x:c r="E805" s="24" t="inlineStr">
        <x:is>
          <x:t xml:space="preserve">Khi duyệt hoặc sửa thiết kế log/test</x:t>
        </x:is>
      </x:c>
      <x:c r="F805" s="24" t="inlineStr">
        <x:is>
          <x:t xml:space="preserve">Phương án A đã triển khai local (DOC-071); khi sửa log/test cập nhật contract/QA/ADR/runbook/source/export/registry.</x:t>
        </x:is>
      </x:c>
    </x:row>
    <x:row r="806" ht="90" customHeight="1">
      <x:c r="A806" s="24" t="inlineStr">
        <x:is>
          <x:t xml:space="preserve">F20</x:t>
        </x:is>
      </x:c>
      <x:c r="B806" s="24" t="inlineStr">
        <x:is>
          <x:t xml:space="preserve">Log / test / CI / bằng chứng</x:t>
        </x:is>
      </x:c>
      <x:c r="C806" s="24" t="inlineStr">
        <x:is>
          <x:t xml:space="preserve">DOC-069</x:t>
        </x:is>
      </x:c>
      <x:c r="D806" s="24" t="inlineStr">
        <x:is>
          <x:t xml:space="preserve">LOGTEST-REQ-01; LOGTEST-DESIGN-01</x:t>
        </x:is>
      </x:c>
      <x:c r="E806" s="24" t="inlineStr">
        <x:is>
          <x:t xml:space="preserve">Khi duyệt hoặc sửa thiết kế log/test</x:t>
        </x:is>
      </x:c>
      <x:c r="F806" s="24" t="inlineStr">
        <x:is>
          <x:t xml:space="preserve">Phương án A đã triển khai local (DOC-071); khi sửa log/test cập nhật contract/QA/ADR/runbook/source/export/registry.</x:t>
        </x:is>
      </x:c>
    </x:row>
    <x:row r="807" ht="72" customHeight="1">
      <x:c r="A807" s="24" t="inlineStr">
        <x:is>
          <x:t xml:space="preserve">F17</x:t>
        </x:is>
      </x:c>
      <x:c r="B807" s="24" t="inlineStr">
        <x:is>
          <x:t xml:space="preserve">Khung source và hướng dẫn phát triển</x:t>
        </x:is>
      </x:c>
      <x:c r="C807" s="24" t="inlineStr">
        <x:is>
          <x:t xml:space="preserve">DOC-070</x:t>
        </x:is>
      </x:c>
      <x:c r="D807" s="24" t="inlineStr">
        <x:is>
          <x:t xml:space="preserve">STRUCTURE-01</x:t>
        </x:is>
      </x:c>
      <x:c r="E807" s="24" t="inlineStr">
        <x:is>
          <x:t xml:space="preserve">Khi đổi vị trí code/module/workspace</x:t>
        </x:is>
      </x:c>
      <x:c r="F807" s="24" t="inlineStr">
        <x:is>
          <x:t xml:space="preserve">Đối chiếu imports/scripts/build/test, README, runbook, ADR, handoff, ZIP và registry</x:t>
        </x:is>
      </x:c>
    </x:row>
    <x:row r="808" ht="72" customHeight="1">
      <x:c r="A808" s="24" t="inlineStr">
        <x:is>
          <x:t xml:space="preserve">F18</x:t>
        </x:is>
      </x:c>
      <x:c r="B808" s="24" t="inlineStr">
        <x:is>
          <x:t xml:space="preserve">Khung source và hướng dẫn phát triển</x:t>
        </x:is>
      </x:c>
      <x:c r="C808" s="24" t="inlineStr">
        <x:is>
          <x:t xml:space="preserve">DOC-070</x:t>
        </x:is>
      </x:c>
      <x:c r="D808" s="24" t="inlineStr">
        <x:is>
          <x:t xml:space="preserve">STRUCTURE-01</x:t>
        </x:is>
      </x:c>
      <x:c r="E808" s="24" t="inlineStr">
        <x:is>
          <x:t xml:space="preserve">Khi đổi vị trí code/module/workspace</x:t>
        </x:is>
      </x:c>
      <x:c r="F808" s="24" t="inlineStr">
        <x:is>
          <x:t xml:space="preserve">Đối chiếu imports/scripts/build/test, README, runbook, ADR, handoff, ZIP và registry</x:t>
        </x:is>
      </x:c>
    </x:row>
    <x:row r="809" ht="72" customHeight="1">
      <x:c r="A809" s="24" t="inlineStr">
        <x:is>
          <x:t xml:space="preserve">F20</x:t>
        </x:is>
      </x:c>
      <x:c r="B809" s="24" t="inlineStr">
        <x:is>
          <x:t xml:space="preserve">Khung source và hướng dẫn phát triển</x:t>
        </x:is>
      </x:c>
      <x:c r="C809" s="24" t="inlineStr">
        <x:is>
          <x:t xml:space="preserve">DOC-070</x:t>
        </x:is>
      </x:c>
      <x:c r="D809" s="24" t="inlineStr">
        <x:is>
          <x:t xml:space="preserve">STRUCTURE-01</x:t>
        </x:is>
      </x:c>
      <x:c r="E809" s="24" t="inlineStr">
        <x:is>
          <x:t xml:space="preserve">Khi đổi vị trí code/module/workspace</x:t>
        </x:is>
      </x:c>
      <x:c r="F809" s="24" t="inlineStr">
        <x:is>
          <x:t xml:space="preserve">Đối chiếu imports/scripts/build/test, README, runbook, ADR, handoff, ZIP và registry</x:t>
        </x:is>
      </x:c>
    </x:row>
    <x:row r="810" ht="75" customHeight="1">
      <x:c r="A810" s="24" t="inlineStr">
        <x:is>
          <x:t xml:space="preserve">F02</x:t>
        </x:is>
      </x:c>
      <x:c r="B810" s="24" t="inlineStr">
        <x:is>
          <x:t xml:space="preserve">Log/test/correlation/CI</x:t>
        </x:is>
      </x:c>
      <x:c r="C810" s="24" t="inlineStr">
        <x:is>
          <x:t xml:space="preserve">DOC-071</x:t>
        </x:is>
      </x:c>
      <x:c r="D810" s="24" t="inlineStr">
        <x:is>
          <x:t xml:space="preserve">LOGTEST-01</x:t>
        </x:is>
      </x:c>
      <x:c r="E810" s="24" t="inlineStr">
        <x:is>
          <x:t xml:space="preserve">Khi đổi log/error/test hoặc cách vận hành</x:t>
        </x:is>
      </x:c>
      <x:c r="F810" s="24" t="inlineStr">
        <x:is>
          <x:t xml:space="preserve">Đối chiếu source/test/reports, OpenAPI/QA/RTM/backlog, DOC-065/066/069/070 và ZIP/Drive</x:t>
        </x:is>
      </x:c>
    </x:row>
    <x:row r="811" ht="75" customHeight="1">
      <x:c r="A811" s="24" t="inlineStr">
        <x:is>
          <x:t xml:space="preserve">F17</x:t>
        </x:is>
      </x:c>
      <x:c r="B811" s="24" t="inlineStr">
        <x:is>
          <x:t xml:space="preserve">Log/test/correlation/CI</x:t>
        </x:is>
      </x:c>
      <x:c r="C811" s="24" t="inlineStr">
        <x:is>
          <x:t xml:space="preserve">DOC-071</x:t>
        </x:is>
      </x:c>
      <x:c r="D811" s="24" t="inlineStr">
        <x:is>
          <x:t xml:space="preserve">LOGTEST-01</x:t>
        </x:is>
      </x:c>
      <x:c r="E811" s="24" t="inlineStr">
        <x:is>
          <x:t xml:space="preserve">Khi đổi log/error/test hoặc cách vận hành</x:t>
        </x:is>
      </x:c>
      <x:c r="F811" s="24" t="inlineStr">
        <x:is>
          <x:t xml:space="preserve">Đối chiếu source/test/reports, OpenAPI/QA/RTM/backlog, DOC-065/066/069/070 và ZIP/Drive</x:t>
        </x:is>
      </x:c>
    </x:row>
    <x:row r="812" ht="75" customHeight="1">
      <x:c r="A812" s="24" t="inlineStr">
        <x:is>
          <x:t xml:space="preserve">F18</x:t>
        </x:is>
      </x:c>
      <x:c r="B812" s="24" t="inlineStr">
        <x:is>
          <x:t xml:space="preserve">Log/test/correlation/CI</x:t>
        </x:is>
      </x:c>
      <x:c r="C812" s="24" t="inlineStr">
        <x:is>
          <x:t xml:space="preserve">DOC-071</x:t>
        </x:is>
      </x:c>
      <x:c r="D812" s="24" t="inlineStr">
        <x:is>
          <x:t xml:space="preserve">LOGTEST-01</x:t>
        </x:is>
      </x:c>
      <x:c r="E812" s="24" t="inlineStr">
        <x:is>
          <x:t xml:space="preserve">Khi đổi log/error/test hoặc cách vận hành</x:t>
        </x:is>
      </x:c>
      <x:c r="F812" s="24" t="inlineStr">
        <x:is>
          <x:t xml:space="preserve">Đối chiếu source/test/reports, OpenAPI/QA/RTM/backlog, DOC-065/066/069/070 và ZIP/Drive</x:t>
        </x:is>
      </x:c>
    </x:row>
    <x:row r="813" ht="75" customHeight="1">
      <x:c r="A813" s="24" t="inlineStr">
        <x:is>
          <x:t xml:space="preserve">F20</x:t>
        </x:is>
      </x:c>
      <x:c r="B813" s="24" t="inlineStr">
        <x:is>
          <x:t xml:space="preserve">Log/test/correlation/CI</x:t>
        </x:is>
      </x:c>
      <x:c r="C813" s="24" t="inlineStr">
        <x:is>
          <x:t xml:space="preserve">DOC-071</x:t>
        </x:is>
      </x:c>
      <x:c r="D813" s="24" t="inlineStr">
        <x:is>
          <x:t xml:space="preserve">LOGTEST-01</x:t>
        </x:is>
      </x:c>
      <x:c r="E813" s="24" t="inlineStr">
        <x:is>
          <x:t xml:space="preserve">Khi đổi log/error/test hoặc cách vận hành</x:t>
        </x:is>
      </x:c>
      <x:c r="F813" s="24" t="inlineStr">
        <x:is>
          <x:t xml:space="preserve">Đối chiếu source/test/reports, OpenAPI/QA/RTM/backlog, DOC-065/066/069/070 và ZIP/Drive</x:t>
        </x:is>
      </x:c>
    </x:row>
    <x:row r="814" ht="80" customHeight="1">
      <x:c r="A814" s="24" t="inlineStr">
        <x:is>
          <x:t xml:space="preserve">F17</x:t>
        </x:is>
      </x:c>
      <x:c r="B814" s="24" t="inlineStr">
        <x:is>
          <x:t xml:space="preserve">Môi trường và hướng dẫn phát triển mobile</x:t>
        </x:is>
      </x:c>
      <x:c r="C814" s="24" t="inlineStr">
        <x:is>
          <x:t xml:space="preserve">DOC-072</x:t>
        </x:is>
      </x:c>
      <x:c r="D814" s="24" t="inlineStr">
        <x:is>
          <x:t xml:space="preserve">MOBILE-GUIDE-01</x:t>
        </x:is>
      </x:c>
      <x:c r="E814" s="24" t="inlineStr">
        <x:is>
          <x:t xml:space="preserve">Khi đổi SDK/toolchain, máy phát triển hoặc cách chạy/test</x:t>
        </x:is>
      </x:c>
      <x:c r="F814" s="24" t="inlineStr">
        <x:is>
          <x:t xml:space="preserve">Đối chiếu source hiện hành, DOC-072–081; tái tạo ZIP và đọc lại Drive; giữ riêng kết quả thực thi.</x:t>
        </x:is>
      </x:c>
    </x:row>
    <x:row r="815" ht="80" customHeight="1">
      <x:c r="A815" s="24" t="inlineStr">
        <x:is>
          <x:t xml:space="preserve">F18</x:t>
        </x:is>
      </x:c>
      <x:c r="B815" s="24" t="inlineStr">
        <x:is>
          <x:t xml:space="preserve">Môi trường và hướng dẫn phát triển mobile</x:t>
        </x:is>
      </x:c>
      <x:c r="C815" s="24" t="inlineStr">
        <x:is>
          <x:t xml:space="preserve">DOC-072</x:t>
        </x:is>
      </x:c>
      <x:c r="D815" s="24" t="inlineStr">
        <x:is>
          <x:t xml:space="preserve">MOBILE-GUIDE-01</x:t>
        </x:is>
      </x:c>
      <x:c r="E815" s="24" t="inlineStr">
        <x:is>
          <x:t xml:space="preserve">Khi đổi SDK/toolchain, máy phát triển hoặc cách chạy/test</x:t>
        </x:is>
      </x:c>
      <x:c r="F815" s="24" t="inlineStr">
        <x:is>
          <x:t xml:space="preserve">Đối chiếu source hiện hành, DOC-072–081; tái tạo ZIP và đọc lại Drive; giữ riêng kết quả thực thi.</x:t>
        </x:is>
      </x:c>
    </x:row>
    <x:row r="816" ht="80" customHeight="1">
      <x:c r="A816" s="24" t="inlineStr">
        <x:is>
          <x:t xml:space="preserve">F20</x:t>
        </x:is>
      </x:c>
      <x:c r="B816" s="24" t="inlineStr">
        <x:is>
          <x:t xml:space="preserve">Môi trường và hướng dẫn phát triển mobile</x:t>
        </x:is>
      </x:c>
      <x:c r="C816" s="24" t="inlineStr">
        <x:is>
          <x:t xml:space="preserve">DOC-072</x:t>
        </x:is>
      </x:c>
      <x:c r="D816" s="24" t="inlineStr">
        <x:is>
          <x:t xml:space="preserve">MOBILE-GUIDE-01</x:t>
        </x:is>
      </x:c>
      <x:c r="E816" s="24" t="inlineStr">
        <x:is>
          <x:t xml:space="preserve">Khi đổi SDK/toolchain, máy phát triển hoặc cách chạy/test</x:t>
        </x:is>
      </x:c>
      <x:c r="F816" s="24" t="inlineStr">
        <x:is>
          <x:t xml:space="preserve">Đối chiếu source hiện hành, DOC-072–081; tái tạo ZIP và đọc lại Drive; giữ riêng kết quả thực thi.</x:t>
        </x:is>
      </x:c>
    </x:row>
    <x:row r="817" ht="80" customHeight="1">
      <x:c r="A817" s="24" t="inlineStr">
        <x:is>
          <x:t xml:space="preserve">F17</x:t>
        </x:is>
      </x:c>
      <x:c r="B817" s="24" t="inlineStr">
        <x:is>
          <x:t xml:space="preserve">Môi trường và hướng dẫn phát triển mobile</x:t>
        </x:is>
      </x:c>
      <x:c r="C817" s="24" t="inlineStr">
        <x:is>
          <x:t xml:space="preserve">DOC-073</x:t>
        </x:is>
      </x:c>
      <x:c r="D817" s="24" t="inlineStr">
        <x:is>
          <x:t xml:space="preserve">MOBILE-GUIDE-01</x:t>
        </x:is>
      </x:c>
      <x:c r="E817" s="24" t="inlineStr">
        <x:is>
          <x:t xml:space="preserve">Khi đổi SDK/toolchain, máy phát triển hoặc cách chạy/test</x:t>
        </x:is>
      </x:c>
      <x:c r="F817" s="24" t="inlineStr">
        <x:is>
          <x:t xml:space="preserve">Đối chiếu source hiện hành, DOC-072–081; tái tạo ZIP và đọc lại Drive; giữ riêng kết quả thực thi.</x:t>
        </x:is>
      </x:c>
    </x:row>
    <x:row r="818" ht="80" customHeight="1">
      <x:c r="A818" s="24" t="inlineStr">
        <x:is>
          <x:t xml:space="preserve">F18</x:t>
        </x:is>
      </x:c>
      <x:c r="B818" s="24" t="inlineStr">
        <x:is>
          <x:t xml:space="preserve">Môi trường và hướng dẫn phát triển mobile</x:t>
        </x:is>
      </x:c>
      <x:c r="C818" s="24" t="inlineStr">
        <x:is>
          <x:t xml:space="preserve">DOC-073</x:t>
        </x:is>
      </x:c>
      <x:c r="D818" s="24" t="inlineStr">
        <x:is>
          <x:t xml:space="preserve">MOBILE-GUIDE-01</x:t>
        </x:is>
      </x:c>
      <x:c r="E818" s="24" t="inlineStr">
        <x:is>
          <x:t xml:space="preserve">Khi đổi SDK/toolchain, máy phát triển hoặc cách chạy/test</x:t>
        </x:is>
      </x:c>
      <x:c r="F818" s="24" t="inlineStr">
        <x:is>
          <x:t xml:space="preserve">Đối chiếu source hiện hành, DOC-072–081; tái tạo ZIP và đọc lại Drive; giữ riêng kết quả thực thi.</x:t>
        </x:is>
      </x:c>
    </x:row>
    <x:row r="819" ht="80" customHeight="1">
      <x:c r="A819" s="24" t="inlineStr">
        <x:is>
          <x:t xml:space="preserve">F20</x:t>
        </x:is>
      </x:c>
      <x:c r="B819" s="24" t="inlineStr">
        <x:is>
          <x:t xml:space="preserve">Môi trường và hướng dẫn phát triển mobile</x:t>
        </x:is>
      </x:c>
      <x:c r="C819" s="24" t="inlineStr">
        <x:is>
          <x:t xml:space="preserve">DOC-073</x:t>
        </x:is>
      </x:c>
      <x:c r="D819" s="24" t="inlineStr">
        <x:is>
          <x:t xml:space="preserve">MOBILE-GUIDE-01</x:t>
        </x:is>
      </x:c>
      <x:c r="E819" s="24" t="inlineStr">
        <x:is>
          <x:t xml:space="preserve">Khi đổi SDK/toolchain, máy phát triển hoặc cách chạy/test</x:t>
        </x:is>
      </x:c>
      <x:c r="F819" s="24" t="inlineStr">
        <x:is>
          <x:t xml:space="preserve">Đối chiếu source hiện hành, DOC-072–081; tái tạo ZIP và đọc lại Drive; giữ riêng kết quả thực thi.</x:t>
        </x:is>
      </x:c>
    </x:row>
    <x:row r="820" ht="80" customHeight="1">
      <x:c r="A820" s="24" t="inlineStr">
        <x:is>
          <x:t xml:space="preserve">F17</x:t>
        </x:is>
      </x:c>
      <x:c r="B820" s="24" t="inlineStr">
        <x:is>
          <x:t xml:space="preserve">Môi trường và hướng dẫn phát triển mobile</x:t>
        </x:is>
      </x:c>
      <x:c r="C820" s="24" t="inlineStr">
        <x:is>
          <x:t xml:space="preserve">DOC-074</x:t>
        </x:is>
      </x:c>
      <x:c r="D820" s="24" t="inlineStr">
        <x:is>
          <x:t xml:space="preserve">MOBILE-GUIDE-01</x:t>
        </x:is>
      </x:c>
      <x:c r="E820" s="24" t="inlineStr">
        <x:is>
          <x:t xml:space="preserve">Khi đổi SDK/toolchain, máy phát triển hoặc cách chạy/test</x:t>
        </x:is>
      </x:c>
      <x:c r="F820" s="24" t="inlineStr">
        <x:is>
          <x:t xml:space="preserve">Đối chiếu source hiện hành, DOC-072–081; tái tạo ZIP và đọc lại Drive; giữ riêng kết quả thực thi.</x:t>
        </x:is>
      </x:c>
    </x:row>
    <x:row r="821" ht="80" customHeight="1">
      <x:c r="A821" s="24" t="inlineStr">
        <x:is>
          <x:t xml:space="preserve">F18</x:t>
        </x:is>
      </x:c>
      <x:c r="B821" s="24" t="inlineStr">
        <x:is>
          <x:t xml:space="preserve">Môi trường và hướng dẫn phát triển mobile</x:t>
        </x:is>
      </x:c>
      <x:c r="C821" s="24" t="inlineStr">
        <x:is>
          <x:t xml:space="preserve">DOC-074</x:t>
        </x:is>
      </x:c>
      <x:c r="D821" s="24" t="inlineStr">
        <x:is>
          <x:t xml:space="preserve">MOBILE-GUIDE-01</x:t>
        </x:is>
      </x:c>
      <x:c r="E821" s="24" t="inlineStr">
        <x:is>
          <x:t xml:space="preserve">Khi đổi SDK/toolchain, máy phát triển hoặc cách chạy/test</x:t>
        </x:is>
      </x:c>
      <x:c r="F821" s="24" t="inlineStr">
        <x:is>
          <x:t xml:space="preserve">Đối chiếu source hiện hành, DOC-072–081; tái tạo ZIP và đọc lại Drive; giữ riêng kết quả thực thi.</x:t>
        </x:is>
      </x:c>
    </x:row>
    <x:row r="822" ht="80" customHeight="1">
      <x:c r="A822" s="24" t="inlineStr">
        <x:is>
          <x:t xml:space="preserve">F20</x:t>
        </x:is>
      </x:c>
      <x:c r="B822" s="24" t="inlineStr">
        <x:is>
          <x:t xml:space="preserve">Môi trường và hướng dẫn phát triển mobile</x:t>
        </x:is>
      </x:c>
      <x:c r="C822" s="24" t="inlineStr">
        <x:is>
          <x:t xml:space="preserve">DOC-074</x:t>
        </x:is>
      </x:c>
      <x:c r="D822" s="24" t="inlineStr">
        <x:is>
          <x:t xml:space="preserve">MOBILE-GUIDE-01</x:t>
        </x:is>
      </x:c>
      <x:c r="E822" s="24" t="inlineStr">
        <x:is>
          <x:t xml:space="preserve">Khi đổi SDK/toolchain, máy phát triển hoặc cách chạy/test</x:t>
        </x:is>
      </x:c>
      <x:c r="F822" s="24" t="inlineStr">
        <x:is>
          <x:t xml:space="preserve">Đối chiếu source hiện hành, DOC-072–081; tái tạo ZIP và đọc lại Drive; giữ riêng kết quả thực thi.</x:t>
        </x:is>
      </x:c>
    </x:row>
    <x:row r="823" ht="80" customHeight="1">
      <x:c r="A823" s="24" t="inlineStr">
        <x:is>
          <x:t xml:space="preserve">F17</x:t>
        </x:is>
      </x:c>
      <x:c r="B823" s="24" t="inlineStr">
        <x:is>
          <x:t xml:space="preserve">Môi trường và hướng dẫn phát triển mobile</x:t>
        </x:is>
      </x:c>
      <x:c r="C823" s="24" t="inlineStr">
        <x:is>
          <x:t xml:space="preserve">DOC-075</x:t>
        </x:is>
      </x:c>
      <x:c r="D823" s="24" t="inlineStr">
        <x:is>
          <x:t xml:space="preserve">MOBILE-GUIDE-01</x:t>
        </x:is>
      </x:c>
      <x:c r="E823" s="24" t="inlineStr">
        <x:is>
          <x:t xml:space="preserve">Khi đổi SDK/toolchain, máy phát triển hoặc cách chạy/test</x:t>
        </x:is>
      </x:c>
      <x:c r="F823" s="24" t="inlineStr">
        <x:is>
          <x:t xml:space="preserve">Đối chiếu source hiện hành, DOC-072–081; tái tạo ZIP và đọc lại Drive; giữ riêng kết quả thực thi.</x:t>
        </x:is>
      </x:c>
    </x:row>
    <x:row r="824" ht="80" customHeight="1">
      <x:c r="A824" s="24" t="inlineStr">
        <x:is>
          <x:t xml:space="preserve">F18</x:t>
        </x:is>
      </x:c>
      <x:c r="B824" s="24" t="inlineStr">
        <x:is>
          <x:t xml:space="preserve">Môi trường và hướng dẫn phát triển mobile</x:t>
        </x:is>
      </x:c>
      <x:c r="C824" s="24" t="inlineStr">
        <x:is>
          <x:t xml:space="preserve">DOC-075</x:t>
        </x:is>
      </x:c>
      <x:c r="D824" s="24" t="inlineStr">
        <x:is>
          <x:t xml:space="preserve">MOBILE-GUIDE-01</x:t>
        </x:is>
      </x:c>
      <x:c r="E824" s="24" t="inlineStr">
        <x:is>
          <x:t xml:space="preserve">Khi đổi SDK/toolchain, máy phát triển hoặc cách chạy/test</x:t>
        </x:is>
      </x:c>
      <x:c r="F824" s="24" t="inlineStr">
        <x:is>
          <x:t xml:space="preserve">Đối chiếu source hiện hành, DOC-072–081; tái tạo ZIP và đọc lại Drive; giữ riêng kết quả thực thi.</x:t>
        </x:is>
      </x:c>
    </x:row>
    <x:row r="825" ht="80" customHeight="1">
      <x:c r="A825" s="24" t="inlineStr">
        <x:is>
          <x:t xml:space="preserve">F20</x:t>
        </x:is>
      </x:c>
      <x:c r="B825" s="24" t="inlineStr">
        <x:is>
          <x:t xml:space="preserve">Môi trường và hướng dẫn phát triển mobile</x:t>
        </x:is>
      </x:c>
      <x:c r="C825" s="24" t="inlineStr">
        <x:is>
          <x:t xml:space="preserve">DOC-075</x:t>
        </x:is>
      </x:c>
      <x:c r="D825" s="24" t="inlineStr">
        <x:is>
          <x:t xml:space="preserve">MOBILE-GUIDE-01</x:t>
        </x:is>
      </x:c>
      <x:c r="E825" s="24" t="inlineStr">
        <x:is>
          <x:t xml:space="preserve">Khi đổi SDK/toolchain, máy phát triển hoặc cách chạy/test</x:t>
        </x:is>
      </x:c>
      <x:c r="F825" s="24" t="inlineStr">
        <x:is>
          <x:t xml:space="preserve">Đối chiếu source hiện hành, DOC-072–081; tái tạo ZIP và đọc lại Drive; giữ riêng kết quả thực thi.</x:t>
        </x:is>
      </x:c>
    </x:row>
    <x:row r="826" ht="80" customHeight="1">
      <x:c r="A826" s="24" t="inlineStr">
        <x:is>
          <x:t xml:space="preserve">F17</x:t>
        </x:is>
      </x:c>
      <x:c r="B826" s="24" t="inlineStr">
        <x:is>
          <x:t xml:space="preserve">Môi trường và hướng dẫn phát triển mobile</x:t>
        </x:is>
      </x:c>
      <x:c r="C826" s="24" t="inlineStr">
        <x:is>
          <x:t xml:space="preserve">DOC-076</x:t>
        </x:is>
      </x:c>
      <x:c r="D826" s="24" t="inlineStr">
        <x:is>
          <x:t xml:space="preserve">MOBILE-GUIDE-01</x:t>
        </x:is>
      </x:c>
      <x:c r="E826" s="24" t="inlineStr">
        <x:is>
          <x:t xml:space="preserve">Khi đổi SDK/toolchain, máy phát triển hoặc cách chạy/test</x:t>
        </x:is>
      </x:c>
      <x:c r="F826" s="24" t="inlineStr">
        <x:is>
          <x:t xml:space="preserve">Đối chiếu source hiện hành, DOC-072–081; tái tạo ZIP và đọc lại Drive; giữ riêng kết quả thực thi.</x:t>
        </x:is>
      </x:c>
    </x:row>
    <x:row r="827" ht="80" customHeight="1">
      <x:c r="A827" s="24" t="inlineStr">
        <x:is>
          <x:t xml:space="preserve">F18</x:t>
        </x:is>
      </x:c>
      <x:c r="B827" s="24" t="inlineStr">
        <x:is>
          <x:t xml:space="preserve">Môi trường và hướng dẫn phát triển mobile</x:t>
        </x:is>
      </x:c>
      <x:c r="C827" s="24" t="inlineStr">
        <x:is>
          <x:t xml:space="preserve">DOC-076</x:t>
        </x:is>
      </x:c>
      <x:c r="D827" s="24" t="inlineStr">
        <x:is>
          <x:t xml:space="preserve">MOBILE-GUIDE-01</x:t>
        </x:is>
      </x:c>
      <x:c r="E827" s="24" t="inlineStr">
        <x:is>
          <x:t xml:space="preserve">Khi đổi SDK/toolchain, máy phát triển hoặc cách chạy/test</x:t>
        </x:is>
      </x:c>
      <x:c r="F827" s="24" t="inlineStr">
        <x:is>
          <x:t xml:space="preserve">Đối chiếu source hiện hành, DOC-072–081; tái tạo ZIP và đọc lại Drive; giữ riêng kết quả thực thi.</x:t>
        </x:is>
      </x:c>
    </x:row>
    <x:row r="828" ht="80" customHeight="1">
      <x:c r="A828" s="24" t="inlineStr">
        <x:is>
          <x:t xml:space="preserve">F20</x:t>
        </x:is>
      </x:c>
      <x:c r="B828" s="24" t="inlineStr">
        <x:is>
          <x:t xml:space="preserve">Môi trường và hướng dẫn phát triển mobile</x:t>
        </x:is>
      </x:c>
      <x:c r="C828" s="24" t="inlineStr">
        <x:is>
          <x:t xml:space="preserve">DOC-076</x:t>
        </x:is>
      </x:c>
      <x:c r="D828" s="24" t="inlineStr">
        <x:is>
          <x:t xml:space="preserve">MOBILE-GUIDE-01</x:t>
        </x:is>
      </x:c>
      <x:c r="E828" s="24" t="inlineStr">
        <x:is>
          <x:t xml:space="preserve">Khi đổi SDK/toolchain, máy phát triển hoặc cách chạy/test</x:t>
        </x:is>
      </x:c>
      <x:c r="F828" s="24" t="inlineStr">
        <x:is>
          <x:t xml:space="preserve">Đối chiếu source hiện hành, DOC-072–081; tái tạo ZIP và đọc lại Drive; giữ riêng kết quả thực thi.</x:t>
        </x:is>
      </x:c>
    </x:row>
    <x:row r="829" ht="80" customHeight="1">
      <x:c r="A829" s="24" t="inlineStr">
        <x:is>
          <x:t xml:space="preserve">F17</x:t>
        </x:is>
      </x:c>
      <x:c r="B829" s="24" t="inlineStr">
        <x:is>
          <x:t xml:space="preserve">Môi trường và hướng dẫn phát triển mobile</x:t>
        </x:is>
      </x:c>
      <x:c r="C829" s="24" t="inlineStr">
        <x:is>
          <x:t xml:space="preserve">DOC-077</x:t>
        </x:is>
      </x:c>
      <x:c r="D829" s="24" t="inlineStr">
        <x:is>
          <x:t xml:space="preserve">MOBILE-GUIDE-01</x:t>
        </x:is>
      </x:c>
      <x:c r="E829" s="24" t="inlineStr">
        <x:is>
          <x:t xml:space="preserve">Khi đổi SDK/toolchain, máy phát triển hoặc cách chạy/test</x:t>
        </x:is>
      </x:c>
      <x:c r="F829" s="24" t="inlineStr">
        <x:is>
          <x:t xml:space="preserve">Đối chiếu source hiện hành, DOC-072–081; tái tạo ZIP và đọc lại Drive; giữ riêng kết quả thực thi.</x:t>
        </x:is>
      </x:c>
    </x:row>
    <x:row r="830" ht="80" customHeight="1">
      <x:c r="A830" s="24" t="inlineStr">
        <x:is>
          <x:t xml:space="preserve">F18</x:t>
        </x:is>
      </x:c>
      <x:c r="B830" s="24" t="inlineStr">
        <x:is>
          <x:t xml:space="preserve">Môi trường và hướng dẫn phát triển mobile</x:t>
        </x:is>
      </x:c>
      <x:c r="C830" s="24" t="inlineStr">
        <x:is>
          <x:t xml:space="preserve">DOC-077</x:t>
        </x:is>
      </x:c>
      <x:c r="D830" s="24" t="inlineStr">
        <x:is>
          <x:t xml:space="preserve">MOBILE-GUIDE-01</x:t>
        </x:is>
      </x:c>
      <x:c r="E830" s="24" t="inlineStr">
        <x:is>
          <x:t xml:space="preserve">Khi đổi SDK/toolchain, máy phát triển hoặc cách chạy/test</x:t>
        </x:is>
      </x:c>
      <x:c r="F830" s="24" t="inlineStr">
        <x:is>
          <x:t xml:space="preserve">Đối chiếu source hiện hành, DOC-072–081; tái tạo ZIP và đọc lại Drive; giữ riêng kết quả thực thi.</x:t>
        </x:is>
      </x:c>
    </x:row>
    <x:row r="831" ht="80" customHeight="1">
      <x:c r="A831" s="24" t="inlineStr">
        <x:is>
          <x:t xml:space="preserve">F20</x:t>
        </x:is>
      </x:c>
      <x:c r="B831" s="24" t="inlineStr">
        <x:is>
          <x:t xml:space="preserve">Môi trường và hướng dẫn phát triển mobile</x:t>
        </x:is>
      </x:c>
      <x:c r="C831" s="24" t="inlineStr">
        <x:is>
          <x:t xml:space="preserve">DOC-077</x:t>
        </x:is>
      </x:c>
      <x:c r="D831" s="24" t="inlineStr">
        <x:is>
          <x:t xml:space="preserve">MOBILE-GUIDE-01</x:t>
        </x:is>
      </x:c>
      <x:c r="E831" s="24" t="inlineStr">
        <x:is>
          <x:t xml:space="preserve">Khi đổi SDK/toolchain, máy phát triển hoặc cách chạy/test</x:t>
        </x:is>
      </x:c>
      <x:c r="F831" s="24" t="inlineStr">
        <x:is>
          <x:t xml:space="preserve">Đối chiếu source hiện hành, DOC-072–081; tái tạo ZIP và đọc lại Drive; giữ riêng kết quả thực thi.</x:t>
        </x:is>
      </x:c>
    </x:row>
    <x:row r="832" ht="80" customHeight="1">
      <x:c r="A832" s="24" t="inlineStr">
        <x:is>
          <x:t xml:space="preserve">F17</x:t>
        </x:is>
      </x:c>
      <x:c r="B832" s="24" t="inlineStr">
        <x:is>
          <x:t xml:space="preserve">Môi trường và hướng dẫn phát triển mobile</x:t>
        </x:is>
      </x:c>
      <x:c r="C832" s="24" t="inlineStr">
        <x:is>
          <x:t xml:space="preserve">DOC-078</x:t>
        </x:is>
      </x:c>
      <x:c r="D832" s="24" t="inlineStr">
        <x:is>
          <x:t xml:space="preserve">MOBILE-GUIDE-01</x:t>
        </x:is>
      </x:c>
      <x:c r="E832" s="24" t="inlineStr">
        <x:is>
          <x:t xml:space="preserve">Khi đổi SDK/toolchain, máy phát triển hoặc cách chạy/test</x:t>
        </x:is>
      </x:c>
      <x:c r="F832" s="24" t="inlineStr">
        <x:is>
          <x:t xml:space="preserve">Đối chiếu source hiện hành, DOC-072–081; tái tạo ZIP và đọc lại Drive; giữ riêng kết quả thực thi.</x:t>
        </x:is>
      </x:c>
    </x:row>
    <x:row r="833" ht="80" customHeight="1">
      <x:c r="A833" s="24" t="inlineStr">
        <x:is>
          <x:t xml:space="preserve">F18</x:t>
        </x:is>
      </x:c>
      <x:c r="B833" s="24" t="inlineStr">
        <x:is>
          <x:t xml:space="preserve">Môi trường và hướng dẫn phát triển mobile</x:t>
        </x:is>
      </x:c>
      <x:c r="C833" s="24" t="inlineStr">
        <x:is>
          <x:t xml:space="preserve">DOC-078</x:t>
        </x:is>
      </x:c>
      <x:c r="D833" s="24" t="inlineStr">
        <x:is>
          <x:t xml:space="preserve">MOBILE-GUIDE-01</x:t>
        </x:is>
      </x:c>
      <x:c r="E833" s="24" t="inlineStr">
        <x:is>
          <x:t xml:space="preserve">Khi đổi SDK/toolchain, máy phát triển hoặc cách chạy/test</x:t>
        </x:is>
      </x:c>
      <x:c r="F833" s="24" t="inlineStr">
        <x:is>
          <x:t xml:space="preserve">Đối chiếu source hiện hành, DOC-072–081; tái tạo ZIP và đọc lại Drive; giữ riêng kết quả thực thi.</x:t>
        </x:is>
      </x:c>
    </x:row>
    <x:row r="834" ht="80" customHeight="1">
      <x:c r="A834" s="24" t="inlineStr">
        <x:is>
          <x:t xml:space="preserve">F20</x:t>
        </x:is>
      </x:c>
      <x:c r="B834" s="24" t="inlineStr">
        <x:is>
          <x:t xml:space="preserve">Môi trường và hướng dẫn phát triển mobile</x:t>
        </x:is>
      </x:c>
      <x:c r="C834" s="24" t="inlineStr">
        <x:is>
          <x:t xml:space="preserve">DOC-078</x:t>
        </x:is>
      </x:c>
      <x:c r="D834" s="24" t="inlineStr">
        <x:is>
          <x:t xml:space="preserve">MOBILE-GUIDE-01</x:t>
        </x:is>
      </x:c>
      <x:c r="E834" s="24" t="inlineStr">
        <x:is>
          <x:t xml:space="preserve">Khi đổi SDK/toolchain, máy phát triển hoặc cách chạy/test</x:t>
        </x:is>
      </x:c>
      <x:c r="F834" s="24" t="inlineStr">
        <x:is>
          <x:t xml:space="preserve">Đối chiếu source hiện hành, DOC-072–081; tái tạo ZIP và đọc lại Drive; giữ riêng kết quả thực thi.</x:t>
        </x:is>
      </x:c>
    </x:row>
    <x:row r="835" ht="80" customHeight="1">
      <x:c r="A835" s="24" t="inlineStr">
        <x:is>
          <x:t xml:space="preserve">F17</x:t>
        </x:is>
      </x:c>
      <x:c r="B835" s="24" t="inlineStr">
        <x:is>
          <x:t xml:space="preserve">Môi trường và hướng dẫn phát triển mobile</x:t>
        </x:is>
      </x:c>
      <x:c r="C835" s="24" t="inlineStr">
        <x:is>
          <x:t xml:space="preserve">DOC-079</x:t>
        </x:is>
      </x:c>
      <x:c r="D835" s="24" t="inlineStr">
        <x:is>
          <x:t xml:space="preserve">MOBILE-GUIDE-01</x:t>
        </x:is>
      </x:c>
      <x:c r="E835" s="24" t="inlineStr">
        <x:is>
          <x:t xml:space="preserve">Khi đổi SDK/toolchain, máy phát triển hoặc cách chạy/test</x:t>
        </x:is>
      </x:c>
      <x:c r="F835" s="24" t="inlineStr">
        <x:is>
          <x:t xml:space="preserve">Đối chiếu source hiện hành, DOC-072–081; tái tạo ZIP và đọc lại Drive; giữ riêng kết quả thực thi.</x:t>
        </x:is>
      </x:c>
    </x:row>
    <x:row r="836" ht="80" customHeight="1">
      <x:c r="A836" s="24" t="inlineStr">
        <x:is>
          <x:t xml:space="preserve">F18</x:t>
        </x:is>
      </x:c>
      <x:c r="B836" s="24" t="inlineStr">
        <x:is>
          <x:t xml:space="preserve">Môi trường và hướng dẫn phát triển mobile</x:t>
        </x:is>
      </x:c>
      <x:c r="C836" s="24" t="inlineStr">
        <x:is>
          <x:t xml:space="preserve">DOC-079</x:t>
        </x:is>
      </x:c>
      <x:c r="D836" s="24" t="inlineStr">
        <x:is>
          <x:t xml:space="preserve">MOBILE-GUIDE-01</x:t>
        </x:is>
      </x:c>
      <x:c r="E836" s="24" t="inlineStr">
        <x:is>
          <x:t xml:space="preserve">Khi đổi SDK/toolchain, máy phát triển hoặc cách chạy/test</x:t>
        </x:is>
      </x:c>
      <x:c r="F836" s="24" t="inlineStr">
        <x:is>
          <x:t xml:space="preserve">Đối chiếu source hiện hành, DOC-072–081; tái tạo ZIP và đọc lại Drive; giữ riêng kết quả thực thi.</x:t>
        </x:is>
      </x:c>
    </x:row>
    <x:row r="837" ht="80" customHeight="1">
      <x:c r="A837" s="24" t="inlineStr">
        <x:is>
          <x:t xml:space="preserve">F20</x:t>
        </x:is>
      </x:c>
      <x:c r="B837" s="24" t="inlineStr">
        <x:is>
          <x:t xml:space="preserve">Môi trường và hướng dẫn phát triển mobile</x:t>
        </x:is>
      </x:c>
      <x:c r="C837" s="24" t="inlineStr">
        <x:is>
          <x:t xml:space="preserve">DOC-079</x:t>
        </x:is>
      </x:c>
      <x:c r="D837" s="24" t="inlineStr">
        <x:is>
          <x:t xml:space="preserve">MOBILE-GUIDE-01</x:t>
        </x:is>
      </x:c>
      <x:c r="E837" s="24" t="inlineStr">
        <x:is>
          <x:t xml:space="preserve">Khi đổi SDK/toolchain, máy phát triển hoặc cách chạy/test</x:t>
        </x:is>
      </x:c>
      <x:c r="F837" s="24" t="inlineStr">
        <x:is>
          <x:t xml:space="preserve">Đối chiếu source hiện hành, DOC-072–081; tái tạo ZIP và đọc lại Drive; giữ riêng kết quả thực thi.</x:t>
        </x:is>
      </x:c>
    </x:row>
    <x:row r="838" ht="80" customHeight="1">
      <x:c r="A838" s="24" t="inlineStr">
        <x:is>
          <x:t xml:space="preserve">F17</x:t>
        </x:is>
      </x:c>
      <x:c r="B838" s="24" t="inlineStr">
        <x:is>
          <x:t xml:space="preserve">Môi trường và hướng dẫn phát triển mobile</x:t>
        </x:is>
      </x:c>
      <x:c r="C838" s="24" t="inlineStr">
        <x:is>
          <x:t xml:space="preserve">DOC-080</x:t>
        </x:is>
      </x:c>
      <x:c r="D838" s="24" t="inlineStr">
        <x:is>
          <x:t xml:space="preserve">MOBILE-GUIDE-01</x:t>
        </x:is>
      </x:c>
      <x:c r="E838" s="24" t="inlineStr">
        <x:is>
          <x:t xml:space="preserve">Khi đổi SDK/toolchain, máy phát triển hoặc cách chạy/test</x:t>
        </x:is>
      </x:c>
      <x:c r="F838" s="24" t="inlineStr">
        <x:is>
          <x:t xml:space="preserve">Đối chiếu source hiện hành, DOC-072–081; tái tạo ZIP và đọc lại Drive; giữ riêng kết quả thực thi.</x:t>
        </x:is>
      </x:c>
    </x:row>
    <x:row r="839" ht="80" customHeight="1">
      <x:c r="A839" s="24" t="inlineStr">
        <x:is>
          <x:t xml:space="preserve">F18</x:t>
        </x:is>
      </x:c>
      <x:c r="B839" s="24" t="inlineStr">
        <x:is>
          <x:t xml:space="preserve">Môi trường và hướng dẫn phát triển mobile</x:t>
        </x:is>
      </x:c>
      <x:c r="C839" s="24" t="inlineStr">
        <x:is>
          <x:t xml:space="preserve">DOC-080</x:t>
        </x:is>
      </x:c>
      <x:c r="D839" s="24" t="inlineStr">
        <x:is>
          <x:t xml:space="preserve">MOBILE-GUIDE-01</x:t>
        </x:is>
      </x:c>
      <x:c r="E839" s="24" t="inlineStr">
        <x:is>
          <x:t xml:space="preserve">Khi đổi SDK/toolchain, máy phát triển hoặc cách chạy/test</x:t>
        </x:is>
      </x:c>
      <x:c r="F839" s="24" t="inlineStr">
        <x:is>
          <x:t xml:space="preserve">Đối chiếu source hiện hành, DOC-072–081; tái tạo ZIP và đọc lại Drive; giữ riêng kết quả thực thi.</x:t>
        </x:is>
      </x:c>
    </x:row>
    <x:row r="840" ht="80" customHeight="1">
      <x:c r="A840" s="24" t="inlineStr">
        <x:is>
          <x:t xml:space="preserve">F20</x:t>
        </x:is>
      </x:c>
      <x:c r="B840" s="24" t="inlineStr">
        <x:is>
          <x:t xml:space="preserve">Môi trường và hướng dẫn phát triển mobile</x:t>
        </x:is>
      </x:c>
      <x:c r="C840" s="24" t="inlineStr">
        <x:is>
          <x:t xml:space="preserve">DOC-080</x:t>
        </x:is>
      </x:c>
      <x:c r="D840" s="24" t="inlineStr">
        <x:is>
          <x:t xml:space="preserve">MOBILE-GUIDE-01</x:t>
        </x:is>
      </x:c>
      <x:c r="E840" s="24" t="inlineStr">
        <x:is>
          <x:t xml:space="preserve">Khi đổi SDK/toolchain, máy phát triển hoặc cách chạy/test</x:t>
        </x:is>
      </x:c>
      <x:c r="F840" s="24" t="inlineStr">
        <x:is>
          <x:t xml:space="preserve">Đối chiếu source hiện hành, DOC-072–081; tái tạo ZIP và đọc lại Drive; giữ riêng kết quả thực thi.</x:t>
        </x:is>
      </x:c>
    </x:row>
    <x:row r="841" ht="80" customHeight="1">
      <x:c r="A841" s="24" t="inlineStr">
        <x:is>
          <x:t xml:space="preserve">F17</x:t>
        </x:is>
      </x:c>
      <x:c r="B841" s="24" t="inlineStr">
        <x:is>
          <x:t xml:space="preserve">Môi trường và hướng dẫn phát triển mobile</x:t>
        </x:is>
      </x:c>
      <x:c r="C841" s="24" t="inlineStr">
        <x:is>
          <x:t xml:space="preserve">DOC-081</x:t>
        </x:is>
      </x:c>
      <x:c r="D841" s="24" t="inlineStr">
        <x:is>
          <x:t xml:space="preserve">MOBILE-GUIDE-01</x:t>
        </x:is>
      </x:c>
      <x:c r="E841" s="24" t="inlineStr">
        <x:is>
          <x:t xml:space="preserve">Khi đổi SDK/toolchain, máy phát triển hoặc cách chạy/test</x:t>
        </x:is>
      </x:c>
      <x:c r="F841" s="24" t="inlineStr">
        <x:is>
          <x:t xml:space="preserve">Đối chiếu source hiện hành, DOC-072–081; tái tạo ZIP và đọc lại Drive; giữ riêng kết quả thực thi.</x:t>
        </x:is>
      </x:c>
    </x:row>
    <x:row r="842" ht="80" customHeight="1">
      <x:c r="A842" s="24" t="inlineStr">
        <x:is>
          <x:t xml:space="preserve">F18</x:t>
        </x:is>
      </x:c>
      <x:c r="B842" s="24" t="inlineStr">
        <x:is>
          <x:t xml:space="preserve">Môi trường và hướng dẫn phát triển mobile</x:t>
        </x:is>
      </x:c>
      <x:c r="C842" s="24" t="inlineStr">
        <x:is>
          <x:t xml:space="preserve">DOC-081</x:t>
        </x:is>
      </x:c>
      <x:c r="D842" s="24" t="inlineStr">
        <x:is>
          <x:t xml:space="preserve">MOBILE-GUIDE-01</x:t>
        </x:is>
      </x:c>
      <x:c r="E842" s="24" t="inlineStr">
        <x:is>
          <x:t xml:space="preserve">Khi đổi SDK/toolchain, máy phát triển hoặc cách chạy/test</x:t>
        </x:is>
      </x:c>
      <x:c r="F842" s="24" t="inlineStr">
        <x:is>
          <x:t xml:space="preserve">Đối chiếu source hiện hành, DOC-072–081; tái tạo ZIP và đọc lại Drive; giữ riêng kết quả thực thi.</x:t>
        </x:is>
      </x:c>
    </x:row>
    <x:row r="843" ht="80" customHeight="1">
      <x:c r="A843" s="24" t="inlineStr">
        <x:is>
          <x:t xml:space="preserve">F20</x:t>
        </x:is>
      </x:c>
      <x:c r="B843" s="24" t="inlineStr">
        <x:is>
          <x:t xml:space="preserve">Môi trường và hướng dẫn phát triển mobile</x:t>
        </x:is>
      </x:c>
      <x:c r="C843" s="24" t="inlineStr">
        <x:is>
          <x:t xml:space="preserve">DOC-081</x:t>
        </x:is>
      </x:c>
      <x:c r="D843" s="24" t="inlineStr">
        <x:is>
          <x:t xml:space="preserve">MOBILE-GUIDE-01</x:t>
        </x:is>
      </x:c>
      <x:c r="E843" s="24" t="inlineStr">
        <x:is>
          <x:t xml:space="preserve">Khi đổi SDK/toolchain, máy phát triển hoặc cách chạy/test</x:t>
        </x:is>
      </x:c>
      <x:c r="F843" s="24" t="inlineStr">
        <x:is>
          <x:t xml:space="preserve">Đối chiếu source hiện hành, DOC-072–081; tái tạo ZIP và đọc lại Drive; giữ riêng kết quả thực thi.</x:t>
        </x:is>
      </x:c>
    </x:row>
    <x:row r="844" ht="80" customHeight="1">
      <x:c r="A844" s="24" t="inlineStr">
        <x:is>
          <x:t xml:space="preserve">F17</x:t>
        </x:is>
      </x:c>
      <x:c r="B844" s="24" t="inlineStr">
        <x:is>
          <x:t xml:space="preserve">Kế hoạch, tiến độ và báo cáo giải thích code</x:t>
        </x:is>
      </x:c>
      <x:c r="C844" s="24" t="inlineStr">
        <x:is>
          <x:t xml:space="preserve">DOC-082</x:t>
        </x:is>
      </x:c>
      <x:c r="D844" s="24" t="inlineStr">
        <x:is>
          <x:t xml:space="preserve">DELIVERY-01</x:t>
        </x:is>
      </x:c>
      <x:c r="E844" s="24" t="inlineStr">
        <x:is>
          <x:t xml:space="preserve">Khi đổi kế hoạch hoặc bàn giao chức năng lớn</x:t>
        </x:is>
      </x:c>
      <x:c r="F844" s="24" t="inlineStr">
        <x:is>
          <x:t xml:space="preserve">Cập nhật checklist/mục lục/báo cáo trong bộ đã đăng ký; spec thay đổi mới chạy đồng bộ nghiệp vụ. Giữ commit/ngày/bằng chứng, không biến prototype thành implementation.</x:t>
        </x:is>
      </x:c>
    </x:row>
    <x:row r="845" ht="80" customHeight="1">
      <x:c r="A845" s="24" t="inlineStr">
        <x:is>
          <x:t xml:space="preserve">F18</x:t>
        </x:is>
      </x:c>
      <x:c r="B845" s="24" t="inlineStr">
        <x:is>
          <x:t xml:space="preserve">Kế hoạch, tiến độ và báo cáo giải thích code</x:t>
        </x:is>
      </x:c>
      <x:c r="C845" s="24" t="inlineStr">
        <x:is>
          <x:t xml:space="preserve">DOC-082</x:t>
        </x:is>
      </x:c>
      <x:c r="D845" s="24" t="inlineStr">
        <x:is>
          <x:t xml:space="preserve">DELIVERY-01</x:t>
        </x:is>
      </x:c>
      <x:c r="E845" s="24" t="inlineStr">
        <x:is>
          <x:t xml:space="preserve">Khi đổi kế hoạch hoặc bàn giao chức năng lớn</x:t>
        </x:is>
      </x:c>
      <x:c r="F845" s="24" t="inlineStr">
        <x:is>
          <x:t xml:space="preserve">Cập nhật checklist/mục lục/báo cáo trong bộ đã đăng ký; spec thay đổi mới chạy đồng bộ nghiệp vụ. Giữ commit/ngày/bằng chứng, không biến prototype thành implementation.</x:t>
        </x:is>
      </x:c>
    </x:row>
    <x:row r="846" ht="80" customHeight="1">
      <x:c r="A846" s="24" t="inlineStr">
        <x:is>
          <x:t xml:space="preserve">F20</x:t>
        </x:is>
      </x:c>
      <x:c r="B846" s="24" t="inlineStr">
        <x:is>
          <x:t xml:space="preserve">Kế hoạch, tiến độ và báo cáo giải thích code</x:t>
        </x:is>
      </x:c>
      <x:c r="C846" s="24" t="inlineStr">
        <x:is>
          <x:t xml:space="preserve">DOC-082</x:t>
        </x:is>
      </x:c>
      <x:c r="D846" s="24" t="inlineStr">
        <x:is>
          <x:t xml:space="preserve">DELIVERY-01</x:t>
        </x:is>
      </x:c>
      <x:c r="E846" s="24" t="inlineStr">
        <x:is>
          <x:t xml:space="preserve">Khi đổi kế hoạch hoặc bàn giao chức năng lớn</x:t>
        </x:is>
      </x:c>
      <x:c r="F846" s="24" t="inlineStr">
        <x:is>
          <x:t xml:space="preserve">Cập nhật checklist/mục lục/báo cáo trong bộ đã đăng ký; spec thay đổi mới chạy đồng bộ nghiệp vụ. Giữ commit/ngày/bằng chứng, không biến prototype thành implementation.</x:t>
        </x:is>
      </x:c>
    </x:row>
    <x:row r="847" ht="80" customHeight="1">
      <x:c r="A847" s="24" t="inlineStr">
        <x:is>
          <x:t xml:space="preserve">F17</x:t>
        </x:is>
      </x:c>
      <x:c r="B847" s="24" t="inlineStr">
        <x:is>
          <x:t xml:space="preserve">Kế hoạch, tiến độ và báo cáo giải thích code</x:t>
        </x:is>
      </x:c>
      <x:c r="C847" s="24" t="inlineStr">
        <x:is>
          <x:t xml:space="preserve">DOC-083</x:t>
        </x:is>
      </x:c>
      <x:c r="D847" s="24" t="inlineStr">
        <x:is>
          <x:t xml:space="preserve">DELIVERY-01</x:t>
        </x:is>
      </x:c>
      <x:c r="E847" s="24" t="inlineStr">
        <x:is>
          <x:t xml:space="preserve">Khi đổi kế hoạch hoặc bàn giao chức năng lớn</x:t>
        </x:is>
      </x:c>
      <x:c r="F847" s="24" t="inlineStr">
        <x:is>
          <x:t xml:space="preserve">Cập nhật checklist/mục lục/báo cáo trong bộ đã đăng ký; spec thay đổi mới chạy đồng bộ nghiệp vụ. Giữ commit/ngày/bằng chứng, không biến prototype thành implementation.</x:t>
        </x:is>
      </x:c>
    </x:row>
    <x:row r="848" ht="80" customHeight="1">
      <x:c r="A848" s="24" t="inlineStr">
        <x:is>
          <x:t xml:space="preserve">F18</x:t>
        </x:is>
      </x:c>
      <x:c r="B848" s="24" t="inlineStr">
        <x:is>
          <x:t xml:space="preserve">Kế hoạch, tiến độ và báo cáo giải thích code</x:t>
        </x:is>
      </x:c>
      <x:c r="C848" s="24" t="inlineStr">
        <x:is>
          <x:t xml:space="preserve">DOC-083</x:t>
        </x:is>
      </x:c>
      <x:c r="D848" s="24" t="inlineStr">
        <x:is>
          <x:t xml:space="preserve">DELIVERY-01</x:t>
        </x:is>
      </x:c>
      <x:c r="E848" s="24" t="inlineStr">
        <x:is>
          <x:t xml:space="preserve">Khi đổi kế hoạch hoặc bàn giao chức năng lớn</x:t>
        </x:is>
      </x:c>
      <x:c r="F848" s="24" t="inlineStr">
        <x:is>
          <x:t xml:space="preserve">Cập nhật checklist/mục lục/báo cáo trong bộ đã đăng ký; spec thay đổi mới chạy đồng bộ nghiệp vụ. Giữ commit/ngày/bằng chứng, không biến prototype thành implementation.</x:t>
        </x:is>
      </x:c>
    </x:row>
    <x:row r="849" ht="80" customHeight="1">
      <x:c r="A849" s="24" t="inlineStr">
        <x:is>
          <x:t xml:space="preserve">F20</x:t>
        </x:is>
      </x:c>
      <x:c r="B849" s="24" t="inlineStr">
        <x:is>
          <x:t xml:space="preserve">Kế hoạch, tiến độ và báo cáo giải thích code</x:t>
        </x:is>
      </x:c>
      <x:c r="C849" s="24" t="inlineStr">
        <x:is>
          <x:t xml:space="preserve">DOC-083</x:t>
        </x:is>
      </x:c>
      <x:c r="D849" s="24" t="inlineStr">
        <x:is>
          <x:t xml:space="preserve">DELIVERY-01</x:t>
        </x:is>
      </x:c>
      <x:c r="E849" s="24" t="inlineStr">
        <x:is>
          <x:t xml:space="preserve">Khi đổi kế hoạch hoặc bàn giao chức năng lớn</x:t>
        </x:is>
      </x:c>
      <x:c r="F849" s="24" t="inlineStr">
        <x:is>
          <x:t xml:space="preserve">Cập nhật checklist/mục lục/báo cáo trong bộ đã đăng ký; spec thay đổi mới chạy đồng bộ nghiệp vụ. Giữ commit/ngày/bằng chứng, không biến prototype thành implementation.</x:t>
        </x:is>
      </x:c>
    </x:row>
    <x:row r="850" ht="80" customHeight="1">
      <x:c r="A850" s="24" t="inlineStr">
        <x:is>
          <x:t xml:space="preserve">F17</x:t>
        </x:is>
      </x:c>
      <x:c r="B850" s="24" t="inlineStr">
        <x:is>
          <x:t xml:space="preserve">Kế hoạch, tiến độ và báo cáo giải thích code</x:t>
        </x:is>
      </x:c>
      <x:c r="C850" s="24" t="inlineStr">
        <x:is>
          <x:t xml:space="preserve">DOC-084</x:t>
        </x:is>
      </x:c>
      <x:c r="D850" s="24" t="inlineStr">
        <x:is>
          <x:t xml:space="preserve">DELIVERY-01</x:t>
        </x:is>
      </x:c>
      <x:c r="E850" s="24" t="inlineStr">
        <x:is>
          <x:t xml:space="preserve">Khi đổi kế hoạch hoặc bàn giao chức năng lớn</x:t>
        </x:is>
      </x:c>
      <x:c r="F850" s="24" t="inlineStr">
        <x:is>
          <x:t xml:space="preserve">Cập nhật checklist/mục lục/báo cáo trong bộ đã đăng ký; spec thay đổi mới chạy đồng bộ nghiệp vụ. Giữ commit/ngày/bằng chứng, không biến prototype thành implementation.</x:t>
        </x:is>
      </x:c>
    </x:row>
    <x:row r="851" ht="80" customHeight="1">
      <x:c r="A851" s="24" t="inlineStr">
        <x:is>
          <x:t xml:space="preserve">F18</x:t>
        </x:is>
      </x:c>
      <x:c r="B851" s="24" t="inlineStr">
        <x:is>
          <x:t xml:space="preserve">Kế hoạch, tiến độ và báo cáo giải thích code</x:t>
        </x:is>
      </x:c>
      <x:c r="C851" s="24" t="inlineStr">
        <x:is>
          <x:t xml:space="preserve">DOC-084</x:t>
        </x:is>
      </x:c>
      <x:c r="D851" s="24" t="inlineStr">
        <x:is>
          <x:t xml:space="preserve">DELIVERY-01</x:t>
        </x:is>
      </x:c>
      <x:c r="E851" s="24" t="inlineStr">
        <x:is>
          <x:t xml:space="preserve">Khi đổi kế hoạch hoặc bàn giao chức năng lớn</x:t>
        </x:is>
      </x:c>
      <x:c r="F851" s="24" t="inlineStr">
        <x:is>
          <x:t xml:space="preserve">Cập nhật checklist/mục lục/báo cáo trong bộ đã đăng ký; spec thay đổi mới chạy đồng bộ nghiệp vụ. Giữ commit/ngày/bằng chứng, không biến prototype thành implementation.</x:t>
        </x:is>
      </x:c>
    </x:row>
    <x:row r="852" ht="80" customHeight="1">
      <x:c r="A852" s="24" t="inlineStr">
        <x:is>
          <x:t xml:space="preserve">F20</x:t>
        </x:is>
      </x:c>
      <x:c r="B852" s="24" t="inlineStr">
        <x:is>
          <x:t xml:space="preserve">Kế hoạch, tiến độ và báo cáo giải thích code</x:t>
        </x:is>
      </x:c>
      <x:c r="C852" s="24" t="inlineStr">
        <x:is>
          <x:t xml:space="preserve">DOC-084</x:t>
        </x:is>
      </x:c>
      <x:c r="D852" s="24" t="inlineStr">
        <x:is>
          <x:t xml:space="preserve">DELIVERY-01</x:t>
        </x:is>
      </x:c>
      <x:c r="E852" s="24" t="inlineStr">
        <x:is>
          <x:t xml:space="preserve">Khi đổi kế hoạch hoặc bàn giao chức năng lớn</x:t>
        </x:is>
      </x:c>
      <x:c r="F852" s="24" t="inlineStr">
        <x:is>
          <x:t xml:space="preserve">Cập nhật checklist/mục lục/báo cáo trong bộ đã đăng ký; spec thay đổi mới chạy đồng bộ nghiệp vụ. Giữ commit/ngày/bằng chứng, không biến prototype thành implementation.</x:t>
        </x:is>
      </x:c>
    </x:row>
    <x:row r="853" ht="80" customHeight="1">
      <x:c r="A853" s="24" t="inlineStr">
        <x:is>
          <x:t xml:space="preserve">F17</x:t>
        </x:is>
      </x:c>
      <x:c r="B853" s="24" t="inlineStr">
        <x:is>
          <x:t xml:space="preserve">Kế hoạch, tiến độ và báo cáo giải thích code</x:t>
        </x:is>
      </x:c>
      <x:c r="C853" s="24" t="inlineStr">
        <x:is>
          <x:t xml:space="preserve">DOC-085</x:t>
        </x:is>
      </x:c>
      <x:c r="D853" s="24" t="inlineStr">
        <x:is>
          <x:t xml:space="preserve">DELIVERY-01</x:t>
        </x:is>
      </x:c>
      <x:c r="E853" s="24" t="inlineStr">
        <x:is>
          <x:t xml:space="preserve">Khi đổi kế hoạch hoặc bàn giao chức năng lớn</x:t>
        </x:is>
      </x:c>
      <x:c r="F853" s="24" t="inlineStr">
        <x:is>
          <x:t xml:space="preserve">Cập nhật checklist/mục lục/báo cáo trong bộ đã đăng ký; spec thay đổi mới chạy đồng bộ nghiệp vụ. Giữ commit/ngày/bằng chứng, không biến prototype thành implementation.</x:t>
        </x:is>
      </x:c>
    </x:row>
    <x:row r="854" ht="80" customHeight="1">
      <x:c r="A854" s="24" t="inlineStr">
        <x:is>
          <x:t xml:space="preserve">F18</x:t>
        </x:is>
      </x:c>
      <x:c r="B854" s="24" t="inlineStr">
        <x:is>
          <x:t xml:space="preserve">Kế hoạch, tiến độ và báo cáo giải thích code</x:t>
        </x:is>
      </x:c>
      <x:c r="C854" s="24" t="inlineStr">
        <x:is>
          <x:t xml:space="preserve">DOC-085</x:t>
        </x:is>
      </x:c>
      <x:c r="D854" s="24" t="inlineStr">
        <x:is>
          <x:t xml:space="preserve">DELIVERY-01</x:t>
        </x:is>
      </x:c>
      <x:c r="E854" s="24" t="inlineStr">
        <x:is>
          <x:t xml:space="preserve">Khi đổi kế hoạch hoặc bàn giao chức năng lớn</x:t>
        </x:is>
      </x:c>
      <x:c r="F854" s="24" t="inlineStr">
        <x:is>
          <x:t xml:space="preserve">Cập nhật checklist/mục lục/báo cáo trong bộ đã đăng ký; spec thay đổi mới chạy đồng bộ nghiệp vụ. Giữ commit/ngày/bằng chứng, không biến prototype thành implementation.</x:t>
        </x:is>
      </x:c>
    </x:row>
    <x:row r="855" ht="80" customHeight="1">
      <x:c r="A855" s="24" t="inlineStr">
        <x:is>
          <x:t xml:space="preserve">F20</x:t>
        </x:is>
      </x:c>
      <x:c r="B855" s="24" t="inlineStr">
        <x:is>
          <x:t xml:space="preserve">Kế hoạch, tiến độ và báo cáo giải thích code</x:t>
        </x:is>
      </x:c>
      <x:c r="C855" s="24" t="inlineStr">
        <x:is>
          <x:t xml:space="preserve">DOC-085</x:t>
        </x:is>
      </x:c>
      <x:c r="D855" s="24" t="inlineStr">
        <x:is>
          <x:t xml:space="preserve">DELIVERY-01</x:t>
        </x:is>
      </x:c>
      <x:c r="E855" s="24" t="inlineStr">
        <x:is>
          <x:t xml:space="preserve">Khi đổi kế hoạch hoặc bàn giao chức năng lớn</x:t>
        </x:is>
      </x:c>
      <x:c r="F855" s="24" t="inlineStr">
        <x:is>
          <x:t xml:space="preserve">Cập nhật checklist/mục lục/báo cáo trong bộ đã đăng ký; spec thay đổi mới chạy đồng bộ nghiệp vụ. Giữ commit/ngày/bằng chứng, không biến prototype thành implementation.</x:t>
        </x:is>
      </x:c>
    </x:row>
    <x:row r="856" ht="80" customHeight="1">
      <x:c r="A856" s="24" t="inlineStr">
        <x:is>
          <x:t xml:space="preserve">F17</x:t>
        </x:is>
      </x:c>
      <x:c r="B856" s="24" t="inlineStr">
        <x:is>
          <x:t xml:space="preserve">Kế hoạch, tiến độ và báo cáo giải thích code</x:t>
        </x:is>
      </x:c>
      <x:c r="C856" s="24" t="inlineStr">
        <x:is>
          <x:t xml:space="preserve">DOC-086</x:t>
        </x:is>
      </x:c>
      <x:c r="D856" s="24" t="inlineStr">
        <x:is>
          <x:t xml:space="preserve">DELIVERY-01</x:t>
        </x:is>
      </x:c>
      <x:c r="E856" s="24" t="inlineStr">
        <x:is>
          <x:t xml:space="preserve">Khi đổi kế hoạch hoặc bàn giao chức năng lớn</x:t>
        </x:is>
      </x:c>
      <x:c r="F856" s="24" t="inlineStr">
        <x:is>
          <x:t xml:space="preserve">Cập nhật checklist/mục lục/báo cáo trong bộ đã đăng ký; spec thay đổi mới chạy đồng bộ nghiệp vụ. Giữ commit/ngày/bằng chứng, không biến prototype thành implementation.</x:t>
        </x:is>
      </x:c>
    </x:row>
    <x:row r="857" ht="80" customHeight="1">
      <x:c r="A857" s="24" t="inlineStr">
        <x:is>
          <x:t xml:space="preserve">F18</x:t>
        </x:is>
      </x:c>
      <x:c r="B857" s="24" t="inlineStr">
        <x:is>
          <x:t xml:space="preserve">Kế hoạch, tiến độ và báo cáo giải thích code</x:t>
        </x:is>
      </x:c>
      <x:c r="C857" s="24" t="inlineStr">
        <x:is>
          <x:t xml:space="preserve">DOC-086</x:t>
        </x:is>
      </x:c>
      <x:c r="D857" s="24" t="inlineStr">
        <x:is>
          <x:t xml:space="preserve">DELIVERY-01</x:t>
        </x:is>
      </x:c>
      <x:c r="E857" s="24" t="inlineStr">
        <x:is>
          <x:t xml:space="preserve">Khi đổi kế hoạch hoặc bàn giao chức năng lớn</x:t>
        </x:is>
      </x:c>
      <x:c r="F857" s="24" t="inlineStr">
        <x:is>
          <x:t xml:space="preserve">Cập nhật checklist/mục lục/báo cáo trong bộ đã đăng ký; spec thay đổi mới chạy đồng bộ nghiệp vụ. Giữ commit/ngày/bằng chứng, không biến prototype thành implementation.</x:t>
        </x:is>
      </x:c>
    </x:row>
    <x:row r="858" ht="80" customHeight="1">
      <x:c r="A858" s="24" t="inlineStr">
        <x:is>
          <x:t xml:space="preserve">F20</x:t>
        </x:is>
      </x:c>
      <x:c r="B858" s="24" t="inlineStr">
        <x:is>
          <x:t xml:space="preserve">Kế hoạch, tiến độ và báo cáo giải thích code</x:t>
        </x:is>
      </x:c>
      <x:c r="C858" s="24" t="inlineStr">
        <x:is>
          <x:t xml:space="preserve">DOC-086</x:t>
        </x:is>
      </x:c>
      <x:c r="D858" s="24" t="inlineStr">
        <x:is>
          <x:t xml:space="preserve">DELIVERY-01</x:t>
        </x:is>
      </x:c>
      <x:c r="E858" s="24" t="inlineStr">
        <x:is>
          <x:t xml:space="preserve">Khi đổi kế hoạch hoặc bàn giao chức năng lớn</x:t>
        </x:is>
      </x:c>
      <x:c r="F858" s="24" t="inlineStr">
        <x:is>
          <x:t xml:space="preserve">Cập nhật checklist/mục lục/báo cáo trong bộ đã đăng ký; spec thay đổi mới chạy đồng bộ nghiệp vụ. Giữ commit/ngày/bằng chứng, không biến prototype thành implementation.</x:t>
        </x:is>
      </x:c>
    </x:row>
    <x:row r="859" ht="80" customHeight="1">
      <x:c r="A859" s="24" t="inlineStr">
        <x:is>
          <x:t xml:space="preserve">F02</x:t>
        </x:is>
      </x:c>
      <x:c r="B859" s="24" t="inlineStr">
        <x:is>
          <x:t xml:space="preserve">Kế hoạch, tiến độ và báo cáo giải thích code</x:t>
        </x:is>
      </x:c>
      <x:c r="C859" s="24" t="inlineStr">
        <x:is>
          <x:t xml:space="preserve">DOC-087</x:t>
        </x:is>
      </x:c>
      <x:c r="D859" s="24" t="inlineStr">
        <x:is>
          <x:t xml:space="preserve">DELIVERY-01</x:t>
        </x:is>
      </x:c>
      <x:c r="E859" s="24" t="inlineStr">
        <x:is>
          <x:t xml:space="preserve">Khi đổi kế hoạch hoặc bàn giao chức năng lớn</x:t>
        </x:is>
      </x:c>
      <x:c r="F859" s="24" t="inlineStr">
        <x:is>
          <x:t xml:space="preserve">Cập nhật checklist/mục lục/báo cáo trong bộ đã đăng ký; spec thay đổi mới chạy đồng bộ nghiệp vụ. Giữ commit/ngày/bằng chứng, không biến prototype thành implementation.</x:t>
        </x:is>
      </x:c>
    </x:row>
    <x:row r="860" ht="80" customHeight="1">
      <x:c r="A860" s="24" t="inlineStr">
        <x:is>
          <x:t xml:space="preserve">F17</x:t>
        </x:is>
      </x:c>
      <x:c r="B860" s="24" t="inlineStr">
        <x:is>
          <x:t xml:space="preserve">Kế hoạch, tiến độ và báo cáo giải thích code</x:t>
        </x:is>
      </x:c>
      <x:c r="C860" s="24" t="inlineStr">
        <x:is>
          <x:t xml:space="preserve">DOC-087</x:t>
        </x:is>
      </x:c>
      <x:c r="D860" s="24" t="inlineStr">
        <x:is>
          <x:t xml:space="preserve">DELIVERY-01</x:t>
        </x:is>
      </x:c>
      <x:c r="E860" s="24" t="inlineStr">
        <x:is>
          <x:t xml:space="preserve">Khi đổi kế hoạch hoặc bàn giao chức năng lớn</x:t>
        </x:is>
      </x:c>
      <x:c r="F860" s="24" t="inlineStr">
        <x:is>
          <x:t xml:space="preserve">Cập nhật checklist/mục lục/báo cáo trong bộ đã đăng ký; spec thay đổi mới chạy đồng bộ nghiệp vụ. Giữ commit/ngày/bằng chứng, không biến prototype thành implementation.</x:t>
        </x:is>
      </x:c>
    </x:row>
    <x:row r="861" ht="80" customHeight="1">
      <x:c r="A861" s="24" t="inlineStr">
        <x:is>
          <x:t xml:space="preserve">F18</x:t>
        </x:is>
      </x:c>
      <x:c r="B861" s="24" t="inlineStr">
        <x:is>
          <x:t xml:space="preserve">Kế hoạch, tiến độ và báo cáo giải thích code</x:t>
        </x:is>
      </x:c>
      <x:c r="C861" s="24" t="inlineStr">
        <x:is>
          <x:t xml:space="preserve">DOC-087</x:t>
        </x:is>
      </x:c>
      <x:c r="D861" s="24" t="inlineStr">
        <x:is>
          <x:t xml:space="preserve">DELIVERY-01</x:t>
        </x:is>
      </x:c>
      <x:c r="E861" s="24" t="inlineStr">
        <x:is>
          <x:t xml:space="preserve">Khi đổi kế hoạch hoặc bàn giao chức năng lớn</x:t>
        </x:is>
      </x:c>
      <x:c r="F861" s="24" t="inlineStr">
        <x:is>
          <x:t xml:space="preserve">Cập nhật checklist/mục lục/báo cáo trong bộ đã đăng ký; spec thay đổi mới chạy đồng bộ nghiệp vụ. Giữ commit/ngày/bằng chứng, không biến prototype thành implementation.</x:t>
        </x:is>
      </x:c>
    </x:row>
    <x:row r="862" ht="80" customHeight="1">
      <x:c r="A862" s="24" t="inlineStr">
        <x:is>
          <x:t xml:space="preserve">F20</x:t>
        </x:is>
      </x:c>
      <x:c r="B862" s="24" t="inlineStr">
        <x:is>
          <x:t xml:space="preserve">Kế hoạch, tiến độ và báo cáo giải thích code</x:t>
        </x:is>
      </x:c>
      <x:c r="C862" s="24" t="inlineStr">
        <x:is>
          <x:t xml:space="preserve">DOC-087</x:t>
        </x:is>
      </x:c>
      <x:c r="D862" s="24" t="inlineStr">
        <x:is>
          <x:t xml:space="preserve">DELIVERY-01</x:t>
        </x:is>
      </x:c>
      <x:c r="E862" s="24" t="inlineStr">
        <x:is>
          <x:t xml:space="preserve">Khi đổi kế hoạch hoặc bàn giao chức năng lớn</x:t>
        </x:is>
      </x:c>
      <x:c r="F862" s="24" t="inlineStr">
        <x:is>
          <x:t xml:space="preserve">Cập nhật checklist/mục lục/báo cáo trong bộ đã đăng ký; spec thay đổi mới chạy đồng bộ nghiệp vụ. Giữ commit/ngày/bằng chứng, không biến prototype thành implementation.</x:t>
        </x:is>
      </x:c>
    </x:row>
    <x:row r="863" ht="80" customHeight="1">
      <x:c r="A863" s="24" t="inlineStr">
        <x:is>
          <x:t xml:space="preserve">F01</x:t>
        </x:is>
      </x:c>
      <x:c r="B863" s="24" t="inlineStr">
        <x:is>
          <x:t xml:space="preserve">Kế hoạch, tiến độ và báo cáo giải thích code</x:t>
        </x:is>
      </x:c>
      <x:c r="C863" s="24" t="inlineStr">
        <x:is>
          <x:t xml:space="preserve">DOC-088</x:t>
        </x:is>
      </x:c>
      <x:c r="D863" s="24" t="inlineStr">
        <x:is>
          <x:t xml:space="preserve">DELIVERY-01</x:t>
        </x:is>
      </x:c>
      <x:c r="E863" s="24" t="inlineStr">
        <x:is>
          <x:t xml:space="preserve">Khi đổi kế hoạch hoặc bàn giao chức năng lớn</x:t>
        </x:is>
      </x:c>
      <x:c r="F863" s="24" t="inlineStr">
        <x:is>
          <x:t xml:space="preserve">Cập nhật checklist/mục lục/báo cáo trong bộ đã đăng ký; spec thay đổi mới chạy đồng bộ nghiệp vụ. Giữ commit/ngày/bằng chứng, không biến prototype thành implementation.</x:t>
        </x:is>
      </x:c>
    </x:row>
    <x:row r="864" ht="80" customHeight="1">
      <x:c r="A864" s="24" t="inlineStr">
        <x:is>
          <x:t xml:space="preserve">F17</x:t>
        </x:is>
      </x:c>
      <x:c r="B864" s="24" t="inlineStr">
        <x:is>
          <x:t xml:space="preserve">Kế hoạch, tiến độ và báo cáo giải thích code</x:t>
        </x:is>
      </x:c>
      <x:c r="C864" s="24" t="inlineStr">
        <x:is>
          <x:t xml:space="preserve">DOC-088</x:t>
        </x:is>
      </x:c>
      <x:c r="D864" s="24" t="inlineStr">
        <x:is>
          <x:t xml:space="preserve">DELIVERY-01</x:t>
        </x:is>
      </x:c>
      <x:c r="E864" s="24" t="inlineStr">
        <x:is>
          <x:t xml:space="preserve">Khi đổi kế hoạch hoặc bàn giao chức năng lớn</x:t>
        </x:is>
      </x:c>
      <x:c r="F864" s="24" t="inlineStr">
        <x:is>
          <x:t xml:space="preserve">Cập nhật checklist/mục lục/báo cáo trong bộ đã đăng ký; spec thay đổi mới chạy đồng bộ nghiệp vụ. Giữ commit/ngày/bằng chứng, không biến prototype thành implementation.</x:t>
        </x:is>
      </x:c>
    </x:row>
    <x:row r="865" ht="80" customHeight="1">
      <x:c r="A865" s="24" t="inlineStr">
        <x:is>
          <x:t xml:space="preserve">F18</x:t>
        </x:is>
      </x:c>
      <x:c r="B865" s="24" t="inlineStr">
        <x:is>
          <x:t xml:space="preserve">Kế hoạch, tiến độ và báo cáo giải thích code</x:t>
        </x:is>
      </x:c>
      <x:c r="C865" s="24" t="inlineStr">
        <x:is>
          <x:t xml:space="preserve">DOC-088</x:t>
        </x:is>
      </x:c>
      <x:c r="D865" s="24" t="inlineStr">
        <x:is>
          <x:t xml:space="preserve">DELIVERY-01</x:t>
        </x:is>
      </x:c>
      <x:c r="E865" s="24" t="inlineStr">
        <x:is>
          <x:t xml:space="preserve">Khi đổi kế hoạch hoặc bàn giao chức năng lớn</x:t>
        </x:is>
      </x:c>
      <x:c r="F865" s="24" t="inlineStr">
        <x:is>
          <x:t xml:space="preserve">Cập nhật checklist/mục lục/báo cáo trong bộ đã đăng ký; spec thay đổi mới chạy đồng bộ nghiệp vụ. Giữ commit/ngày/bằng chứng, không biến prototype thành implementation.</x:t>
        </x:is>
      </x:c>
    </x:row>
    <x:row r="866" ht="80" customHeight="1">
      <x:c r="A866" s="24" t="inlineStr">
        <x:is>
          <x:t xml:space="preserve">F20</x:t>
        </x:is>
      </x:c>
      <x:c r="B866" s="24" t="inlineStr">
        <x:is>
          <x:t xml:space="preserve">Kế hoạch, tiến độ và báo cáo giải thích code</x:t>
        </x:is>
      </x:c>
      <x:c r="C866" s="24" t="inlineStr">
        <x:is>
          <x:t xml:space="preserve">DOC-088</x:t>
        </x:is>
      </x:c>
      <x:c r="D866" s="24" t="inlineStr">
        <x:is>
          <x:t xml:space="preserve">DELIVERY-01</x:t>
        </x:is>
      </x:c>
      <x:c r="E866" s="24" t="inlineStr">
        <x:is>
          <x:t xml:space="preserve">Khi đổi kế hoạch hoặc bàn giao chức năng lớn</x:t>
        </x:is>
      </x:c>
      <x:c r="F866" s="24" t="inlineStr">
        <x:is>
          <x:t xml:space="preserve">Cập nhật checklist/mục lục/báo cáo trong bộ đã đăng ký; spec thay đổi mới chạy đồng bộ nghiệp vụ. Giữ commit/ngày/bằng chứng, không biến prototype thành implementation.</x:t>
        </x:is>
      </x:c>
    </x:row>
    <x:row r="867" ht="80" customHeight="1">
      <x:c r="A867" s="24" t="inlineStr">
        <x:is>
          <x:t xml:space="preserve">F17</x:t>
        </x:is>
      </x:c>
      <x:c r="B867" s="24" t="inlineStr">
        <x:is>
          <x:t xml:space="preserve">Kế hoạch, tiến độ và báo cáo giải thích code</x:t>
        </x:is>
      </x:c>
      <x:c r="C867" s="24" t="inlineStr">
        <x:is>
          <x:t xml:space="preserve">DOC-089</x:t>
        </x:is>
      </x:c>
      <x:c r="D867" s="24" t="inlineStr">
        <x:is>
          <x:t xml:space="preserve">DELIVERY-01</x:t>
        </x:is>
      </x:c>
      <x:c r="E867" s="24" t="inlineStr">
        <x:is>
          <x:t xml:space="preserve">Khi đổi kế hoạch hoặc bàn giao chức năng lớn</x:t>
        </x:is>
      </x:c>
      <x:c r="F867" s="24" t="inlineStr">
        <x:is>
          <x:t xml:space="preserve">Cập nhật checklist/mục lục/báo cáo trong bộ đã đăng ký; spec thay đổi mới chạy đồng bộ nghiệp vụ. Giữ commit/ngày/bằng chứng, không biến prototype thành implementation.</x:t>
        </x:is>
      </x:c>
    </x:row>
    <x:row r="868" ht="80" customHeight="1">
      <x:c r="A868" s="24" t="inlineStr">
        <x:is>
          <x:t xml:space="preserve">F18</x:t>
        </x:is>
      </x:c>
      <x:c r="B868" s="24" t="inlineStr">
        <x:is>
          <x:t xml:space="preserve">Kế hoạch, tiến độ và báo cáo giải thích code</x:t>
        </x:is>
      </x:c>
      <x:c r="C868" s="24" t="inlineStr">
        <x:is>
          <x:t xml:space="preserve">DOC-089</x:t>
        </x:is>
      </x:c>
      <x:c r="D868" s="24" t="inlineStr">
        <x:is>
          <x:t xml:space="preserve">DELIVERY-01</x:t>
        </x:is>
      </x:c>
      <x:c r="E868" s="24" t="inlineStr">
        <x:is>
          <x:t xml:space="preserve">Khi đổi kế hoạch hoặc bàn giao chức năng lớn</x:t>
        </x:is>
      </x:c>
      <x:c r="F868" s="24" t="inlineStr">
        <x:is>
          <x:t xml:space="preserve">Cập nhật checklist/mục lục/báo cáo trong bộ đã đăng ký; spec thay đổi mới chạy đồng bộ nghiệp vụ. Giữ commit/ngày/bằng chứng, không biến prototype thành implementation.</x:t>
        </x:is>
      </x:c>
    </x:row>
    <x:row r="869" ht="80" customHeight="1">
      <x:c r="A869" s="24" t="inlineStr">
        <x:is>
          <x:t xml:space="preserve">F20</x:t>
        </x:is>
      </x:c>
      <x:c r="B869" s="24" t="inlineStr">
        <x:is>
          <x:t xml:space="preserve">Kế hoạch, tiến độ và báo cáo giải thích code</x:t>
        </x:is>
      </x:c>
      <x:c r="C869" s="24" t="inlineStr">
        <x:is>
          <x:t xml:space="preserve">DOC-089</x:t>
        </x:is>
      </x:c>
      <x:c r="D869" s="24" t="inlineStr">
        <x:is>
          <x:t xml:space="preserve">DELIVERY-01</x:t>
        </x:is>
      </x:c>
      <x:c r="E869" s="24" t="inlineStr">
        <x:is>
          <x:t xml:space="preserve">Khi đổi kế hoạch hoặc bàn giao chức năng lớn</x:t>
        </x:is>
      </x:c>
      <x:c r="F869" s="24" t="inlineStr">
        <x:is>
          <x:t xml:space="preserve">Cập nhật checklist/mục lục/báo cáo trong bộ đã đăng ký; spec thay đổi mới chạy đồng bộ nghiệp vụ. Giữ commit/ngày/bằng chứng, không biến prototype thành implementation.</x:t>
        </x:is>
      </x:c>
    </x:row>
  </x:sheetData>
  <x:pageMargins left="0.7" right="0.7" top="0.75" bottom="0.75" header="0.3" footer="0.3"/>
  <x:tableParts count="1">
    <x:tablePart xmlns:r="http://schemas.openxmlformats.org/officeDocument/2006/relationships" r:id="Rf58d65787d02452b"/>
  </x:tableParts>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baseColWidth="8" defaultRowHeight="15"/>
  <x:cols>
    <x:col min="1" max="1" width="16" customWidth="1"/>
    <x:col min="2" max="2" width="27" customWidth="1"/>
    <x:col min="3" max="3" width="22" customWidth="1"/>
    <x:col min="4" max="4" width="85" customWidth="1"/>
    <x:col min="5" max="5" width="18" customWidth="1"/>
    <x:col min="6" max="6" width="53" customWidth="1"/>
    <x:col min="7" max="7" width="18" customWidth="1"/>
  </x:cols>
  <x:sheetData>
    <x:row r="1">
      <x:c r="A1" s="1" t="n"/>
      <x:c r="B1" s="1" t="n"/>
      <x:c r="C1" s="1" t="n"/>
      <x:c r="D1" s="1" t="n"/>
      <x:c r="E1" s="1" t="n"/>
      <x:c r="F1" s="1" t="n"/>
      <x:c r="G1" s="1" t="n"/>
    </x:row>
    <x:row r="2">
      <x:c r="A2" s="2" t="inlineStr">
        <x:is>
          <x:t xml:space="preserve">Quyết định của chủ dự án</x:t>
        </x:is>
      </x:c>
      <x:c r="B2" s="1" t="n"/>
      <x:c r="C2" s="1" t="n"/>
      <x:c r="D2" s="1" t="n"/>
      <x:c r="E2" s="1" t="n"/>
      <x:c r="F2" s="1" t="n"/>
      <x:c r="G2" s="1" t="n"/>
    </x:row>
    <x:row r="3">
      <x:c r="A3" s="3" t="inlineStr">
        <x:is>
          <x:t xml:space="preserve">Quyết định đã chốt có ưu tiên hơn nội dung cũ. Ngày trống là chưa khôi phục được ngày chính xác.</x:t>
        </x:is>
      </x:c>
      <x:c r="B3" s="1" t="n"/>
      <x:c r="C3" s="1" t="n"/>
      <x:c r="D3" s="1" t="n"/>
      <x:c r="E3" s="1" t="n"/>
      <x:c r="F3" s="1" t="n"/>
      <x:c r="G3" s="1" t="n"/>
    </x:row>
    <x:row r="4">
      <x:c r="A4" s="1" t="n"/>
      <x:c r="B4" s="1" t="n"/>
      <x:c r="C4" s="1" t="n"/>
      <x:c r="D4" s="1" t="n"/>
      <x:c r="E4" s="1" t="n"/>
      <x:c r="F4" s="1" t="n"/>
      <x:c r="G4" s="1" t="n"/>
    </x:row>
    <x:row r="5" ht="34" customHeight="1">
      <x:c r="A5" s="6" t="inlineStr">
        <x:is>
          <x:t xml:space="preserve">Mã quyết định</x:t>
        </x:is>
      </x:c>
      <x:c r="B5" s="6" t="inlineStr">
        <x:is>
          <x:t xml:space="preserve">Chủ đề</x:t>
        </x:is>
      </x:c>
      <x:c r="C5" s="6" t="inlineStr">
        <x:is>
          <x:t xml:space="preserve">Trạng thái</x:t>
        </x:is>
      </x:c>
      <x:c r="D5" s="6" t="inlineStr">
        <x:is>
          <x:t xml:space="preserve">Nội dung áp dụng</x:t>
        </x:is>
      </x:c>
      <x:c r="E5" s="6" t="inlineStr">
        <x:is>
          <x:t xml:space="preserve">Chức năng</x:t>
        </x:is>
      </x:c>
      <x:c r="F5" s="6" t="inlineStr">
        <x:is>
          <x:t xml:space="preserve">Nguồn / bằng chứng</x:t>
        </x:is>
      </x:c>
      <x:c r="G5" s="6" t="inlineStr">
        <x:is>
          <x:t xml:space="preserve">Ngày</x:t>
        </x:is>
      </x:c>
    </x:row>
    <x:row r="6" ht="92" customHeight="1">
      <x:c r="A6" s="8" t="inlineStr">
        <x:is>
          <x:t xml:space="preserve">RULE-01</x:t>
        </x:is>
      </x:c>
      <x:c r="B6" s="8" t="inlineStr">
        <x:is>
          <x:t xml:space="preserve">Quản lý tài liệu</x:t>
        </x:is>
      </x:c>
      <x:c r="C6" s="8" t="inlineStr">
        <x:is>
          <x:t xml:space="preserve">Đã chốt</x:t>
        </x:is>
      </x:c>
      <x:c r="D6" s="8" t="inlineStr">
        <x:is>
          <x:t xml:space="preserve">Luôn cập nhật toàn bộ tài liệu liên quan đúng quyết định đã thống nhất; không báo hoàn tất khi còn lệch. Dùng Mới nhất cho bản hiện hành đã kiểm; không đổi nhãn để che phần chưa đồng bộ.</x:t>
        </x:is>
      </x:c>
      <x:c r="E6" s="8" t="inlineStr">
        <x:is>
          <x:t xml:space="preserve">F20</x:t>
        </x:is>
      </x:c>
      <x:c r="F6" s="8" t="inlineStr">
        <x:is>
          <x:t xml:space="preserve">Yêu cầu trực tiếp 22/09/2026</x:t>
        </x:is>
      </x:c>
      <x:c r="G6" s="27" t="n">
        <x:v>46287</x:v>
      </x:c>
    </x:row>
    <x:row r="7" ht="68" customHeight="1">
      <x:c r="A7" s="8" t="inlineStr">
        <x:is>
          <x:t xml:space="preserve">Q01</x:t>
        </x:is>
      </x:c>
      <x:c r="B7" s="8" t="inlineStr">
        <x:is>
          <x:t xml:space="preserve">Đánh giá</x:t>
        </x:is>
      </x:c>
      <x:c r="C7" s="8" t="inlineStr">
        <x:is>
          <x:t xml:space="preserve">Đã chốt</x:t>
        </x:is>
      </x:c>
      <x:c r="D7" s="8" t="inlineStr">
        <x:is>
          <x:t xml:space="preserve">Khách báo đã trả và thợ xác nhận đã nhận tiền; quyết toán thành công mới đánh giá hai chiều.</x:t>
        </x:is>
      </x:c>
      <x:c r="E7" s="8" t="inlineStr">
        <x:is>
          <x:t xml:space="preserve">F13</x:t>
        </x:is>
      </x:c>
      <x:c r="F7" s="8" t="inlineStr">
        <x:is>
          <x:t xml:space="preserve">Trả lời làm rõ 22/09/2026</x:t>
        </x:is>
      </x:c>
      <x:c r="G7" s="27" t="n">
        <x:v>46287</x:v>
      </x:c>
    </x:row>
    <x:row r="8" ht="68" customHeight="1">
      <x:c r="A8" s="8" t="inlineStr">
        <x:is>
          <x:t xml:space="preserve">Q02</x:t>
        </x:is>
      </x:c>
      <x:c r="B8" s="8" t="inlineStr">
        <x:is>
          <x:t xml:space="preserve">Khoản giữ treo</x:t>
        </x:is>
      </x:c>
      <x:c r="C8" s="8" t="inlineStr">
        <x:is>
          <x:t xml:space="preserve">Đã chốt</x:t>
        </x:is>
      </x:c>
      <x:c r="D8" s="8" t="inlineStr">
        <x:is>
          <x:t xml:space="preserve">Pending đợt này; bắt buộc có cách xử lý qua báo cáo/admin trước chạy tiền thật.</x:t>
        </x:is>
      </x:c>
      <x:c r="E8" s="8" t="inlineStr">
        <x:is>
          <x:t xml:space="preserve">F15</x:t>
        </x:is>
      </x:c>
      <x:c r="F8" s="8" t="inlineStr">
        <x:is>
          <x:t xml:space="preserve">Trả lời mục 2 ngày 22/09/2026</x:t>
        </x:is>
      </x:c>
      <x:c r="G8" s="27" t="n">
        <x:v>46287</x:v>
      </x:c>
    </x:row>
    <x:row r="9" ht="68" customHeight="1">
      <x:c r="A9" s="8" t="inlineStr">
        <x:is>
          <x:t xml:space="preserve">Q03</x:t>
        </x:is>
      </x:c>
      <x:c r="B9" s="8" t="inlineStr">
        <x:is>
          <x:t xml:space="preserve">Công nghệ</x:t>
        </x:is>
      </x:c>
      <x:c r="C9" s="8" t="inlineStr">
        <x:is>
          <x:t xml:space="preserve">Đã chốt</x:t>
        </x:is>
      </x:c>
      <x:c r="D9" s="8" t="inlineStr">
        <x:is>
          <x:t xml:space="preserve">Expo/React Native, React, NestJS, PostgreSQL/PostGIS. Chi tiết kỹ thuật v0.1 chờ review; không phê duyệt production.</x:t>
        </x:is>
      </x:c>
      <x:c r="E9" s="8" t="inlineStr">
        <x:is>
          <x:t xml:space="preserve">F18</x:t>
        </x:is>
      </x:c>
      <x:c r="F9" s="8" t="inlineStr">
        <x:is>
          <x:t xml:space="preserve">Chủ dự án: “ok tôi đồng ý”; hồ sơ kỹ thuật v0.1</x:t>
        </x:is>
      </x:c>
      <x:c r="G9" s="27" t="n">
        <x:v>46288</x:v>
      </x:c>
    </x:row>
    <x:row r="10" ht="68" customHeight="1">
      <x:c r="A10" s="8" t="inlineStr">
        <x:is>
          <x:t xml:space="preserve">Q04</x:t>
        </x:is>
      </x:c>
      <x:c r="B10" s="8" t="inlineStr">
        <x:is>
          <x:t xml:space="preserve">Ngân sách</x:t>
        </x:is>
      </x:c>
      <x:c r="C10" s="8" t="inlineStr">
        <x:is>
          <x:t xml:space="preserve">Chưa xác định</x:t>
        </x:is>
      </x:c>
      <x:c r="D10" s="8" t="inlineStr">
        <x:is>
          <x:t xml:space="preserve">Chưa có ngân sách; chưa chọn gói trả phí hoặc nhà cung cấp.</x:t>
        </x:is>
      </x:c>
      <x:c r="E10" s="8" t="inlineStr">
        <x:is>
          <x:t xml:space="preserve">F18</x:t>
        </x:is>
      </x:c>
      <x:c r="F10" s="8" t="inlineStr">
        <x:is>
          <x:t xml:space="preserve">Trả lời mục 4 ngày 22/09/2026</x:t>
        </x:is>
      </x:c>
      <x:c r="G10" s="27" t="n">
        <x:v>46287</x:v>
      </x:c>
    </x:row>
    <x:row r="11" ht="32" customHeight="1">
      <x:c r="A11" s="8" t="inlineStr">
        <x:is>
          <x:t xml:space="preserve">B01</x:t>
        </x:is>
      </x:c>
      <x:c r="B11" s="8" t="inlineStr">
        <x:is>
          <x:t xml:space="preserve">Thị trường</x:t>
        </x:is>
      </x:c>
      <x:c r="C11" s="8" t="inlineStr">
        <x:is>
          <x:t xml:space="preserve">Đã chốt</x:t>
        </x:is>
      </x:c>
      <x:c r="D11" s="8" t="inlineStr">
        <x:is>
          <x:t xml:space="preserve">Hà Nội trước, đa ngành, mở công khai; không tự đặt thời hạn ra mắt.</x:t>
        </x:is>
      </x:c>
      <x:c r="E11" s="8" t="inlineStr">
        <x:is>
          <x:t xml:space="preserve">F19</x:t>
        </x:is>
      </x:c>
      <x:c r="F11" s="8" t="inlineStr">
        <x:is>
          <x:t xml:space="preserve">Lịch sử quyết định trong hội thoại</x:t>
        </x:is>
      </x:c>
      <x:c r="G11" s="27" t="n"/>
    </x:row>
    <x:row r="12" ht="38" customHeight="1">
      <x:c r="A12" s="8" t="inlineStr">
        <x:is>
          <x:t xml:space="preserve">B02</x:t>
        </x:is>
      </x:c>
      <x:c r="B12" s="8" t="inlineStr">
        <x:is>
          <x:t xml:space="preserve">Phí và point</x:t>
        </x:is>
      </x:c>
      <x:c r="C12" s="8" t="inlineStr">
        <x:is>
          <x:t xml:space="preserve">Đã chốt</x:t>
        </x:is>
      </x:c>
      <x:c r="D12" s="8" t="inlineStr">
        <x:is>
          <x:t xml:space="preserve">Phí 10% tiền công; 1 point=1đ, dùng cho tổng hóa đơn, không hết hạn/rút/chuyển.</x:t>
        </x:is>
      </x:c>
      <x:c r="E12" s="8" t="inlineStr">
        <x:is>
          <x:t xml:space="preserve">F11</x:t>
        </x:is>
      </x:c>
      <x:c r="F12" s="8" t="inlineStr">
        <x:is>
          <x:t xml:space="preserve">Hội thoại; SRS và phạm vi UX</x:t>
        </x:is>
      </x:c>
      <x:c r="G12" s="27" t="n"/>
    </x:row>
    <x:row r="13" ht="32" customHeight="1">
      <x:c r="A13" s="8" t="inlineStr">
        <x:is>
          <x:t xml:space="preserve">B03</x:t>
        </x:is>
      </x:c>
      <x:c r="B13" s="8" t="inlineStr">
        <x:is>
          <x:t xml:space="preserve">Tiền khách trả</x:t>
        </x:is>
      </x:c>
      <x:c r="C13" s="8" t="inlineStr">
        <x:is>
          <x:t xml:space="preserve">Đã chốt</x:t>
        </x:is>
      </x:c>
      <x:c r="D13" s="8" t="inlineStr">
        <x:is>
          <x:t xml:space="preserve">Khách trả trực tiếp; khóa hóa đơn, báo đã trả, nhận tiền là các bước riêng.</x:t>
        </x:is>
      </x:c>
      <x:c r="E13" s="8" t="inlineStr">
        <x:is>
          <x:t xml:space="preserve">F10</x:t>
        </x:is>
      </x:c>
      <x:c r="F13" s="8" t="inlineStr">
        <x:is>
          <x:t xml:space="preserve">Hội thoại; UX v0.23</x:t>
        </x:is>
      </x:c>
      <x:c r="G13" s="27" t="n"/>
    </x:row>
    <x:row r="14" ht="32" customHeight="1">
      <x:c r="A14" s="8" t="inlineStr">
        <x:is>
          <x:t xml:space="preserve">B04</x:t>
        </x:is>
      </x:c>
      <x:c r="B14" s="8" t="inlineStr">
        <x:is>
          <x:t xml:space="preserve">Ví partner</x:t>
        </x:is>
      </x:c>
      <x:c r="C14" s="8" t="inlineStr">
        <x:is>
          <x:t xml:space="preserve">Đã chốt</x:t>
        </x:is>
      </x:c>
      <x:c r="D14" s="8" t="inlineStr">
        <x:is>
          <x:t xml:space="preserve">Hạn mức âm 100.000đ chỉ trả phí; không rút; một ngân hàng nhận tiền.</x:t>
        </x:is>
      </x:c>
      <x:c r="E14" s="8" t="inlineStr">
        <x:is>
          <x:t xml:space="preserve">F12</x:t>
        </x:is>
      </x:c>
      <x:c r="F14" s="8" t="inlineStr">
        <x:is>
          <x:t xml:space="preserve">Hội thoại; UX v0.23</x:t>
        </x:is>
      </x:c>
      <x:c r="G14" s="27" t="n"/>
    </x:row>
    <x:row r="15" ht="32" customHeight="1">
      <x:c r="A15" s="8" t="inlineStr">
        <x:is>
          <x:t xml:space="preserve">B05</x:t>
        </x:is>
      </x:c>
      <x:c r="B15" s="8" t="inlineStr">
        <x:is>
          <x:t xml:space="preserve">Phân công / chat</x:t>
        </x:is>
      </x:c>
      <x:c r="C15" s="8" t="inlineStr">
        <x:is>
          <x:t xml:space="preserve">Đã chốt</x:t>
        </x:is>
      </x:c>
      <x:c r="D15" s="8" t="inlineStr">
        <x:is>
          <x:t xml:space="preserve">Giao người mới mở/dùng lại chat đúng cặp khách–nhân viên; giữ lịch sử riêng.</x:t>
        </x:is>
      </x:c>
      <x:c r="E15" s="8" t="inlineStr">
        <x:is>
          <x:t xml:space="preserve">F08</x:t>
        </x:is>
      </x:c>
      <x:c r="F15" s="8" t="inlineStr">
        <x:is>
          <x:t xml:space="preserve">Hội thoại; SRS v0.13</x:t>
        </x:is>
      </x:c>
      <x:c r="G15" s="27" t="n"/>
    </x:row>
    <x:row r="16" ht="32" customHeight="1">
      <x:c r="A16" s="8" t="inlineStr">
        <x:is>
          <x:t xml:space="preserve">B06</x:t>
        </x:is>
      </x:c>
      <x:c r="B16" s="8" t="inlineStr">
        <x:is>
          <x:t xml:space="preserve">Chat trước thuê</x:t>
        </x:is>
      </x:c>
      <x:c r="C16" s="8" t="inlineStr">
        <x:is>
          <x:t xml:space="preserve">Đã chốt</x:t>
        </x:is>
      </x:c>
      <x:c r="D16" s="8" t="inlineStr">
        <x:is>
          <x:t xml:space="preserve">Có thể nhắn trước thuê; thuê lại dùng phòng cũ; tin tự động khi nhận việc.</x:t>
        </x:is>
      </x:c>
      <x:c r="E16" s="8" t="inlineStr">
        <x:is>
          <x:t xml:space="preserve">F09</x:t>
        </x:is>
      </x:c>
      <x:c r="F16" s="8" t="inlineStr">
        <x:is>
          <x:t xml:space="preserve">Hội thoại; SRS v0.13</x:t>
        </x:is>
      </x:c>
      <x:c r="G16" s="27" t="n"/>
    </x:row>
    <x:row r="17" ht="32" customHeight="1">
      <x:c r="A17" s="8" t="inlineStr">
        <x:is>
          <x:t xml:space="preserve">B07</x:t>
        </x:is>
      </x:c>
      <x:c r="B17" s="8" t="inlineStr">
        <x:is>
          <x:t xml:space="preserve">Bật nhận việc</x:t>
        </x:is>
      </x:c>
      <x:c r="C17" s="8" t="inlineStr">
        <x:is>
          <x:t xml:space="preserve">Đã chốt</x:t>
        </x:is>
      </x:c>
      <x:c r="D17" s="8" t="inlineStr">
        <x:is>
          <x:t xml:space="preserve">Partner tắt thì không xuất hiện tìm kiếm/nhận yêu cầu mới; việc cũ còn.</x:t>
        </x:is>
      </x:c>
      <x:c r="E17" s="8" t="inlineStr">
        <x:is>
          <x:t xml:space="preserve">F05</x:t>
        </x:is>
      </x:c>
      <x:c r="F17" s="8" t="inlineStr">
        <x:is>
          <x:t xml:space="preserve">Hội thoại; phạm vi UX</x:t>
        </x:is>
      </x:c>
      <x:c r="G17" s="27" t="n"/>
    </x:row>
    <x:row r="18" ht="32" customHeight="1">
      <x:c r="A18" s="8" t="inlineStr">
        <x:is>
          <x:t xml:space="preserve">B08</x:t>
        </x:is>
      </x:c>
      <x:c r="B18" s="8" t="inlineStr">
        <x:is>
          <x:t xml:space="preserve">Lịch và tìm kiếm</x:t>
        </x:is>
      </x:c>
      <x:c r="C18" s="8" t="inlineStr">
        <x:is>
          <x:t xml:space="preserve">Đã chốt</x:t>
        </x:is>
      </x:c>
      <x:c r="D18" s="8" t="inlineStr">
        <x:is>
          <x:t xml:space="preserve">Đổi lịch không cần bên kia xác nhận; nhắc 24h/1h; tìm mặc định 10km.</x:t>
        </x:is>
      </x:c>
      <x:c r="E18" s="8" t="inlineStr">
        <x:is>
          <x:t xml:space="preserve">F07</x:t>
        </x:is>
      </x:c>
      <x:c r="F18" s="8" t="inlineStr">
        <x:is>
          <x:t xml:space="preserve">Hội thoại; UX v0.22</x:t>
        </x:is>
      </x:c>
      <x:c r="G18" s="27" t="n"/>
    </x:row>
    <x:row r="19" ht="32" customHeight="1">
      <x:c r="A19" s="8" t="inlineStr">
        <x:is>
          <x:t xml:space="preserve">B09</x:t>
        </x:is>
      </x:c>
      <x:c r="B19" s="8" t="inlineStr">
        <x:is>
          <x:t xml:space="preserve">Admin hoàn tất</x:t>
        </x:is>
      </x:c>
      <x:c r="C19" s="8" t="inlineStr">
        <x:is>
          <x:t xml:space="preserve">Đã chốt</x:t>
        </x:is>
      </x:c>
      <x:c r="D19" s="8" t="inlineStr">
        <x:is>
          <x:t xml:space="preserve">Từ báo cáo có chứng cứ; lý do; quyết toán một lần; không hủy/đảo tùy ý.</x:t>
        </x:is>
      </x:c>
      <x:c r="E19" s="8" t="inlineStr">
        <x:is>
          <x:t xml:space="preserve">F14</x:t>
        </x:is>
      </x:c>
      <x:c r="F19" s="8" t="inlineStr">
        <x:is>
          <x:t xml:space="preserve">Hội thoại; UX v0.23</x:t>
        </x:is>
      </x:c>
      <x:c r="G19" s="27" t="n"/>
    </x:row>
    <x:row r="20" ht="38" customHeight="1">
      <x:c r="A20" s="8" t="inlineStr">
        <x:is>
          <x:t xml:space="preserve">B10</x:t>
        </x:is>
      </x:c>
      <x:c r="B20" s="8" t="inlineStr">
        <x:is>
          <x:t xml:space="preserve">Ngôn ngữ / mục pending</x:t>
        </x:is>
      </x:c>
      <x:c r="C20" s="8" t="inlineStr">
        <x:is>
          <x:t xml:space="preserve">Đã chốt</x:t>
        </x:is>
      </x:c>
      <x:c r="D20" s="8" t="inlineStr">
        <x:is>
          <x:t xml:space="preserve">EN/JA tạm để sau; chuyển chủ/đóng doanh nghiệp và các mục pending giữ phạm vi đã chốt.</x:t>
        </x:is>
      </x:c>
      <x:c r="E20" s="8" t="inlineStr">
        <x:is>
          <x:t xml:space="preserve">F17</x:t>
        </x:is>
      </x:c>
      <x:c r="F20" s="8" t="inlineStr">
        <x:is>
          <x:t xml:space="preserve">Hội thoại; mục lục hồ sơ</x:t>
        </x:is>
      </x:c>
      <x:c r="G20" s="27" t="n"/>
    </x:row>
    <x:row r="21" ht="68" customHeight="1">
      <x:c r="A21" s="8" t="inlineStr">
        <x:is>
          <x:t xml:space="preserve">T01</x:t>
        </x:is>
      </x:c>
      <x:c r="B21" s="8" t="inlineStr">
        <x:is>
          <x:t xml:space="preserve">Nhãn toàn point</x:t>
        </x:is>
      </x:c>
      <x:c r="C21" s="8" t="inlineStr">
        <x:is>
          <x:t xml:space="preserve">Đề xuất</x:t>
        </x:is>
      </x:c>
      <x:c r="D21" s="8" t="inlineStr">
        <x:is>
          <x:t xml:space="preserve">Nhãn khách xác nhận thanh toán bằng point, thợ xác nhận hoàn tất; không trả thêm tiền.</x:t>
        </x:is>
      </x:c>
      <x:c r="E21" s="8" t="inlineStr">
        <x:is>
          <x:t xml:space="preserve">F13</x:t>
        </x:is>
      </x:c>
      <x:c r="F21" s="8" t="inlineStr">
        <x:is>
          <x:t xml:space="preserve">Đề xuất trong kiến trúc, chưa chốt nhãn riêng</x:t>
        </x:is>
      </x:c>
      <x:c r="G21" s="27" t="n">
        <x:v>46287</x:v>
      </x:c>
    </x:row>
    <x:row r="22" ht="140" customHeight="1">
      <x:c r="A22" s="24" t="inlineStr">
        <x:is>
          <x:t xml:space="preserve">JOB-01</x:t>
        </x:is>
      </x:c>
      <x:c r="B22" s="24" t="inlineStr">
        <x:is>
          <x:t xml:space="preserve">Chặn tự thuê</x:t>
        </x:is>
      </x:c>
      <x:c r="C22" s="24" t="inlineStr">
        <x:is>
          <x:t xml:space="preserve">Đã chốt</x:t>
        </x:is>
      </x:c>
      <x:c r="D22" s="24" t="inlineStr">
        <x:is>
          <x:t xml:space="preserve">Không thuê chính mình hoặc doanh nghiệp đang là thành viên.</x:t>
        </x:is>
      </x:c>
      <x:c r="E22" s="24" t="inlineStr">
        <x:is>
          <x:t xml:space="preserve">F05</x:t>
        </x:is>
      </x:c>
      <x:c r="F22" s="24" t="inlineStr">
        <x:is>
          <x:t xml:space="preserve">Chủ dự án đồng ý mục 1</x:t>
        </x:is>
      </x:c>
      <x:c r="G22" s="29" t="n">
        <x:v>46288</x:v>
      </x:c>
    </x:row>
    <x:row r="23" ht="140" customHeight="1">
      <x:c r="A23" s="24" t="inlineStr">
        <x:is>
          <x:t xml:space="preserve">JOB-02</x:t>
        </x:is>
      </x:c>
      <x:c r="B23" s="24" t="inlineStr">
        <x:is>
          <x:t xml:space="preserve">Thời gian công việc</x:t>
        </x:is>
      </x:c>
      <x:c r="C23" s="24" t="inlineStr">
        <x:is>
          <x:t xml:space="preserve">Đã chốt</x:t>
        </x:is>
      </x:c>
      <x:c r="D23" s="24" t="inlineStr">
        <x:is>
          <x:t xml:space="preserve">Đã chốt 23/09/2026: chặn thuê chính mình hoặc doanh nghiệp đang là thành viên. Đổi lịch chỉ để thay đổi ngày/giờ hẹn sau khi hai bên trao đổi, không bắt buộc vì công việc kéo dài. Công việc đã nhận không tự hết hạn, tự hủy hoặc tự hoàn tất theo thời gian; có thể kéo dài nhiều ngày. Luồng hoàn tất bình thường cần khách báo đã trả và thợ xác nhận đã nhận; xác nhận hóa đơn riêng chưa kết thúc công việc. Giữ quy tắc quyết toán một lần và ngoại lệ admin đã chốt. Không tạo luồng đổi lịch qua báo cáo/admin. Sau xác nhận hóa đơn không còn hành động đổi lịch; hỗ trợ/bảo hành vẫn trao đổi trong chat.</x:t>
        </x:is>
      </x:c>
      <x:c r="E23" s="24" t="inlineStr">
        <x:is>
          <x:t xml:space="preserve">F05; F06</x:t>
        </x:is>
      </x:c>
      <x:c r="F23" s="24" t="inlineStr">
        <x:is>
          <x:t xml:space="preserve">Chủ dự án làm rõ và đồng ý</x:t>
        </x:is>
      </x:c>
      <x:c r="G23" s="29" t="n">
        <x:v>46288</x:v>
      </x:c>
    </x:row>
    <x:row r="24" ht="90" customHeight="1">
      <x:c r="A24" s="24" t="inlineStr">
        <x:is>
          <x:t xml:space="preserve">UI-01</x:t>
        </x:is>
      </x:c>
      <x:c r="B24" s="24" t="inlineStr">
        <x:is>
          <x:t xml:space="preserve">Brainstorm UI và Design System</x:t>
        </x:is>
      </x:c>
      <x:c r="C24" s="24" t="inlineStr">
        <x:is>
          <x:t xml:space="preserve">Đề xuất</x:t>
        </x:is>
      </x:c>
      <x:c r="D24" s="24" t="inlineStr">
        <x:is>
          <x:t xml:space="preserve">Đã được yêu cầu brainstorm trên Figma. A teal, B cam ấm, C xanh dương là đề xuất; chưa chốt thương hiệu. Không thay đổi nghiệp vụ.</x:t>
        </x:is>
      </x:c>
      <x:c r="E24" s="24" t="inlineStr">
        <x:is>
          <x:t xml:space="preserve">F04; F05; F06; F10; F16; F17</x:t>
        </x:is>
      </x:c>
      <x:c r="F24" s="24" t="inlineStr">
        <x:is>
          <x:t xml:space="preserve">Yêu cầu chủ dự án 23/09/2026 và DOC-049</x:t>
        </x:is>
      </x:c>
      <x:c r="G24" s="29" t="n">
        <x:v>46288</x:v>
      </x:c>
    </x:row>
    <x:row r="25" ht="100" customHeight="1">
      <x:c r="A25" s="24" t="inlineStr">
        <x:is>
          <x:t xml:space="preserve">UI-02</x:t>
        </x:is>
      </x:c>
      <x:c r="B25" s="24" t="inlineStr">
        <x:is>
          <x:t xml:space="preserve">Thử Penpot và React + Storybook</x:t>
        </x:is>
      </x:c>
      <x:c r="C25" s="24" t="inlineStr">
        <x:is>
          <x:t xml:space="preserve">Đã chốt</x:t>
        </x:is>
      </x:c>
      <x:c r="D25" s="24" t="inlineStr">
        <x:is>
          <x:t xml:space="preserve">Chủ dự án yêu cầu làm hai bản thử và tìm thư viện để UI phù hợp người dùng. Chỉ phạm vi thử nghiệm được duyệt; chưa chốt công cụ, màu, thư viện hay triển khai sản phẩm.</x:t>
        </x:is>
      </x:c>
      <x:c r="E25" s="24" t="inlineStr">
        <x:is>
          <x:t xml:space="preserve">F04/F09/F17/F20</x:t>
        </x:is>
      </x:c>
      <x:c r="F25" s="24" t="inlineStr">
        <x:is>
          <x:t xml:space="preserve">Yêu cầu và link dự án Penpot 23/09/2026</x:t>
        </x:is>
      </x:c>
      <x:c r="G25" s="29" t="n">
        <x:v>46288</x:v>
      </x:c>
    </x:row>
    <x:row r="26" ht="104" customHeight="1">
      <x:c r="A26" s="24" t="inlineStr">
        <x:is>
          <x:t xml:space="preserve">UI-03</x:t>
        </x:is>
      </x:c>
      <x:c r="B26" s="24" t="inlineStr">
        <x:is>
          <x:t xml:space="preserve">Chọn React + Storybook và chuyển thư mục dự án</x:t>
        </x:is>
      </x:c>
      <x:c r="C26" s="24" t="inlineStr">
        <x:is>
          <x:t xml:space="preserve">Đã chốt</x:t>
        </x:is>
      </x:c>
      <x:c r="D26" s="24" t="inlineStr">
        <x:is>
          <x:t xml:space="preserve">Dự án tại Documents/anhthai/dich-vu-quanh-ban. Di chuyển outputs/work; vị trí cũ dùng symlink. Giữ ID Drive và nguồn nghiệp vụ.</x:t>
        </x:is>
      </x:c>
      <x:c r="E26" s="24" t="inlineStr">
        <x:is>
          <x:t xml:space="preserve">F17/F20</x:t>
        </x:is>
      </x:c>
      <x:c r="F26" s="24" t="inlineStr">
        <x:is>
          <x:t xml:space="preserve">Yêu cầu chủ dự án ngày 23/09/2026</x:t>
        </x:is>
      </x:c>
      <x:c r="G26" s="29" t="n">
        <x:v>46288</x:v>
      </x:c>
    </x:row>
    <x:row r="27" ht="104" customHeight="1">
      <x:c r="A27" s="24" t="inlineStr">
        <x:is>
          <x:t xml:space="preserve">UI-04</x:t>
        </x:is>
      </x:c>
      <x:c r="B27" s="24" t="inlineStr">
        <x:is>
          <x:t xml:space="preserve">Hướng thị giác dịch vụ khu phố</x:t>
        </x:is>
      </x:c>
      <x:c r="C27" s="24" t="inlineStr">
        <x:is>
          <x:t xml:space="preserve">Đã chốt</x:t>
        </x:is>
      </x:c>
      <x:c r="D27" s="24" t="inlineStr">
        <x:is>
          <x:t xml:space="preserve">Chủ dự án chọn Dịch vụ khu phố: cobalt, nội dung tay nghề, điều hướng dưới mobile và danh sách/bản đồ desktop. Dựng bản mẫu 4 màn, không phê duyệt triển khai sản phẩm.</x:t>
        </x:is>
      </x:c>
      <x:c r="E27" s="24" t="inlineStr">
        <x:is>
          <x:t xml:space="preserve">F04/F09/F17</x:t>
        </x:is>
      </x:c>
      <x:c r="F27" s="24" t="inlineStr">
        <x:is>
          <x:t xml:space="preserve">Trả lời lựa chọn của chủ dự án 23/09/2026; DOC-053</x:t>
        </x:is>
      </x:c>
      <x:c r="G27" s="29" t="n">
        <x:v>46288</x:v>
      </x:c>
    </x:row>
    <x:row r="28" ht="104" customHeight="1">
      <x:c r="A28" s="24" t="inlineStr">
        <x:is>
          <x:t xml:space="preserve">ORG-01</x:t>
        </x:is>
      </x:c>
      <x:c r="B28" s="24" t="inlineStr">
        <x:is>
          <x:t xml:space="preserve">Tách phần thiết kế vào ui-ux</x:t>
        </x:is>
      </x:c>
      <x:c r="C28" s="24" t="inlineStr">
        <x:is>
          <x:t xml:space="preserve">Đã chốt</x:t>
        </x:is>
      </x:c>
      <x:c r="D28" s="24" t="inlineStr">
        <x:is>
          <x:t xml:space="preserve">Chủ dự án yêu cầu tổ chức phần thiết kế riêng để chừa app/web/backend. Cấu trúc dùng ui-ux, docs, apps/mobile-web-admin, services/api, packages, infra, tools. Chưa khởi tạo mã sản phẩm.</x:t>
        </x:is>
      </x:c>
      <x:c r="E28" s="24" t="inlineStr">
        <x:is>
          <x:t xml:space="preserve">F17/F20</x:t>
        </x:is>
      </x:c>
      <x:c r="F28" s="24" t="inlineStr">
        <x:is>
          <x:t xml:space="preserve">Yêu cầu chủ dự án ngày 23/09/2026</x:t>
        </x:is>
      </x:c>
      <x:c r="G28" s="29" t="n">
        <x:v>46288</x:v>
      </x:c>
    </x:row>
    <x:row r="29" ht="104" customHeight="1">
      <x:c r="A29" s="24" t="inlineStr">
        <x:is>
          <x:t xml:space="preserve">PROMO-01</x:t>
        </x:is>
      </x:c>
      <x:c r="B29" s="24" t="inlineStr">
        <x:is>
          <x:t xml:space="preserve">Banner, quảng cáo và voucher tương lai</x:t>
        </x:is>
      </x:c>
      <x:c r="C29" s="24" t="inlineStr">
        <x:is>
          <x:t xml:space="preserve">Đề xuất</x:t>
        </x:is>
      </x:c>
      <x:c r="D29" s="24" t="inlineStr">
        <x:is>
          <x:t xml:space="preserve">Các phương án chi tiết chỉ là nghiên cứu. PROMO-02 đã chốt toàn bộ nhóm nằm ngoài phase đầu; nguồn tài trợ, ngân sách và điều kiện triển khai tương lai chưa chốt.</x:t>
        </x:is>
      </x:c>
      <x:c r="E29" s="24" t="inlineStr">
        <x:is>
          <x:t xml:space="preserve">F04/F17/F20; hóa đơn/point/ví/admin/QA khi duyệt</x:t>
        </x:is>
      </x:c>
      <x:c r="F29" s="24" t="inlineStr">
        <x:is>
          <x:t xml:space="preserve">DOC-055 và yêu cầu brainstorm 23/09/2026</x:t>
        </x:is>
      </x:c>
      <x:c r="G29" s="29" t="n">
        <x:v>46288</x:v>
      </x:c>
    </x:row>
    <x:row r="30">
      <x:c r="A30" t="inlineStr">
        <x:is>
          <x:t xml:space="preserve">PROMO-02</x:t>
        </x:is>
      </x:c>
      <x:c r="B30" t="inlineStr">
        <x:is>
          <x:t xml:space="preserve">Hoãn toàn bộ nhóm quảng bá khỏi phase đầu</x:t>
        </x:is>
      </x:c>
      <x:c r="C30" t="inlineStr">
        <x:is>
          <x:t xml:space="preserve">Đã chốt</x:t>
        </x:is>
      </x:c>
      <x:c r="D30" t="inlineStr">
        <x:is>
          <x:t xml:space="preserve">Banner chiến dịch, quảng cáo partner, voucher và quản trị chiến dịch để mở rộng tương lai; phase đầu không thiết kế triển khai/phát triển. Chưa gán lịch phase sau. Point hiện hành giữ nguyên.</x:t>
        </x:is>
      </x:c>
      <x:c r="E30" t="inlineStr">
        <x:is>
          <x:t xml:space="preserve">F04/F17/F20</x:t>
        </x:is>
      </x:c>
      <x:c r="F30" t="inlineStr">
        <x:is>
          <x:t xml:space="preserve">Chủ dự án chốt sau xem DOC-055 ngày 23/09/2026</x:t>
        </x:is>
      </x:c>
      <x:c r="G30" s="30" t="n">
        <x:v>46288</x:v>
      </x:c>
    </x:row>
    <x:row r="31" ht="150" customHeight="1">
      <x:c r="A31" s="24" t="inlineStr">
        <x:is>
          <x:t xml:space="preserve">UI-05</x:t>
        </x:is>
      </x:c>
      <x:c r="B31" s="24" t="inlineStr">
        <x:is>
          <x:t xml:space="preserve">Làm gộp Design System và luồng khách hàng</x:t>
        </x:is>
      </x:c>
      <x:c r="C31" s="24" t="inlineStr">
        <x:is>
          <x:t xml:space="preserve">Đã chốt</x:t>
        </x:is>
      </x:c>
      <x:c r="D31" s="24" t="inlineStr">
        <x:is>
          <x:t xml:space="preserve">Chủ dự án đồng ý nhóm 1+2: nền tảng React/Storybook và luồng tìm/chat/thuê/công việc/hóa đơn/point/thanh toán/đánh giá. Đây là thiết kế để review, chưa triển khai sản phẩm; PROMO-02 và Q02 giữ nguyên.</x:t>
        </x:is>
      </x:c>
      <x:c r="E31" s="24" t="inlineStr">
        <x:is>
          <x:t xml:space="preserve">F04/F06/F09/F10/F11/F13/F17</x:t>
        </x:is>
      </x:c>
      <x:c r="F31" s="24" t="inlineStr">
        <x:is>
          <x:t xml:space="preserve">Chủ dự án: ok hãy làm như bạn nói, 23/09/2026</x:t>
        </x:is>
      </x:c>
      <x:c r="G31" s="29" t="n">
        <x:v>46288</x:v>
      </x:c>
    </x:row>
    <x:row r="32" ht="150" customHeight="1">
      <x:c r="A32" s="24" t="inlineStr">
        <x:is>
          <x:t xml:space="preserve">UI-06</x:t>
        </x:is>
      </x:c>
      <x:c r="B32" s="24" t="inlineStr">
        <x:is>
          <x:t xml:space="preserve">Tiếp tục UI partner và doanh nghiệp</x:t>
        </x:is>
      </x:c>
      <x:c r="C32" s="24" t="inlineStr">
        <x:is>
          <x:t xml:space="preserve">Đã chốt</x:t>
        </x:is>
      </x:c>
      <x:c r="D32" s="24" t="inlineStr">
        <x:is>
          <x:t xml:space="preserve">Chủ dự án đã xem UI khách và đồng ý làm tiếp nhóm partner/doanh nghiệp. Áp dụng nghiệp vụ đã chốt vào UI dùng chung dữ liệu mẫu; không phải phê duyệt triển khai production hoặc mở lại PROMO/Q02.</x:t>
        </x:is>
      </x:c>
      <x:c r="E32" s="24" t="inlineStr">
        <x:is>
          <x:t xml:space="preserve">F05/F08/F09/F10/F11/F12/F17</x:t>
        </x:is>
      </x:c>
      <x:c r="F32" s="24" t="inlineStr">
        <x:is>
          <x:t xml:space="preserve">Chủ dự án: tôi thấy ok rồi hãy làm phần tiếp theo, 23/09/2026</x:t>
        </x:is>
      </x:c>
      <x:c r="G32" s="29" t="n">
        <x:v>46288</x:v>
      </x:c>
    </x:row>
    <x:row r="33" ht="120" customHeight="1">
      <x:c r="A33" s="24" t="inlineStr">
        <x:is>
          <x:t xml:space="preserve">UI-07</x:t>
        </x:is>
      </x:c>
      <x:c r="B33" s="24" t="inlineStr">
        <x:is>
          <x:t xml:space="preserve">Thanh điều hướng dưới cho partner/doanh nghiệp</x:t>
        </x:is>
      </x:c>
      <x:c r="C33" s="24" t="inlineStr">
        <x:is>
          <x:t xml:space="preserve">Đã chốt</x:t>
        </x:is>
      </x:c>
      <x:c r="D33" s="24" t="inlineStr">
        <x:is>
          <x:t xml:space="preserve">Mobile dùng thanh dưới như khách, các mục theo quyền. Desktop giữ thanh ngang. Không đổi nghiệp vụ hoặc triển khai production.</x:t>
        </x:is>
      </x:c>
      <x:c r="E33" s="24" t="inlineStr">
        <x:is>
          <x:t xml:space="preserve">F17</x:t>
        </x:is>
      </x:c>
      <x:c r="F33" s="24" t="inlineStr">
        <x:is>
          <x:t xml:space="preserve">Chủ dự án yêu cầu thanh dưới cho partner và doanh nghiệp, 23/09/2026</x:t>
        </x:is>
      </x:c>
      <x:c r="G33" s="29" t="n">
        <x:v>46288</x:v>
      </x:c>
    </x:row>
    <x:row r="34" ht="120" customHeight="1">
      <x:c r="A34" s="24" t="inlineStr">
        <x:is>
          <x:t xml:space="preserve">UI-08</x:t>
        </x:is>
      </x:c>
      <x:c r="B34" s="24" t="inlineStr">
        <x:is>
          <x:t xml:space="preserve">Tiếp tục UI sau khi duyệt điều hướng partner</x:t>
        </x:is>
      </x:c>
      <x:c r="C34" s="24" t="inlineStr">
        <x:is>
          <x:t xml:space="preserve">Đã chốt</x:t>
        </x:is>
      </x:c>
      <x:c r="D34" s="24" t="inlineStr">
        <x:is>
          <x:t xml:space="preserve">Chủ dự án thấy ổn và yêu cầu tiếp tục. Chuyển hồ sơ năng lực đã có trong UX sang React, giữ điều hướng UI-07. Chi tiết giao diện hồ sơ mới để review; không phê duyệt production.</x:t>
        </x:is>
      </x:c>
      <x:c r="E34" s="24" t="inlineStr">
        <x:is>
          <x:t xml:space="preserve">F02/F03/F04/F06/F17</x:t>
        </x:is>
      </x:c>
      <x:c r="F34" s="24" t="inlineStr">
        <x:is>
          <x:t xml:space="preserve">Chủ dự án: ok tôi thấy ổn rồi, tiếp tục; 23/09/2026</x:t>
        </x:is>
      </x:c>
      <x:c r="G34" s="29" t="n">
        <x:v>46288</x:v>
      </x:c>
    </x:row>
    <x:row r="35" ht="120" customHeight="1">
      <x:c r="A35" s="24" t="inlineStr">
        <x:is>
          <x:t xml:space="preserve">UI-09</x:t>
        </x:is>
      </x:c>
      <x:c r="B35" s="24" t="inlineStr">
        <x:is>
          <x:t xml:space="preserve">Bộ chọn kỹ năng đa ngành</x:t>
        </x:is>
      </x:c>
      <x:c r="C35" s="24" t="inlineStr">
        <x:is>
          <x:t xml:space="preserve">Đã chốt</x:t>
        </x:is>
      </x:c>
      <x:c r="D35" s="24" t="inlineStr">
        <x:is>
          <x:t xml:space="preserve">Chủ dự án đồng ý hoàn thiện bộ chọn nhiều kỹ năng đa ngành, tìm kiếm, phân nhóm và danh sách đã chọn. Danh mục mẫu hiện có 10 ngành/20 kỹ năng; không giới hạn sản phẩm ở số lượng này.</x:t>
        </x:is>
      </x:c>
      <x:c r="E35" s="24" t="inlineStr">
        <x:is>
          <x:t xml:space="preserve">F02/F03/F04/F06/F17</x:t>
        </x:is>
      </x:c>
      <x:c r="F35" s="24" t="inlineStr">
        <x:is>
          <x:t xml:space="preserve">Chủ dự án: ok vậy tiếp tục đi; 23/09/2026</x:t>
        </x:is>
      </x:c>
      <x:c r="G35" s="29" t="n">
        <x:v>46288</x:v>
      </x:c>
    </x:row>
    <x:row r="36" ht="120" customHeight="1">
      <x:c r="A36" s="24" t="inlineStr">
        <x:is>
          <x:t xml:space="preserve">UI-10</x:t>
        </x:is>
      </x:c>
      <x:c r="B36" s="24" t="inlineStr">
        <x:is>
          <x:t xml:space="preserve">Tiếp tục nhóm đội ngũ doanh nghiệp</x:t>
        </x:is>
      </x:c>
      <x:c r="C36" s="24" t="inlineStr">
        <x:is>
          <x:t xml:space="preserve">Đã chốt</x:t>
        </x:is>
      </x:c>
      <x:c r="D36" s="24" t="inlineStr">
        <x:is>
          <x:t xml:space="preserve">Chủ dự án duyệt bộ chọn kỹ năng và yêu cầu tiếp tục. Áp dụng nghiệp vụ đội ngũ đã có sang React; giao diện mới để review. Quyền tùy chỉnh chưa chuyển; chuyển chủ/đóng doanh nghiệp vẫn pending.</x:t>
        </x:is>
      </x:c>
      <x:c r="E36" s="24" t="inlineStr">
        <x:is>
          <x:t xml:space="preserve">F08/F09/F17</x:t>
        </x:is>
      </x:c>
      <x:c r="F36" s="24" t="inlineStr">
        <x:is>
          <x:t xml:space="preserve">Chủ dự án: ok tôi đã thấy ổn, tiếp theo; 23/09/2026</x:t>
        </x:is>
      </x:c>
      <x:c r="G36" s="29" t="n">
        <x:v>46288</x:v>
      </x:c>
    </x:row>
    <x:row r="37" ht="120" customHeight="1">
      <x:c r="A37" s="24" t="inlineStr">
        <x:is>
          <x:t xml:space="preserve">UI-11</x:t>
        </x:is>
      </x:c>
      <x:c r="B37" s="24" t="inlineStr">
        <x:is>
          <x:t xml:space="preserve">Tiếp tục lời mời và tài khoản nhân viên</x:t>
        </x:is>
      </x:c>
      <x:c r="C37" s="24" t="inlineStr">
        <x:is>
          <x:t xml:space="preserve">Đã chốt</x:t>
        </x:is>
      </x:c>
      <x:c r="D37" s="24" t="inlineStr">
        <x:is>
          <x:t xml:space="preserve">Chủ dự án yêu cầu tiếp tục; chuyển gửi lại lời mời và tự rời đã có sang React, thêm Tài khoản nhân viên. Giao diện mới để review; quyền tùy chỉnh chưa chuyển.</x:t>
        </x:is>
      </x:c>
      <x:c r="E37" s="24" t="inlineStr">
        <x:is>
          <x:t xml:space="preserve">F08/F09/F17</x:t>
        </x:is>
      </x:c>
      <x:c r="F37" s="24" t="inlineStr">
        <x:is>
          <x:t xml:space="preserve">Chủ dự án: ok tiếp tục; 23/09/2026</x:t>
        </x:is>
      </x:c>
      <x:c r="G37" s="29" t="n">
        <x:v>46288</x:v>
      </x:c>
    </x:row>
    <x:row r="38" ht="120" customHeight="1">
      <x:c r="A38" s="24" t="inlineStr">
        <x:is>
          <x:t xml:space="preserve">UI-12</x:t>
        </x:is>
      </x:c>
      <x:c r="B38" s="24" t="inlineStr">
        <x:is>
          <x:t xml:space="preserve">Làm gộp đợt 1: tài khoản, địa chỉ, đăng ký partner</x:t>
        </x:is>
      </x:c>
      <x:c r="C38" s="24" t="inlineStr">
        <x:is>
          <x:t xml:space="preserve">Đã chốt</x:t>
        </x:is>
      </x:c>
      <x:c r="D38" s="24" t="inlineStr">
        <x:is>
          <x:t xml:space="preserve">Chủ dự án đồng ý bắt đầu đợt 1 theo danh sách nhóm. Chuyển nghiệp vụ đã có sang React; chi tiết UI mới để review, không phê duyệt backend hoặc mở phạm vi pending.</x:t>
        </x:is>
      </x:c>
      <x:c r="E38" s="24" t="inlineStr">
        <x:is>
          <x:t xml:space="preserve">F01/F03/F04/F06/F17</x:t>
        </x:is>
      </x:c>
      <x:c r="F38" s="24" t="inlineStr">
        <x:is>
          <x:t xml:space="preserve">Chủ dự án: ok bắt đầu từ 1 đi; 23/09/2026</x:t>
        </x:is>
      </x:c>
      <x:c r="G38" s="29" t="n">
        <x:v>46288</x:v>
      </x:c>
    </x:row>
    <x:row r="39">
      <x:c r="A39" t="inlineStr">
        <x:is>
          <x:t xml:space="preserve">UI-13</x:t>
        </x:is>
      </x:c>
      <x:c r="B39" t="inlineStr">
        <x:is>
          <x:t xml:space="preserve">Vị trí Point trong Tài khoản</x:t>
        </x:is>
      </x:c>
      <x:c r="C39" t="inlineStr">
        <x:is>
          <x:t xml:space="preserve">Đã chốt</x:t>
        </x:is>
      </x:c>
      <x:c r="D39" t="inlineStr">
        <x:is>
          <x:t xml:space="preserve">Thẻ ngang xanh nhạt ngay dưới lời chào, trước mục quản lý; số point + quy đổi + mô tả ngắn; cùng thứ tự desktop/mobile.</x:t>
        </x:is>
      </x:c>
      <x:c r="E39" t="inlineStr">
        <x:is>
          <x:t xml:space="preserve">F01/F17</x:t>
        </x:is>
      </x:c>
      <x:c r="F39" t="inlineStr">
        <x:is>
          <x:t xml:space="preserve">Chủ dự án: ok; 23/09/2026</x:t>
        </x:is>
      </x:c>
      <x:c r="G39" s="30" t="n">
        <x:v>46288</x:v>
      </x:c>
    </x:row>
    <x:row r="40">
      <x:c r="A40" t="inlineStr">
        <x:is>
          <x:t xml:space="preserve">UI-14</x:t>
        </x:is>
      </x:c>
      <x:c r="B40" t="inlineStr">
        <x:is>
          <x:t xml:space="preserve">Tiếp tục đợt 2 sau tài khoản</x:t>
        </x:is>
      </x:c>
      <x:c r="C40" t="inlineStr">
        <x:is>
          <x:t xml:space="preserve">Đã chốt</x:t>
        </x:is>
      </x:c>
      <x:c r="D40" t="inlineStr">
        <x:is>
          <x:t xml:space="preserve">Gộp công việc/đánh giá/liên lạc/thông báo theo danh sách đã đề xuất. Chi tiết UI mới để review; không mở các mục pending hoặc production.</x:t>
        </x:is>
      </x:c>
      <x:c r="E40" t="inlineStr">
        <x:is>
          <x:t xml:space="preserve">F06/F07/F09/F13/F17</x:t>
        </x:is>
      </x:c>
      <x:c r="F40" t="inlineStr">
        <x:is>
          <x:t xml:space="preserve">Chủ dự án: ok làm phần tiếp đi; 23/09/2026</x:t>
        </x:is>
      </x:c>
      <x:c r="G40" s="30" t="n">
        <x:v>46288</x:v>
      </x:c>
    </x:row>
    <x:row r="41">
      <x:c r="A41" t="inlineStr">
        <x:is>
          <x:t xml:space="preserve">UI-15</x:t>
        </x:is>
      </x:c>
      <x:c r="B41" t="inlineStr">
        <x:is>
          <x:t xml:space="preserve">Tách Thông báo / Tin nhắn / Cài đặt</x:t>
        </x:is>
      </x:c>
      <x:c r="C41" t="inlineStr">
        <x:is>
          <x:t xml:space="preserve">Đã chốt</x:t>
        </x:is>
      </x:c>
      <x:c r="D41" t="inlineStr">
        <x:is>
          <x:t xml:space="preserve">Chuông header có số chưa đọc, trang thông báo riêng; cài đặt trong Tài khoản. Partner chuyển Hồ sơ/Đội ngũ vào Tài khoản, giữ quyền hiện có.</x:t>
        </x:is>
      </x:c>
      <x:c r="E41" t="inlineStr">
        <x:is>
          <x:t xml:space="preserve">F01/F08/F09/F17</x:t>
        </x:is>
      </x:c>
      <x:c r="F41" t="inlineStr">
        <x:is>
          <x:t xml:space="preserve">Chủ dự án: ok làm đi sau đề xuất điều hướng; 23/09/2026</x:t>
        </x:is>
      </x:c>
      <x:c r="G41" s="30" t="n">
        <x:v>46288</x:v>
      </x:c>
    </x:row>
    <x:row r="42">
      <x:c r="A42" t="inlineStr">
        <x:is>
          <x:t xml:space="preserve">UI-16</x:t>
        </x:is>
      </x:c>
      <x:c r="B42" t="inlineStr">
        <x:is>
          <x:t xml:space="preserve">Avatar vào tài khoản / tab Thông báo</x:t>
        </x:is>
      </x:c>
      <x:c r="C42" t="inlineStr">
        <x:is>
          <x:t xml:space="preserve">Đã chốt</x:t>
        </x:is>
      </x:c>
      <x:c r="D42" t="inlineStr">
        <x:is>
          <x:t xml:space="preserve">Giữ avatar header vào Tài khoản; bỏ chuông header. Thông báo thay Tài khoản trong điều hướng khách/partner, có số chưa đọc. Cài đặt/Hồ sơ/Đội ngũ giữ trong Tài khoản.</x:t>
        </x:is>
      </x:c>
      <x:c r="E42" t="inlineStr">
        <x:is>
          <x:t xml:space="preserve">F01/F08/F09/F17</x:t>
        </x:is>
      </x:c>
      <x:c r="F42" t="inlineStr">
        <x:is>
          <x:t xml:space="preserve">Chủ dự án: ok làm đi theo sửa đổi trực tiếp về vị trí avatar và thông báo; 23/09/2026</x:t>
        </x:is>
      </x:c>
      <x:c r="G42" s="30" t="n">
        <x:v>46288</x:v>
      </x:c>
    </x:row>
    <x:row r="43">
      <x:c r="A43" t="inlineStr">
        <x:is>
          <x:t xml:space="preserve">UI-17</x:t>
        </x:is>
      </x:c>
      <x:c r="B43" t="inlineStr">
        <x:is>
          <x:t xml:space="preserve">Tiếp tục thiết kế ví / doanh nghiệp</x:t>
        </x:is>
      </x:c>
      <x:c r="C43" t="inlineStr">
        <x:is>
          <x:t xml:space="preserve">Đã chốt</x:t>
        </x:is>
      </x:c>
      <x:c r="D43" t="inlineStr">
        <x:is>
          <x:t xml:space="preserve">Chủ dự án yêu cầu tiếp tục. Chuyển UI ví/ngân hàng và xem quyền theo nghiệp vụ đã chốt; chi tiết mới để review. Không coi toàn bộ nhóm 3 đã hoàn tất.</x:t>
        </x:is>
      </x:c>
      <x:c r="E43" t="inlineStr">
        <x:is>
          <x:t xml:space="preserve">F08/F12/F17</x:t>
        </x:is>
      </x:c>
      <x:c r="F43" t="inlineStr">
        <x:is>
          <x:t xml:space="preserve">Chủ dự án: tiếp tục đi; 26/09/2026</x:t>
        </x:is>
      </x:c>
      <x:c r="G43" s="30" t="n">
        <x:v>46291</x:v>
      </x:c>
    </x:row>
    <x:row r="44">
      <x:c r="A44" t="inlineStr">
        <x:is>
          <x:t xml:space="preserve">UI-18</x:t>
        </x:is>
      </x:c>
      <x:c r="B44" t="inlineStr">
        <x:is>
          <x:t xml:space="preserve">Tiếp tục phân quyền và duyệt tài chính</x:t>
        </x:is>
      </x:c>
      <x:c r="C44" t="inlineStr">
        <x:is>
          <x:t xml:space="preserve">Đã chốt</x:t>
        </x:is>
      </x:c>
      <x:c r="D44" t="inlineStr">
        <x:is>
          <x:t xml:space="preserve">Chủ dự án yêu cầu tiếp tục sau UI-17: cấp quyền, bank lần đầu, admin duyệt. Áp dụng baseline quyền/luồng; chi tiết UI mới để review, không production.</x:t>
        </x:is>
      </x:c>
      <x:c r="E44" t="inlineStr">
        <x:is>
          <x:t xml:space="preserve">F08/F12/F16/F17</x:t>
        </x:is>
      </x:c>
      <x:c r="F44" t="inlineStr">
        <x:is>
          <x:t xml:space="preserve">Chủ dự án: tiếp tục; 27/09/2026</x:t>
        </x:is>
      </x:c>
      <x:c r="G44" s="30" t="n">
        <x:v>46292</x:v>
      </x:c>
    </x:row>
    <x:row r="45">
      <x:c r="A45" t="inlineStr">
        <x:is>
          <x:t xml:space="preserve">UI-19</x:t>
        </x:is>
      </x:c>
      <x:c r="B45" t="inlineStr">
        <x:is>
          <x:t xml:space="preserve">Tiếp tục hỗ trợ và kiểm duyệt</x:t>
        </x:is>
      </x:c>
      <x:c r="C45" t="inlineStr">
        <x:is>
          <x:t xml:space="preserve">Đã chốt</x:t>
        </x:is>
      </x:c>
      <x:c r="D45" t="inlineStr">
        <x:is>
          <x:t xml:space="preserve">Chủ dự án yêu cầu tiếp tục: chuyển hỗ trợ, admin xác minh và đánh giá sang React theo nghiệp vụ cũ; chi tiết UI mới để review, không production.</x:t>
        </x:is>
      </x:c>
      <x:c r="E45" t="inlineStr">
        <x:is>
          <x:t xml:space="preserve">F03/F13/F14/F16/F17</x:t>
        </x:is>
      </x:c>
      <x:c r="F45" t="inlineStr">
        <x:is>
          <x:t xml:space="preserve">Chủ dự án: ok tiếp; 27/09/2026</x:t>
        </x:is>
      </x:c>
      <x:c r="G45" s="30" t="n">
        <x:v>46292</x:v>
      </x:c>
    </x:row>
    <x:row r="46">
      <x:c r="A46" t="inlineStr">
        <x:is>
          <x:t xml:space="preserve">UI-20</x:t>
        </x:is>
      </x:c>
      <x:c r="B46" t="inlineStr">
        <x:is>
          <x:t xml:space="preserve">Tiếp tục nhóm quản trị vận hành</x:t>
        </x:is>
      </x:c>
      <x:c r="C46" t="inlineStr">
        <x:is>
          <x:t xml:space="preserve">Đã chốt</x:t>
        </x:is>
      </x:c>
      <x:c r="D46" t="inlineStr">
        <x:is>
          <x:t xml:space="preserve">Chủ dự án yêu cầu tiếp tục nhóm màn còn lại: quản trị tài khoản, partner, danh mục và báo cáo. Theo nghiệp vụ đã chốt; UI để review, không production.</x:t>
        </x:is>
      </x:c>
      <x:c r="E46" t="inlineStr">
        <x:is>
          <x:t xml:space="preserve">F01/F02/F03/F05/F16/F17</x:t>
        </x:is>
      </x:c>
      <x:c r="F46" t="inlineStr">
        <x:is>
          <x:t xml:space="preserve">Chủ dự án: ok tiếp; 27/09/2026</x:t>
        </x:is>
      </x:c>
      <x:c r="G46" s="30" t="n">
        <x:v>46292</x:v>
      </x:c>
    </x:row>
    <x:row r="47">
      <x:c r="A47" t="inlineStr">
        <x:is>
          <x:t xml:space="preserve">UI-21</x:t>
        </x:is>
      </x:c>
      <x:c r="B47" t="inlineStr">
        <x:is>
          <x:t xml:space="preserve">Rà soát luồng prototype</x:t>
        </x:is>
      </x:c>
      <x:c r="C47" t="inlineStr">
        <x:is>
          <x:t xml:space="preserve">Đã chốt</x:t>
        </x:is>
      </x:c>
      <x:c r="D47" t="inlineStr">
        <x:is>
          <x:t xml:space="preserve">Chủ dự án yêu cầu tiếp tục rà soát; sửa lỗi nối màn theo nghiệp vụ hiện hành. Không đổi quy tắc tài chính hoặc phê duyệt sản phẩm thật.</x:t>
        </x:is>
      </x:c>
      <x:c r="E47" t="inlineStr">
        <x:is>
          <x:t xml:space="preserve">F02/F05/F06/F08/F09/F10/F11/F16/F17</x:t>
        </x:is>
      </x:c>
      <x:c r="F47" t="inlineStr">
        <x:is>
          <x:t xml:space="preserve">Chủ dự án: ok tiếp; 27/09/2026</x:t>
        </x:is>
      </x:c>
      <x:c r="G47" s="30" t="n">
        <x:v>46292</x:v>
      </x:c>
    </x:row>
    <x:row r="48">
      <x:c r="A48" t="inlineStr">
        <x:is>
          <x:t xml:space="preserve">HANDOFF-01</x:t>
        </x:is>
      </x:c>
      <x:c r="B48" t="inlineStr">
        <x:is>
          <x:t xml:space="preserve">Tạo prompt bàn giao triển khai</x:t>
        </x:is>
      </x:c>
      <x:c r="C48" t="inlineStr">
        <x:is>
          <x:t xml:space="preserve">Đã chốt</x:t>
        </x:is>
      </x:c>
      <x:c r="D48" t="inlineStr">
        <x:is>
          <x:t xml:space="preserve">Chủ dự án yêu cầu tạo tài liệu để đưa cho Codex. Tài liệu giới hạn Đợt 1 khi được kích hoạt; không tự triển khai sản phẩm trong lượt soạn prompt.</x:t>
        </x:is>
      </x:c>
      <x:c r="E48" t="inlineStr">
        <x:is>
          <x:t xml:space="preserve">F18/F19/F20</x:t>
        </x:is>
      </x:c>
      <x:c r="F48" t="inlineStr">
        <x:is>
          <x:t xml:space="preserve">Chủ dự án yêu cầu tài liệu dạng prompt; 27/09/2026</x:t>
        </x:is>
      </x:c>
      <x:c r="G48" s="30" t="n">
        <x:v>46292</x:v>
      </x:c>
    </x:row>
    <x:row r="49" ht="130" customHeight="1">
      <x:c r="A49" s="24" t="inlineStr">
        <x:is>
          <x:t xml:space="preserve">IMPLEMENT-01</x:t>
        </x:is>
      </x:c>
      <x:c r="B49" s="24" t="inlineStr">
        <x:is>
          <x:t xml:space="preserve">Triển khai Đợt 1</x:t>
        </x:is>
      </x:c>
      <x:c r="C49" s="24" t="inlineStr">
        <x:is>
          <x:t xml:space="preserve">Đã chốt</x:t>
        </x:is>
      </x:c>
      <x:c r="D49" s="24" t="inlineStr">
        <x:is>
          <x:t xml:space="preserve">Chủ dự án giao thực hiện DOC-064 Đợt 1: kiểm hiện trạng, app/API/PostgreSQL local thật, kiểm thử và đồng bộ tài liệu. Chưa production/tiền thật; không tự mở roadmap.</x:t>
        </x:is>
      </x:c>
      <x:c r="E49" s="24" t="inlineStr">
        <x:is>
          <x:t xml:space="preserve">F02/F18/F20</x:t>
        </x:is>
      </x:c>
      <x:c r="F49" s="24" t="inlineStr">
        <x:is>
          <x:t xml:space="preserve">Yêu cầu trực tiếp 28/09/2026; DOC-064; DOC-065</x:t>
        </x:is>
      </x:c>
      <x:c r="G49" s="29" t="n">
        <x:v>46293</x:v>
      </x:c>
    </x:row>
    <x:row r="50" ht="130" customHeight="1">
      <x:c r="A50" s="24" t="inlineStr">
        <x:is>
          <x:t xml:space="preserve">TECH-01</x:t>
        </x:is>
      </x:c>
      <x:c r="B50" s="24" t="inlineStr">
        <x:is>
          <x:t xml:space="preserve">Chi tiết nền tảng trong phạm vi được giao</x:t>
        </x:is>
      </x:c>
      <x:c r="C50" s="24" t="inlineStr">
        <x:is>
          <x:t xml:space="preserve">Đã chốt</x:t>
        </x:is>
      </x:c>
      <x:c r="D50" s="24" t="inlineStr">
        <x:is>
          <x:t xml:space="preserve">Quyết định kỹ thuật của Codex theo quyền DOC-064: npm workspace, Node24.7/npm11.5.1, Expo57/Nest12, pg+SQL migration, PostgreSQL17/PostGIS3.5; ADR-001 giải thích. Không phải chủ dự án duyệt production.</x:t>
        </x:is>
      </x:c>
      <x:c r="E50" s="24" t="inlineStr">
        <x:is>
          <x:t xml:space="preserve">F02/F18</x:t>
        </x:is>
      </x:c>
      <x:c r="F50" s="24" t="inlineStr">
        <x:is>
          <x:t xml:space="preserve">DOC-066 ADR-001; package-lock; Compose; tests DOC-065</x:t>
        </x:is>
      </x:c>
      <x:c r="G50" s="29" t="n">
        <x:v>46293</x:v>
      </x:c>
    </x:row>
    <x:row r="51" ht="130" customHeight="1">
      <x:c r="A51" s="24" t="inlineStr">
        <x:is>
          <x:t xml:space="preserve">IMPL-OPEN-01</x:t>
        </x:is>
      </x:c>
      <x:c r="B51" s="24" t="inlineStr">
        <x:is>
          <x:t xml:space="preserve">Native và repository/remote CI</x:t>
        </x:is>
      </x:c>
      <x:c r="C51" s="24" t="inlineStr">
        <x:is>
          <x:t xml:space="preserve">Pending</x:t>
        </x:is>
      </x:c>
      <x:c r="D51" s="24" t="inlineStr">
        <x:is>
          <x:t xml:space="preserve">Native còn thiếu simctl/adb/thiết bị. Repository đã chỉ định theo REPO-01 và push main thành công; remote CI chưa kích hoạt.</x:t>
        </x:is>
      </x:c>
      <x:c r="E51" s="24" t="inlineStr">
        <x:is>
          <x:t xml:space="preserve">F18</x:t>
        </x:is>
      </x:c>
      <x:c r="F51" s="24" t="inlineStr">
        <x:is>
          <x:t xml:space="preserve">Baseline và giới hạn DOC-065; không đổi tiêu chí nghiệm thu</x:t>
        </x:is>
      </x:c>
      <x:c r="G51" s="29" t="n">
        <x:v>46293</x:v>
      </x:c>
    </x:row>
    <x:row r="52" ht="90" customHeight="1">
      <x:c r="A52" s="24" t="inlineStr">
        <x:is>
          <x:t xml:space="preserve">REPO-01</x:t>
        </x:is>
      </x:c>
      <x:c r="B52" s="24" t="inlineStr">
        <x:is>
          <x:t xml:space="preserve">Repository dự án và push code</x:t>
        </x:is>
      </x:c>
      <x:c r="C52" s="24" t="inlineStr">
        <x:is>
          <x:t xml:space="preserve">Đã chốt</x:t>
        </x:is>
      </x:c>
      <x:c r="D52" s="24" t="inlineStr">
        <x:is>
          <x:t xml:space="preserve">Chủ dự án chỉ định https://github.com/anhthaingd/dich-vu-quanh-ban và yêu cầu push. Tạo Git riêng trong dự án, không sửa Git cha; không force-push hoặc deployment.</x:t>
        </x:is>
      </x:c>
      <x:c r="E52" s="24" t="inlineStr">
        <x:is>
          <x:t xml:space="preserve">F18/F20</x:t>
        </x:is>
      </x:c>
      <x:c r="F52" s="24" t="inlineStr">
        <x:is>
          <x:t xml:space="preserve">Yêu cầu trực tiếp 28/09/2026; README; DOC-065 v1.2; origin/main: 1f070655aad0a0487b8d600e84554daa95b5465d. Repo private, không force-push.</x:t>
        </x:is>
      </x:c>
      <x:c r="G52" s="29" t="n">
        <x:v>46293</x:v>
      </x:c>
    </x:row>
    <x:row r="53" ht="100" customHeight="1">
      <x:c r="A53" s="24" t="inlineStr">
        <x:is>
          <x:t xml:space="preserve">LOGTEST-REQ-01</x:t>
        </x:is>
      </x:c>
      <x:c r="B53" s="24" t="inlineStr">
        <x:is>
          <x:t xml:space="preserve">Làm log/test chỉn chu từ dự án thực tế</x:t>
        </x:is>
      </x:c>
      <x:c r="C53" s="24" t="inlineStr">
        <x:is>
          <x:t xml:space="preserve">Đã chốt</x:t>
        </x:is>
      </x:c>
      <x:c r="D53" s="24" t="inlineStr">
        <x:is>
          <x:t xml:space="preserve">Chủ dự án yêu cầu tham khảo bộ log/test của các dự án nổi tiếng để áp dụng cho dự án. Không mở production/tiền thật.</x:t>
        </x:is>
      </x:c>
      <x:c r="E53" s="24" t="inlineStr">
        <x:is>
          <x:t xml:space="preserve">F18/F20</x:t>
        </x:is>
      </x:c>
      <x:c r="F53" s="24" t="inlineStr">
        <x:is>
          <x:t xml:space="preserve">Yêu cầu trực tiếp 28/09/2026; DOC-069 v0.1</x:t>
        </x:is>
      </x:c>
      <x:c r="G53" s="29" t="n">
        <x:v>46293</x:v>
      </x:c>
    </x:row>
    <x:row r="54" ht="100" customHeight="1">
      <x:c r="A54" s="24" t="inlineStr">
        <x:is>
          <x:t xml:space="preserve">LOGTEST-DESIGN-01</x:t>
        </x:is>
      </x:c>
      <x:c r="B54" s="24" t="inlineStr">
        <x:is>
          <x:t xml:space="preserve">Thiết kế phương án A log/test</x:t>
        </x:is>
      </x:c>
      <x:c r="C54" s="24" t="inlineStr">
        <x:is>
          <x:t xml:space="preserve">Đã chốt</x:t>
        </x:is>
      </x:c>
      <x:c r="D54" s="24" t="inlineStr">
        <x:is>
          <x:t xml:space="preserve">Chủ dự án duyệt phương án A theo DOC-069 v0.2. Ưu tiên hoàn thiện khung STRUCTURE-01 trước rồi triển khai log/test; chưa production hoặc tiền thật.</x:t>
        </x:is>
      </x:c>
      <x:c r="E54" s="24" t="inlineStr">
        <x:is>
          <x:t xml:space="preserve">F18/F20</x:t>
        </x:is>
      </x:c>
      <x:c r="F54" s="24" t="inlineStr">
        <x:is>
          <x:t xml:space="preserve">DOC-069 v0.3 đã duyệt; LOGTEST-01 triển khai/kiểm local tại DOC-071 v1.0; native/remoteCI chưa nghiệm thu</x:t>
        </x:is>
      </x:c>
      <x:c r="G54" s="29" t="n">
        <x:v>46293</x:v>
      </x:c>
    </x:row>
    <x:row r="55" ht="125" customHeight="1">
      <x:c r="A55" s="24" t="inlineStr">
        <x:is>
          <x:t xml:space="preserve">STRUCTURE-01</x:t>
        </x:is>
      </x:c>
      <x:c r="B55" s="24" t="inlineStr">
        <x:is>
          <x:t xml:space="preserve">Hoàn thiện khung trước chức năng</x:t>
        </x:is>
      </x:c>
      <x:c r="C55" s="24" t="inlineStr">
        <x:is>
          <x:t xml:space="preserve">Đã chốt</x:t>
        </x:is>
      </x:c>
      <x:c r="D55" s="24" t="inlineStr">
        <x:is>
          <x:t xml:space="preserve">Tổ chức mobile theo feature, API theo module; dành chỗ các miền và shared packages bằng .gitkeep, tách scripts/test/infra. Giữ nghiệp vụ danh mục hiện hành; chưa mở production/tiền thật.</x:t>
        </x:is>
      </x:c>
      <x:c r="E55" s="24" t="inlineStr">
        <x:is>
          <x:t xml:space="preserve">F17/F18/F20</x:t>
        </x:is>
      </x:c>
      <x:c r="F55" s="24" t="inlineStr">
        <x:is>
          <x:t xml:space="preserve">Chủ dự án yêu cầu trực tiếp 28/09/2026; DOC-070 v1.0; tham khảo Expo/Mattermost/Immich/Vendure.</x:t>
        </x:is>
      </x:c>
      <x:c r="G55" s="29" t="n">
        <x:v>46293</x:v>
      </x:c>
    </x:row>
    <x:row r="56" ht="115" customHeight="1">
      <x:c r="A56" s="24" t="inlineStr">
        <x:is>
          <x:t xml:space="preserve">LOGTEST-01</x:t>
        </x:is>
      </x:c>
      <x:c r="B56" s="24" t="inlineStr">
        <x:is>
          <x:t xml:space="preserve">Triển khai log/test phương án A</x:t>
        </x:is>
      </x:c>
      <x:c r="C56" s="24" t="inlineStr">
        <x:is>
          <x:t xml:space="preserve">Đã chốt</x:t>
        </x:is>
      </x:c>
      <x:c r="D56" s="24" t="inlineStr">
        <x:is>
          <x:t xml:space="preserve">Chủ dự án giao triển khai phương án A đã duyệt sau khung STRUCTURE-01. Đã kiểm local; native BLOCKED và remoteCI chưa chạy, không production/tiền thật/telemetry ngoài.</x:t>
        </x:is>
      </x:c>
      <x:c r="E56" s="24" t="inlineStr">
        <x:is>
          <x:t xml:space="preserve">F02/F17/F18/F20</x:t>
        </x:is>
      </x:c>
      <x:c r="F56" s="24" t="inlineStr">
        <x:is>
          <x:t xml:space="preserve">Yêu cầu trực tiếp28/09/2026; DOC-069 v0.3 và DOC-071 v1.0; không commit/push mới.</x:t>
        </x:is>
      </x:c>
      <x:c r="G56" s="29" t="n">
        <x:v>46293</x:v>
      </x:c>
    </x:row>
    <x:row r="57" ht="150" customHeight="1">
      <x:c r="A57" s="24" t="inlineStr">
        <x:is>
          <x:t xml:space="preserve">MOBILE-GUIDE-01</x:t>
        </x:is>
      </x:c>
      <x:c r="B57" s="24" t="inlineStr">
        <x:is>
          <x:t xml:space="preserve">Tạo thư mục hướng dẫn phát triển mobile</x:t>
        </x:is>
      </x:c>
      <x:c r="C57" s="24" t="inlineStr">
        <x:is>
          <x:t xml:space="preserve">Đã chốt</x:t>
        </x:is>
      </x:c>
      <x:c r="D57" s="24" t="inlineStr">
        <x:is>
          <x:t xml:space="preserve">Chủ dự án yêu cầu hướng dẫn chi tiết và báo đã nâng macOS27; đã kiểm sw_vers27.0. Tạo docs/huong-dan-mobile và đăng ký tài liệu. Không tự suy ra đã cài tool, triển khai native hoặc duyệt thư viện navigation.</x:t>
        </x:is>
      </x:c>
      <x:c r="E57" s="24" t="inlineStr">
        <x:is>
          <x:t xml:space="preserve">F17/F18/F20</x:t>
        </x:is>
      </x:c>
      <x:c r="F57" s="24" t="inlineStr">
        <x:is>
          <x:t xml:space="preserve">Yêu cầu trực tiếp29/09/2026; DOC-072–081 v1.0; macOS27.0 build26A428; Xcode/Android SDK/Java/Maestro chưa sẵn sàng.</x:t>
        </x:is>
      </x:c>
      <x:c r="G57" s="29" t="n">
        <x:v>46294</x:v>
      </x:c>
    </x:row>
    <x:row r="58" ht="85" customHeight="1">
      <x:c r="A58" s="24" t="inlineStr">
        <x:is>
          <x:t xml:space="preserve">PATH-01</x:t>
        </x:is>
      </x:c>
      <x:c r="B58" s="24" t="inlineStr">
        <x:is>
          <x:t xml:space="preserve">Dùng docs, bỏ lối tắt outputs</x:t>
        </x:is>
      </x:c>
      <x:c r="C58" s="24" t="inlineStr">
        <x:is>
          <x:t xml:space="preserve">Đã chốt</x:t>
        </x:is>
      </x:c>
      <x:c r="D58" s="24" t="inlineStr">
        <x:is>
          <x:t xml:space="preserve">Chủ dự án yêu cầu chỉ giữ một đường dẫn tài liệu. Bỏ symlink outputs, giữ docs; apps/ui trỏ trực tiếp ui-ux/prototype. Cập nhật đường dẫn hiện hành, giữ lịch sử; không mở rộng sang xóa các alias khác hoặc ZIP.</x:t>
        </x:is>
      </x:c>
      <x:c r="E58" s="24" t="inlineStr">
        <x:is>
          <x:t xml:space="preserve">F17/F18/F20</x:t>
        </x:is>
      </x:c>
      <x:c r="F58" s="24" t="inlineStr">
        <x:is>
          <x:t xml:space="preserve">Yêu cầu trực tiếp 29/09/2026; README v0.4, DOC-064 v1.4, DOC-065 v1.5, DOC-070 v1.2; kiểm symlink, bảo toàn file docs, cú pháp helper và ZIP parity.</x:t>
        </x:is>
      </x:c>
      <x:c r="G58" s="30" t="n">
        <x:v>46294</x:v>
      </x:c>
    </x:row>
    <x:row r="59" ht="120" customHeight="1">
      <x:c r="A59" s="24" t="inlineStr">
        <x:is>
          <x:t xml:space="preserve">NATIVE-B-01</x:t>
        </x:is>
      </x:c>
      <x:c r="B59" s="24" t="inlineStr">
        <x:is>
          <x:t xml:space="preserve">Kiểm môi trường và triển khai development build phần B</x:t>
        </x:is>
      </x:c>
      <x:c r="C59" s="24" t="inlineStr">
        <x:is>
          <x:t xml:space="preserve">Đã chốt</x:t>
        </x:is>
      </x:c>
      <x:c r="D59" s="24" t="inlineStr">
        <x:is>
          <x:t xml:space="preserve">Chủ dự án xác nhận đã cài Android/iOS, mở hai máy ảo và giao Codex kiểm rồi làm phần B. Thực hiện CNG/dev-client, ID/scheme, HTTP Debug-only và scripts; chưa build/cài binary hoặc nghiệm thu native E2E, không production/tiền thật.</x:t>
        </x:is>
      </x:c>
      <x:c r="E59" s="24" t="inlineStr">
        <x:is>
          <x:t xml:space="preserve">F17/F18/F20</x:t>
        </x:is>
      </x:c>
      <x:c r="F59" s="24" t="inlineStr">
        <x:is>
          <x:t xml:space="preserve">Yêu cầu trực tiếp29/09/2026; DOC-076 v1.1; preflight và generated config/tests PASS. Chưa commit/push.</x:t>
        </x:is>
      </x:c>
      <x:c r="G59" s="29" t="n">
        <x:v>46294</x:v>
      </x:c>
    </x:row>
    <x:row r="60" ht="150" customHeight="1">
      <x:c r="A60" s="24" t="inlineStr">
        <x:is>
          <x:t xml:space="preserve">MCP-01</x:t>
        </x:is>
      </x:c>
      <x:c r="B60" s="24" t="inlineStr">
        <x:is>
          <x:t xml:space="preserve">Kết nối Mobile MCP tới Codex</x:t>
        </x:is>
      </x:c>
      <x:c r="C60" s="24" t="inlineStr">
        <x:is>
          <x:t xml:space="preserve">Đã chốt</x:t>
        </x:is>
      </x:c>
      <x:c r="D60" s="24" t="inlineStr">
        <x:is>
          <x:t xml:space="preserve">Chủ dự án yêu cầu làm bài05. Kết nối Mobile MCP local và kiểm Android/iOS. Expo MCP tùy chọn chưa cài; không production/tiền thật.</x:t>
        </x:is>
      </x:c>
      <x:c r="E60" s="24" t="inlineStr">
        <x:is>
          <x:t xml:space="preserve">F17/F18/F20</x:t>
        </x:is>
      </x:c>
      <x:c r="F60" s="24" t="inlineStr">
        <x:is>
          <x:t xml:space="preserve">Yêu cầu trực tiếp30/09/2026; DOC-077/078 v1.1. Server/tool qua stdio PASS; tool trong phiên IDE mới cần nạp lại.</x:t>
        </x:is>
      </x:c>
      <x:c r="G60" s="29" t="n">
        <x:v>46295</x:v>
      </x:c>
    </x:row>
    <x:row r="61" ht="150" customHeight="1">
      <x:c r="A61" s="24" t="inlineStr">
        <x:is>
          <x:t xml:space="preserve">EXPO-MCP-01</x:t>
        </x:is>
      </x:c>
      <x:c r="B61" s="24" t="inlineStr">
        <x:is>
          <x:t xml:space="preserve">Cài Expo MCP, chỉ dùng tính năng miễn phí</x:t>
        </x:is>
      </x:c>
      <x:c r="C61" s="24" t="inlineStr">
        <x:is>
          <x:t xml:space="preserve">Đã chốt</x:t>
        </x:is>
      </x:c>
      <x:c r="D61" s="24" t="inlineStr">
        <x:is>
          <x:t xml:space="preserve">Chủ dự án yêu cầu cài và dùng tính năng miễn phí, hoàn tất OAuth/CLI. Bật allowlist tài liệu/thư viện/local; không search trả phí, build cloud hoặc publish.</x:t>
        </x:is>
      </x:c>
      <x:c r="E61" s="24" t="inlineStr">
        <x:is>
          <x:t xml:space="preserve">F17/F18/F20</x:t>
        </x:is>
      </x:c>
      <x:c r="F61" s="24" t="inlineStr">
        <x:is>
          <x:t xml:space="preserve">Yêu cầu trực tiếp30/09/2026; DOC-077/078 v1.2. Kiểm bằng Codex MCP; thao tác UI app chờ binary.</x:t>
        </x:is>
      </x:c>
      <x:c r="G61" s="29" t="n">
        <x:v>46295</x:v>
      </x:c>
    </x:row>
    <x:row r="62" ht="150" customHeight="1">
      <x:c r="A62" s="24" t="inlineStr">
        <x:is>
          <x:t xml:space="preserve">DELIVERY-01</x:t>
        </x:is>
      </x:c>
      <x:c r="B62" s="24" t="inlineStr">
        <x:is>
          <x:t xml:space="preserve">Làm tuần tự, checklist và báo cáo để chủ dự án hiểu code</x:t>
        </x:is>
      </x:c>
      <x:c r="C62" s="24" t="inlineStr">
        <x:is>
          <x:t xml:space="preserve">Đã chốt</x:t>
        </x:is>
      </x:c>
      <x:c r="D62" s="24" t="inlineStr">
        <x:is>
          <x:t xml:space="preserve">Yêu cầu ngày 01/10: lập kế hoạch theo thiết kế, checklist có bằng chứng, cấu trúc rõ và báo cáo riêng sau chức năng lớn, lần theo file/hàm. Báo cáo/checklist là ngoại lệ của quy tắc không tự sửa docs khi chỉ đổi code; không tự đồng bộ toàn spec/Excel/Drive sau mỗi lát code. Không phê duyệt toàn bộ backlog, provider/chi phí hoặc production.</x:t>
        </x:is>
      </x:c>
      <x:c r="E62" s="24" t="inlineStr">
        <x:is>
          <x:t xml:space="preserve">F01/F02/F17/F18/F20</x:t>
        </x:is>
      </x:c>
      <x:c r="F62" s="24" t="inlineStr">
        <x:is>
          <x:t xml:space="preserve">Yêu cầu trực tiếp trong hội thoại; AGENTS.md; DOC-082–089. Thứ tự triển khai là kế hoạch, mục chưa triển khai không là chức năng đã nghiệm thu.</x:t>
        </x:is>
      </x:c>
      <x:c r="G62" s="29" t="n">
        <x:v>46296</x:v>
      </x:c>
    </x:row>
    <x:row r="63" ht="100" customHeight="1">
      <x:c r="A63" s="8" t="inlineStr">
        <x:is>
          <x:t xml:space="preserve">I18N-04</x:t>
        </x:is>
      </x:c>
      <x:c r="B63" s="8" t="inlineStr">
        <x:is>
          <x:t xml:space="preserve">Danh mục đa ngôn ngữ và dữ liệu thực tế</x:t>
        </x:is>
      </x:c>
      <x:c r="C63" s="8" t="inlineStr">
        <x:is>
          <x:t xml:space="preserve">Đã chốt</x:t>
        </x:is>
      </x:c>
      <x:c r="D63" s="8" t="inlineStr">
        <x:is>
          <x:t xml:space="preserve">Chủ dự án duyệt locale vi/en/ja + name/name_locale/fallback; mở rộng đủ 10 ngành,50 nhóm,140 kỹ năng nghiên cứu từ nguồn công khai. Giữ ID, bản dịch thủ công; seed bổ sung an toàn. Tìm kiếm đa ngôn ngữ và locale tài khoản tách riêng; OTP vẫn Pending; không production/chi phí/tiền thật.</x:t>
        </x:is>
      </x:c>
      <x:c r="E63" s="8" t="inlineStr">
        <x:is>
          <x:t xml:space="preserve">F02; F17</x:t>
        </x:is>
      </x:c>
      <x:c r="F63" s="8" t="inlineStr">
        <x:is>
          <x:t xml:space="preserve">Yêu cầu trực tiếp chủ dự án 05/10/2026; docs/ke-hoach-trien-khai/bao-cao/I18N-04-danh-muc-da-ngon-ngu.md</x:t>
        </x:is>
      </x:c>
      <x:c r="G63" s="27" t="n">
        <x:v>46300</x:v>
      </x:c>
    </x:row>
    <x:row r="64">
      <x:c r="A64" s="8" t="inlineStr">
        <x:is>
          <x:t xml:space="preserve">B01-04</x:t>
        </x:is>
      </x:c>
      <x:c r="B64" s="8" t="inlineStr">
        <x:is>
          <x:t xml:space="preserve">Hồ sơ: tên hiển thị và version</x:t>
        </x:is>
      </x:c>
      <x:c r="C64" s="8" t="inlineStr">
        <x:is>
          <x:t xml:space="preserve">Đã chốt</x:t>
        </x:is>
      </x:c>
      <x:c r="D64" s="8" t="inlineStr">
        <x:is>
          <x:t xml:space="preserve">Me thêm version integer &gt;=1 bắt buộc, gồm Session.user; triển khai sửa tên theo expected_version/Idempotency-Key đã thiết kế. OTP Pending, locale tài khoản vi; không production/provider trả phí.</x:t>
        </x:is>
      </x:c>
      <x:c r="E64" s="8" t="inlineStr">
        <x:is>
          <x:t xml:space="preserve">F01</x:t>
        </x:is>
      </x:c>
      <x:c r="F64" s="8" t="inlineStr">
        <x:is>
          <x:t xml:space="preserve">User 06/10/2026: “ok hãy implement” sau giải thích version; đề xuất/báo cáo B01-04 trong bộ DELIVERY-01 (repo).</x:t>
        </x:is>
      </x:c>
      <x:c r="G64" s="27" t="n">
        <x:v>46301</x:v>
      </x:c>
    </x:row>
    <x:row r="65">
      <x:c r="A65" s="8" t="inlineStr">
        <x:is>
          <x:t xml:space="preserve">B01-04A</x:t>
        </x:is>
      </x:c>
      <x:c r="B65" s="8" t="inlineStr">
        <x:is>
          <x:t xml:space="preserve">Gói quản lý phiên đăng nhập và sổ địa chỉ</x:t>
        </x:is>
      </x:c>
      <x:c r="C65" s="8" t="inlineStr">
        <x:is>
          <x:t xml:space="preserve">Đã chốt</x:t>
        </x:is>
      </x:c>
      <x:c r="D65" s="8" t="inlineStr">
        <x:is>
          <x:t xml:space="preserve">Phiên có created_at/last_seen_at/is_current, ID theo family; thu hồi toàn family, không lộ IP/token. Địa chỉ thêm is_default/version, đầu tiên khi sổ rỗng tự mặc định, chọn mới bỏ cũ; gỡ mặc định để trống, sửa expected_version. Nhập địa chỉ/tọa độ thủ công; GPS/bản đồ chờ tích hợp. Thu hồi tất cả phiên khác và snapshot jobs còn lại; OTP Pending, không production/chi phí.</x:t>
        </x:is>
      </x:c>
      <x:c r="E65" s="8" t="inlineStr">
        <x:is>
          <x:t xml:space="preserve">F01; F04</x:t>
        </x:is>
      </x:c>
      <x:c r="F65" s="8" t="inlineStr">
        <x:is>
          <x:t xml:space="preserve">User 06/10/2026: “Duyệt cả gói như đề xuất” trả lời câu hỏi contract phiên/địa chỉ. Báo cáo B01-04-phien-va-dia-chi thuộc DELIVERY-01, repo-only.</x:t>
        </x:is>
      </x:c>
      <x:c r="G65" s="27" t="n">
        <x:v>46301</x:v>
      </x:c>
    </x:row>
    <x:row r="66" ht="110" customHeight="1">
      <x:c r="A66" s="34" t="str">
        <x:v>P0-1</x:v>
      </x:c>
      <x:c r="B66" s="34" t="str">
        <x:v>Nguồn cung và tìm dịch vụ — gói chức năng chính</x:v>
      </x:c>
      <x:c r="C66" s="34" t="str">
        <x:v>Đã chốt</x:v>
      </x:c>
      <x:c r="D66" s="34" t="str">
        <x:v>Điện thoại verified để tạo draft + owner + ví 0. Management riêng; profile.manage; shared version/idempotency. Draft/published; công bố đủ skill/mode/địa điểm, không tự nhận việc; ảnh chưa bắt buộc. Circle search distance/created_at/id, cursor gắn lọc, DTO public riêng. DEMO mới local/test được phép; OTP, map, polygon, ranking khác Pending.</x:v>
      </x:c>
      <x:c r="E66" s="34" t="str">
        <x:v>F01; F02; F03; F04; F05; F17</x:v>
      </x:c>
      <x:c r="F66" s="34" t="str">
        <x:v>User 06/10: ok làm đi; đề xuất bản đồ miễn phí và cho phép tạo tài khoản thợ/doanh nghiệp trong DB khi đăng ký chưa xong. Phạm vi P0-01 trong repo, DELIVERY-01.</x:v>
      </x:c>
      <x:c r="G66" s="35" t="n">
        <x:v>46301</x:v>
      </x:c>
    </x:row>
    <x:row r="67" ht="115" customHeight="1">
      <x:c r="A67" s="32" t="str">
        <x:v>MAP-01</x:v>
      </x:c>
      <x:c r="B67" s="32" t="str">
        <x:v>Bộ chọn địa điểm trước P0-2</x:v>
      </x:c>
      <x:c r="C67" s="32" t="str">
        <x:v>Đã chốt</x:v>
      </x:c>
      <x:c r="D67" s="32" t="str">
        <x:v>Triển khai thử MapLibre + Geoapify Free, chưa billing. Bộ chọn 4 nơi: gợi ý/ghim/GPS theo nút/địa chỉ lưu; xác nhận mới đổi form. Ba POST locations theo OpenAPI v0.1.7, public có hạn mức. Giữ quyền/version/retry và DB. Không routing/tracking hoặc công khai tâm vùng.</x:v>
      </x:c>
      <x:c r="E67" s="32" t="str">
        <x:v>F01; F03; F04; F05; F20</x:v>
      </x:c>
      <x:c r="F67" s="32" t="str">
        <x:v>Chủ dự án 07/10: chốt hướng thử; ok làm đi; đã điền key. MAP-01 và báo cáo B03-01 trong repo.</x:v>
      </x:c>
      <x:c r="G67" s="33" t="n">
        <x:v>46302</x:v>
      </x:c>
    </x:row>
    <x:row r="68" ht="115" customHeight="1">
      <x:c r="A68" s="32" t="str">
        <x:v>MAP-02</x:v>
      </x:c>
      <x:c r="B68" s="32" t="str">
        <x:v>Bản đồ kết quả trước P0-2</x:v>
      </x:c>
      <x:c r="C68" s="32" t="str">
        <x:v>Đã chốt</x:v>
      </x:c>
      <x:c r="D68" s="32" t="str">
        <x:v>Chỉ ghim địa điểm active/public gần điểm tìm nhất trong bán kính. Người chưa có điểm công khai vẫn hiện danh sách. PartnerCard.map_location Address/null, API v0.1.8; giữ ranking/cursor/quyền và DB. Ghim trùng chọn từng hồ sơ. Không công khai tâm vùng/GPS, không billing/production.</x:v>
      </x:c>
      <x:c r="E68" s="32" t="str">
        <x:v>F04; F05</x:v>
      </x:c>
      <x:c r="F68" s="32" t="str">
        <x:v>Chủ dự án 07/10: yêu cầu map tìm kiếm; chốt chỉ điểm công khai, người chưa có điểm vẫn trong danh sách. MAP-02 và báo cáo B03-02 trong repo.</x:v>
      </x:c>
      <x:c r="G68" s="33" t="n">
        <x:v>46302</x:v>
      </x:c>
    </x:row>
    <x:row r="69" ht="150" customHeight="1">
      <x:c r="A69" s="32" t="str">
        <x:v>MAP-03</x:v>
      </x:c>
      <x:c r="B69" s="32" t="str">
        <x:v>Bỏ nhập tọa độ thủ công</x:v>
      </x:c>
      <x:c r="C69" s="32" t="str">
        <x:v>Đã chốt</x:v>
      </x:c>
      <x:c r="D69" s="32" t="str">
        <x:v>Bỏ nút/ô tọa độ ở các màn; giữ chọn địa chỉ, bản đồ, GPS theo nút, địa chỉ lưu. Tọa độ là dữ liệu nội bộ/API.</x:v>
      </x:c>
      <x:c r="E69" s="32" t="str">
        <x:v>F01; F03; F04; F05</x:v>
      </x:c>
      <x:c r="F69" s="32" t="str">
        <x:v>Chủ dự án 07/10: bỏ phần nhập bằng tọa độ rồi làm phần tiếp theo. B03-03 trong repo.</x:v>
      </x:c>
      <x:c r="G69" s="33" t="n">
        <x:v>46302</x:v>
      </x:c>
    </x:row>
    <x:row r="70" ht="150" customHeight="1">
      <x:c r="A70" s="32" t="str">
        <x:v>P0-2</x:v>
      </x:c>
      <x:c r="B70" s="32" t="str">
        <x:v>Yêu cầu/nhận việc và HTTP chat</x:v>
      </x:c>
      <x:c r="C70" s="32" t="str">
        <x:v>Đã chốt</x:v>
      </x:c>
      <x:c r="D70" s="32" t="str">
        <x:v>Duyệt Job.service_mode/time_mode/location_id/note/eta, lưu ETA khi nhận làm ngay; PartnerProfile.public_locations id+address và service_modes theo skill_id, chỉ active/public. Chat gửi/đọc/tải lại qua API, WebSocket Pending. Dùng DEMO local/test, giữ backend phone verified và OTP Pending. Không duyệt production/tiền thật.</x:v>
      </x:c>
      <x:c r="E70" s="32" t="str">
        <x:v>F05; F06; F07; F08</x:v>
      </x:c>
      <x:c r="F70" s="32" t="str">
        <x:v>Ba phản hồi duyệt trực tiếp chủ dự án 07/10/2026; API v0.1.9, migration 007 và B03-04 trong repo.</x:v>
      </x:c>
      <x:c r="G70" s="33" t="n">
        <x:v>46302</x:v>
      </x:c>
    </x:row>
    <x:row r="71">
      <x:c r="G71" s="30" t="n"/>
    </x:row>
    <x:row r="72">
      <x:c r="G72" s="30" t="n"/>
    </x:row>
    <x:row r="73">
      <x:c r="G73" s="30" t="n"/>
    </x:row>
    <x:row r="74">
      <x:c r="G74" s="30" t="n"/>
    </x:row>
    <x:row r="75">
      <x:c r="G75" s="30" t="n"/>
    </x:row>
    <x:row r="76">
      <x:c r="G76" s="30" t="n"/>
    </x:row>
    <x:row r="77">
      <x:c r="G77" s="30" t="n"/>
    </x:row>
    <x:row r="78">
      <x:c r="G78" s="30" t="n"/>
    </x:row>
    <x:row r="79">
      <x:c r="G79" s="30" t="n"/>
    </x:row>
    <x:row r="80">
      <x:c r="G80" s="30" t="n"/>
    </x:row>
    <x:row r="81">
      <x:c r="G81" s="30" t="n"/>
    </x:row>
    <x:row r="82">
      <x:c r="G82" s="30" t="n"/>
    </x:row>
    <x:row r="83">
      <x:c r="G83" s="30" t="n"/>
    </x:row>
    <x:row r="84">
      <x:c r="G84" s="30" t="n"/>
    </x:row>
    <x:row r="85">
      <x:c r="G85" s="30" t="n"/>
    </x:row>
    <x:row r="86">
      <x:c r="G86" s="30" t="n"/>
    </x:row>
    <x:row r="87">
      <x:c r="G87" s="30" t="n"/>
    </x:row>
    <x:row r="88">
      <x:c r="G88" s="30" t="n"/>
    </x:row>
    <x:row r="89">
      <x:c r="G89" s="30" t="n"/>
    </x:row>
    <x:row r="90">
      <x:c r="G90" s="30" t="n"/>
    </x:row>
    <x:row r="91">
      <x:c r="G91" s="30" t="n"/>
    </x:row>
    <x:row r="92">
      <x:c r="G92" s="30" t="n"/>
    </x:row>
    <x:row r="93">
      <x:c r="G93" s="30" t="n"/>
    </x:row>
    <x:row r="94">
      <x:c r="G94" s="30" t="n"/>
    </x:row>
    <x:row r="95">
      <x:c r="G95" s="30" t="n"/>
    </x:row>
    <x:row r="96">
      <x:c r="G96" s="30" t="n"/>
    </x:row>
    <x:row r="97">
      <x:c r="G97" s="30" t="n"/>
    </x:row>
    <x:row r="98">
      <x:c r="G98" s="30" t="n"/>
    </x:row>
    <x:row r="99">
      <x:c r="G99" s="30" t="n"/>
    </x:row>
    <x:row r="100">
      <x:c r="G100" s="30" t="n"/>
    </x:row>
    <x:row r="101">
      <x:c r="G101" s="30" t="n"/>
    </x:row>
    <x:row r="102">
      <x:c r="G102" s="30" t="n"/>
    </x:row>
    <x:row r="103">
      <x:c r="G103" s="30" t="n"/>
    </x:row>
    <x:row r="104">
      <x:c r="G104" s="30" t="n"/>
    </x:row>
    <x:row r="105">
      <x:c r="G105" s="30" t="n"/>
    </x:row>
    <x:row r="106">
      <x:c r="G106" s="30" t="n"/>
    </x:row>
    <x:row r="107">
      <x:c r="G107" s="30" t="n"/>
    </x:row>
    <x:row r="108">
      <x:c r="G108" s="30" t="n"/>
    </x:row>
    <x:row r="109">
      <x:c r="G109" s="30" t="n"/>
    </x:row>
    <x:row r="110">
      <x:c r="G110" s="30" t="n"/>
    </x:row>
    <x:row r="111">
      <x:c r="G111" s="30" t="n"/>
    </x:row>
    <x:row r="112">
      <x:c r="G112" s="30" t="n"/>
    </x:row>
    <x:row r="113">
      <x:c r="G113" s="30" t="n"/>
    </x:row>
    <x:row r="114">
      <x:c r="G114" s="30" t="n"/>
    </x:row>
    <x:row r="115">
      <x:c r="G115" s="30" t="n"/>
    </x:row>
    <x:row r="116">
      <x:c r="G116" s="30" t="n"/>
    </x:row>
    <x:row r="117">
      <x:c r="G117" s="30" t="n"/>
    </x:row>
    <x:row r="118">
      <x:c r="G118" s="30" t="n"/>
    </x:row>
    <x:row r="119">
      <x:c r="G119" s="30" t="n"/>
    </x:row>
    <x:row r="120">
      <x:c r="G120" s="30" t="n"/>
    </x:row>
    <x:row r="121">
      <x:c r="G121" s="30" t="n"/>
    </x:row>
    <x:row r="122">
      <x:c r="G122" s="30" t="n"/>
    </x:row>
    <x:row r="123">
      <x:c r="G123" s="30" t="n"/>
    </x:row>
    <x:row r="124">
      <x:c r="G124" s="30" t="n"/>
    </x:row>
    <x:row r="125">
      <x:c r="G125" s="30" t="n"/>
    </x:row>
    <x:row r="126">
      <x:c r="G126" s="30" t="n"/>
    </x:row>
    <x:row r="127">
      <x:c r="G127" s="30" t="n"/>
    </x:row>
    <x:row r="128">
      <x:c r="G128" s="30" t="n"/>
    </x:row>
    <x:row r="129">
      <x:c r="G129" s="30" t="n"/>
    </x:row>
    <x:row r="130">
      <x:c r="G130" s="30" t="n"/>
    </x:row>
    <x:row r="131">
      <x:c r="G131" s="30" t="n"/>
    </x:row>
    <x:row r="132">
      <x:c r="G132" s="30" t="n"/>
    </x:row>
    <x:row r="133">
      <x:c r="G133" s="30" t="n"/>
    </x:row>
    <x:row r="134">
      <x:c r="G134" s="30" t="n"/>
    </x:row>
    <x:row r="135">
      <x:c r="G135" s="30" t="n"/>
    </x:row>
    <x:row r="136">
      <x:c r="G136" s="30" t="n"/>
    </x:row>
    <x:row r="137">
      <x:c r="G137" s="30" t="n"/>
    </x:row>
    <x:row r="138">
      <x:c r="G138" s="30" t="n"/>
    </x:row>
    <x:row r="139">
      <x:c r="G139" s="30" t="n"/>
    </x:row>
    <x:row r="140">
      <x:c r="G140" s="30" t="n"/>
    </x:row>
    <x:row r="141">
      <x:c r="G141" s="30" t="n"/>
    </x:row>
    <x:row r="142">
      <x:c r="G142" s="30" t="n"/>
    </x:row>
    <x:row r="143">
      <x:c r="G143" s="30" t="n"/>
    </x:row>
    <x:row r="144">
      <x:c r="G144" s="30" t="n"/>
    </x:row>
    <x:row r="145">
      <x:c r="G145" s="30" t="n"/>
    </x:row>
    <x:row r="146">
      <x:c r="G146" s="30" t="n"/>
    </x:row>
    <x:row r="147">
      <x:c r="G147" s="30" t="n"/>
    </x:row>
    <x:row r="148">
      <x:c r="G148" s="30" t="n"/>
    </x:row>
    <x:row r="149">
      <x:c r="G149" s="30" t="n"/>
    </x:row>
    <x:row r="150">
      <x:c r="G150" s="30" t="n"/>
    </x:row>
    <x:row r="151">
      <x:c r="G151" s="30" t="n"/>
    </x:row>
    <x:row r="152">
      <x:c r="G152" s="30" t="n"/>
    </x:row>
    <x:row r="153">
      <x:c r="G153" s="30" t="n"/>
    </x:row>
    <x:row r="154">
      <x:c r="G154" s="30" t="n"/>
    </x:row>
    <x:row r="155">
      <x:c r="G155" s="30" t="n"/>
    </x:row>
    <x:row r="156">
      <x:c r="G156" s="30" t="n"/>
    </x:row>
    <x:row r="157">
      <x:c r="G157" s="30" t="n"/>
    </x:row>
    <x:row r="158">
      <x:c r="G158" s="30" t="n"/>
    </x:row>
    <x:row r="159">
      <x:c r="G159" s="30" t="n"/>
    </x:row>
    <x:row r="160">
      <x:c r="G160" s="30" t="n"/>
    </x:row>
    <x:row r="161">
      <x:c r="G161" s="30" t="n"/>
    </x:row>
    <x:row r="162">
      <x:c r="G162" s="30" t="n"/>
    </x:row>
    <x:row r="163">
      <x:c r="G163" s="30" t="n"/>
    </x:row>
    <x:row r="164">
      <x:c r="G164" s="30" t="n"/>
    </x:row>
    <x:row r="165">
      <x:c r="G165" s="30" t="n"/>
    </x:row>
    <x:row r="166">
      <x:c r="G166" s="30" t="n"/>
    </x:row>
    <x:row r="167">
      <x:c r="G167" s="30" t="n"/>
    </x:row>
    <x:row r="168">
      <x:c r="G168" s="30" t="n"/>
    </x:row>
    <x:row r="169">
      <x:c r="G169" s="30" t="n"/>
    </x:row>
    <x:row r="170">
      <x:c r="G170" s="30" t="n"/>
    </x:row>
    <x:row r="171">
      <x:c r="G171" s="30" t="n"/>
    </x:row>
    <x:row r="172">
      <x:c r="G172" s="30" t="n"/>
    </x:row>
    <x:row r="173">
      <x:c r="G173" s="30" t="n"/>
    </x:row>
    <x:row r="174">
      <x:c r="G174" s="30" t="n"/>
    </x:row>
    <x:row r="175">
      <x:c r="G175" s="30" t="n"/>
    </x:row>
    <x:row r="176">
      <x:c r="G176" s="30" t="n"/>
    </x:row>
    <x:row r="177">
      <x:c r="G177" s="30" t="n"/>
    </x:row>
    <x:row r="178">
      <x:c r="G178" s="30" t="n"/>
    </x:row>
    <x:row r="179">
      <x:c r="G179" s="30" t="n"/>
    </x:row>
    <x:row r="180">
      <x:c r="G180" s="30" t="n"/>
    </x:row>
    <x:row r="181">
      <x:c r="G181" s="30" t="n"/>
    </x:row>
    <x:row r="182">
      <x:c r="G182" s="30" t="n"/>
    </x:row>
    <x:row r="183">
      <x:c r="G183" s="30" t="n"/>
    </x:row>
    <x:row r="184">
      <x:c r="G184" s="30" t="n"/>
    </x:row>
    <x:row r="185">
      <x:c r="G185" s="30" t="n"/>
    </x:row>
    <x:row r="186">
      <x:c r="G186" s="30" t="n"/>
    </x:row>
    <x:row r="187">
      <x:c r="G187" s="30" t="n"/>
    </x:row>
    <x:row r="188">
      <x:c r="G188" s="30" t="n"/>
    </x:row>
    <x:row r="189">
      <x:c r="G189" s="30" t="n"/>
    </x:row>
    <x:row r="190">
      <x:c r="G190" s="30" t="n"/>
    </x:row>
    <x:row r="191">
      <x:c r="G191" s="30" t="n"/>
    </x:row>
    <x:row r="192">
      <x:c r="G192" s="30" t="n"/>
    </x:row>
    <x:row r="193">
      <x:c r="G193" s="30" t="n"/>
    </x:row>
    <x:row r="194">
      <x:c r="G194" s="30" t="n"/>
    </x:row>
    <x:row r="195">
      <x:c r="G195" s="30" t="n"/>
    </x:row>
    <x:row r="196">
      <x:c r="G196" s="30" t="n"/>
    </x:row>
    <x:row r="197">
      <x:c r="G197" s="30" t="n"/>
    </x:row>
    <x:row r="198">
      <x:c r="G198" s="30" t="n"/>
    </x:row>
    <x:row r="199">
      <x:c r="G199" s="30" t="n"/>
    </x:row>
    <x:row r="200">
      <x:c r="G200" s="30" t="n"/>
    </x:row>
    <x:row r="201">
      <x:c r="G201" s="30" t="n"/>
    </x:row>
    <x:row r="202">
      <x:c r="G202" s="30" t="n"/>
    </x:row>
    <x:row r="203">
      <x:c r="G203" s="30" t="n"/>
    </x:row>
    <x:row r="204">
      <x:c r="G204" s="30" t="n"/>
    </x:row>
    <x:row r="205">
      <x:c r="G205" s="30" t="n"/>
    </x:row>
    <x:row r="206">
      <x:c r="G206" s="30" t="n"/>
    </x:row>
    <x:row r="207">
      <x:c r="G207" s="30" t="n"/>
    </x:row>
    <x:row r="208">
      <x:c r="G208" s="30" t="n"/>
    </x:row>
    <x:row r="209">
      <x:c r="G209" s="30" t="n"/>
    </x:row>
    <x:row r="210">
      <x:c r="G210" s="30" t="n"/>
    </x:row>
    <x:row r="211">
      <x:c r="G211" s="30" t="n"/>
    </x:row>
    <x:row r="212">
      <x:c r="G212" s="30" t="n"/>
    </x:row>
    <x:row r="213">
      <x:c r="G213" s="30" t="n"/>
    </x:row>
    <x:row r="214">
      <x:c r="G214" s="30" t="n"/>
    </x:row>
    <x:row r="215">
      <x:c r="G215" s="30" t="n"/>
    </x:row>
    <x:row r="216">
      <x:c r="G216" s="30" t="n"/>
    </x:row>
    <x:row r="217">
      <x:c r="G217" s="30" t="n"/>
    </x:row>
    <x:row r="218">
      <x:c r="G218" s="30" t="n"/>
    </x:row>
    <x:row r="219">
      <x:c r="G219" s="30" t="n"/>
    </x:row>
    <x:row r="220">
      <x:c r="G220" s="30" t="n"/>
    </x:row>
    <x:row r="221">
      <x:c r="G221" s="30" t="n"/>
    </x:row>
    <x:row r="222">
      <x:c r="G222" s="30" t="n"/>
    </x:row>
    <x:row r="223">
      <x:c r="G223" s="30" t="n"/>
    </x:row>
    <x:row r="224">
      <x:c r="G224" s="30" t="n"/>
    </x:row>
    <x:row r="225">
      <x:c r="G225" s="30" t="n"/>
    </x:row>
    <x:row r="226">
      <x:c r="G226" s="30" t="n"/>
    </x:row>
    <x:row r="227">
      <x:c r="G227" s="30" t="n"/>
    </x:row>
    <x:row r="228">
      <x:c r="G228" s="30" t="n"/>
    </x:row>
    <x:row r="229">
      <x:c r="G229" s="30" t="n"/>
    </x:row>
    <x:row r="230">
      <x:c r="G230" s="30" t="n"/>
    </x:row>
    <x:row r="231">
      <x:c r="G231" s="30" t="n"/>
    </x:row>
    <x:row r="232">
      <x:c r="G232" s="30" t="n"/>
    </x:row>
    <x:row r="233">
      <x:c r="G233" s="30" t="n"/>
    </x:row>
    <x:row r="234">
      <x:c r="G234" s="30" t="n"/>
    </x:row>
    <x:row r="235">
      <x:c r="G235" s="30" t="n"/>
    </x:row>
    <x:row r="236">
      <x:c r="G236" s="30" t="n"/>
    </x:row>
    <x:row r="237">
      <x:c r="G237" s="30" t="n"/>
    </x:row>
    <x:row r="238">
      <x:c r="G238" s="30" t="n"/>
    </x:row>
    <x:row r="239">
      <x:c r="G239" s="30" t="n"/>
    </x:row>
    <x:row r="240">
      <x:c r="G240" s="30" t="n"/>
    </x:row>
    <x:row r="241">
      <x:c r="G241" s="30" t="n"/>
    </x:row>
    <x:row r="242">
      <x:c r="G242" s="30" t="n"/>
    </x:row>
    <x:row r="243">
      <x:c r="G243" s="30" t="n"/>
    </x:row>
    <x:row r="244">
      <x:c r="G244" s="30" t="n"/>
    </x:row>
    <x:row r="245">
      <x:c r="G245" s="30" t="n"/>
    </x:row>
    <x:row r="246">
      <x:c r="G246" s="30" t="n"/>
    </x:row>
    <x:row r="247">
      <x:c r="G247" s="30" t="n"/>
    </x:row>
    <x:row r="248">
      <x:c r="G248" s="30" t="n"/>
    </x:row>
    <x:row r="249">
      <x:c r="G249" s="30" t="n"/>
    </x:row>
    <x:row r="250">
      <x:c r="G250" s="30" t="n"/>
    </x:row>
    <x:row r="251">
      <x:c r="G251" s="30" t="n"/>
    </x:row>
    <x:row r="252">
      <x:c r="G252" s="30" t="n"/>
    </x:row>
    <x:row r="253">
      <x:c r="G253" s="30" t="n"/>
    </x:row>
    <x:row r="254">
      <x:c r="G254" s="30" t="n"/>
    </x:row>
    <x:row r="255">
      <x:c r="G255" s="30" t="n"/>
    </x:row>
    <x:row r="256">
      <x:c r="G256" s="30" t="n"/>
    </x:row>
    <x:row r="257">
      <x:c r="G257" s="30" t="n"/>
    </x:row>
    <x:row r="258">
      <x:c r="G258" s="30" t="n"/>
    </x:row>
    <x:row r="259">
      <x:c r="G259" s="30" t="n"/>
    </x:row>
    <x:row r="260">
      <x:c r="G260" s="30" t="n"/>
    </x:row>
    <x:row r="261">
      <x:c r="G261" s="30" t="n"/>
    </x:row>
    <x:row r="262">
      <x:c r="G262" s="30" t="n"/>
    </x:row>
    <x:row r="263">
      <x:c r="G263" s="30" t="n"/>
    </x:row>
    <x:row r="264">
      <x:c r="G264" s="30" t="n"/>
    </x:row>
    <x:row r="265">
      <x:c r="G265" s="30" t="n"/>
    </x:row>
    <x:row r="266">
      <x:c r="G266" s="30" t="n"/>
    </x:row>
    <x:row r="267">
      <x:c r="G267" s="30" t="n"/>
    </x:row>
    <x:row r="268">
      <x:c r="G268" s="30" t="n"/>
    </x:row>
    <x:row r="269">
      <x:c r="G269" s="30" t="n"/>
    </x:row>
    <x:row r="270">
      <x:c r="G270" s="30" t="n"/>
    </x:row>
    <x:row r="271">
      <x:c r="G271" s="30" t="n"/>
    </x:row>
    <x:row r="272">
      <x:c r="G272" s="30" t="n"/>
    </x:row>
    <x:row r="273">
      <x:c r="G273" s="30" t="n"/>
    </x:row>
    <x:row r="274">
      <x:c r="G274" s="30" t="n"/>
    </x:row>
    <x:row r="275">
      <x:c r="G275" s="30" t="n"/>
    </x:row>
    <x:row r="276">
      <x:c r="G276" s="30" t="n"/>
    </x:row>
    <x:row r="277">
      <x:c r="G277" s="30" t="n"/>
    </x:row>
    <x:row r="278">
      <x:c r="G278" s="30" t="n"/>
    </x:row>
    <x:row r="279">
      <x:c r="G279" s="30" t="n"/>
    </x:row>
    <x:row r="280">
      <x:c r="G280" s="30" t="n"/>
    </x:row>
    <x:row r="281">
      <x:c r="G281" s="30" t="n"/>
    </x:row>
    <x:row r="282">
      <x:c r="G282" s="30" t="n"/>
    </x:row>
    <x:row r="283">
      <x:c r="G283" s="30" t="n"/>
    </x:row>
    <x:row r="284">
      <x:c r="G284" s="30" t="n"/>
    </x:row>
    <x:row r="285">
      <x:c r="G285" s="30" t="n"/>
    </x:row>
    <x:row r="286">
      <x:c r="G286" s="30" t="n"/>
    </x:row>
    <x:row r="287">
      <x:c r="G287" s="30" t="n"/>
    </x:row>
    <x:row r="288">
      <x:c r="G288" s="30" t="n"/>
    </x:row>
    <x:row r="289">
      <x:c r="G289" s="30" t="n"/>
    </x:row>
    <x:row r="290">
      <x:c r="G290" s="30" t="n"/>
    </x:row>
    <x:row r="291">
      <x:c r="G291" s="30" t="n"/>
    </x:row>
    <x:row r="292">
      <x:c r="G292" s="30" t="n"/>
    </x:row>
    <x:row r="293">
      <x:c r="G293" s="30" t="n"/>
    </x:row>
    <x:row r="294">
      <x:c r="G294" s="30" t="n"/>
    </x:row>
    <x:row r="295">
      <x:c r="G295" s="30" t="n"/>
    </x:row>
    <x:row r="296">
      <x:c r="G296" s="30" t="n"/>
    </x:row>
    <x:row r="297">
      <x:c r="G297" s="30" t="n"/>
    </x:row>
    <x:row r="298">
      <x:c r="G298" s="30" t="n"/>
    </x:row>
    <x:row r="299">
      <x:c r="G299" s="30" t="n"/>
    </x:row>
    <x:row r="300">
      <x:c r="G300" s="30" t="n"/>
    </x:row>
    <x:row r="301">
      <x:c r="G301" s="30" t="n"/>
    </x:row>
    <x:row r="302">
      <x:c r="G302" s="30" t="n"/>
    </x:row>
    <x:row r="303">
      <x:c r="G303" s="30" t="n"/>
    </x:row>
    <x:row r="304">
      <x:c r="G304" s="30" t="n"/>
    </x:row>
    <x:row r="305">
      <x:c r="G305" s="30" t="n"/>
    </x:row>
    <x:row r="306">
      <x:c r="G306" s="30" t="n"/>
    </x:row>
    <x:row r="307">
      <x:c r="G307" s="30" t="n"/>
    </x:row>
    <x:row r="308">
      <x:c r="G308" s="30" t="n"/>
    </x:row>
    <x:row r="309">
      <x:c r="G309" s="30" t="n"/>
    </x:row>
    <x:row r="310">
      <x:c r="G310" s="30" t="n"/>
    </x:row>
    <x:row r="311">
      <x:c r="G311" s="30" t="n"/>
    </x:row>
    <x:row r="312">
      <x:c r="G312" s="30" t="n"/>
    </x:row>
    <x:row r="313">
      <x:c r="G313" s="30" t="n"/>
    </x:row>
    <x:row r="314">
      <x:c r="G314" s="30" t="n"/>
    </x:row>
    <x:row r="315">
      <x:c r="G315" s="30" t="n"/>
    </x:row>
    <x:row r="316">
      <x:c r="G316" s="30" t="n"/>
    </x:row>
    <x:row r="317">
      <x:c r="G317" s="30" t="n"/>
    </x:row>
    <x:row r="318">
      <x:c r="G318" s="30" t="n"/>
    </x:row>
    <x:row r="319">
      <x:c r="G319" s="30" t="n"/>
    </x:row>
    <x:row r="320">
      <x:c r="G320" s="30" t="n"/>
    </x:row>
    <x:row r="321">
      <x:c r="G321" s="30" t="n"/>
    </x:row>
    <x:row r="322">
      <x:c r="G322" s="30" t="n"/>
    </x:row>
    <x:row r="323">
      <x:c r="G323" s="30" t="n"/>
    </x:row>
    <x:row r="324">
      <x:c r="G324" s="30" t="n"/>
    </x:row>
    <x:row r="325">
      <x:c r="G325" s="30" t="n"/>
    </x:row>
    <x:row r="326">
      <x:c r="G326" s="30" t="n"/>
    </x:row>
    <x:row r="327">
      <x:c r="G327" s="30" t="n"/>
    </x:row>
    <x:row r="328">
      <x:c r="G328" s="30" t="n"/>
    </x:row>
    <x:row r="329">
      <x:c r="G329" s="30" t="n"/>
    </x:row>
    <x:row r="330">
      <x:c r="G330" s="30" t="n"/>
    </x:row>
    <x:row r="331">
      <x:c r="G331" s="30" t="n"/>
    </x:row>
    <x:row r="332">
      <x:c r="G332" s="30" t="n"/>
    </x:row>
    <x:row r="333">
      <x:c r="G333" s="30" t="n"/>
    </x:row>
    <x:row r="334">
      <x:c r="G334" s="30" t="n"/>
    </x:row>
    <x:row r="335">
      <x:c r="G335" s="30" t="n"/>
    </x:row>
    <x:row r="336">
      <x:c r="G336" s="30" t="n"/>
    </x:row>
    <x:row r="337">
      <x:c r="G337" s="30" t="n"/>
    </x:row>
    <x:row r="338">
      <x:c r="G338" s="30" t="n"/>
    </x:row>
    <x:row r="339">
      <x:c r="G339" s="30" t="n"/>
    </x:row>
    <x:row r="340">
      <x:c r="G340" s="30" t="n"/>
    </x:row>
    <x:row r="341">
      <x:c r="G341" s="30" t="n"/>
    </x:row>
    <x:row r="342">
      <x:c r="G342" s="30" t="n"/>
    </x:row>
    <x:row r="343">
      <x:c r="G343" s="30" t="n"/>
    </x:row>
    <x:row r="344">
      <x:c r="G344" s="30" t="n"/>
    </x:row>
    <x:row r="345">
      <x:c r="G345" s="30" t="n"/>
    </x:row>
    <x:row r="346">
      <x:c r="G346" s="30" t="n"/>
    </x:row>
    <x:row r="347">
      <x:c r="G347" s="30" t="n"/>
    </x:row>
    <x:row r="348">
      <x:c r="G348" s="30" t="n"/>
    </x:row>
    <x:row r="349">
      <x:c r="G349" s="30" t="n"/>
    </x:row>
    <x:row r="350">
      <x:c r="G350" s="30" t="n"/>
    </x:row>
    <x:row r="351">
      <x:c r="G351" s="30" t="n"/>
    </x:row>
    <x:row r="352">
      <x:c r="G352" s="30" t="n"/>
    </x:row>
    <x:row r="353">
      <x:c r="G353" s="30" t="n"/>
    </x:row>
    <x:row r="354">
      <x:c r="G354" s="30" t="n"/>
    </x:row>
    <x:row r="355">
      <x:c r="G355" s="30" t="n"/>
    </x:row>
    <x:row r="356">
      <x:c r="G356" s="30" t="n"/>
    </x:row>
    <x:row r="357">
      <x:c r="G357" s="30" t="n"/>
    </x:row>
    <x:row r="358">
      <x:c r="G358" s="30" t="n"/>
    </x:row>
    <x:row r="359">
      <x:c r="G359" s="30" t="n"/>
    </x:row>
    <x:row r="360">
      <x:c r="G360" s="30" t="n"/>
    </x:row>
    <x:row r="361">
      <x:c r="G361" s="30" t="n"/>
    </x:row>
    <x:row r="362">
      <x:c r="G362" s="30" t="n"/>
    </x:row>
    <x:row r="363">
      <x:c r="G363" s="30" t="n"/>
    </x:row>
    <x:row r="364">
      <x:c r="G364" s="30" t="n"/>
    </x:row>
    <x:row r="365">
      <x:c r="G365" s="30" t="n"/>
    </x:row>
    <x:row r="366">
      <x:c r="G366" s="30" t="n"/>
    </x:row>
    <x:row r="367">
      <x:c r="G367" s="30" t="n"/>
    </x:row>
    <x:row r="368">
      <x:c r="G368" s="30" t="n"/>
    </x:row>
    <x:row r="369">
      <x:c r="G369" s="30" t="n"/>
    </x:row>
    <x:row r="370">
      <x:c r="G370" s="30" t="n"/>
    </x:row>
    <x:row r="371">
      <x:c r="G371" s="30" t="n"/>
    </x:row>
    <x:row r="372">
      <x:c r="G372" s="30" t="n"/>
    </x:row>
    <x:row r="373">
      <x:c r="G373" s="30" t="n"/>
    </x:row>
    <x:row r="374">
      <x:c r="G374" s="30" t="n"/>
    </x:row>
    <x:row r="375">
      <x:c r="G375" s="30" t="n"/>
    </x:row>
    <x:row r="376">
      <x:c r="G376" s="30" t="n"/>
    </x:row>
    <x:row r="377">
      <x:c r="G377" s="30" t="n"/>
    </x:row>
    <x:row r="378">
      <x:c r="G378" s="30" t="n"/>
    </x:row>
    <x:row r="379">
      <x:c r="G379" s="30" t="n"/>
    </x:row>
    <x:row r="380">
      <x:c r="G380" s="30" t="n"/>
    </x:row>
    <x:row r="381">
      <x:c r="G381" s="30" t="n"/>
    </x:row>
    <x:row r="382">
      <x:c r="G382" s="30" t="n"/>
    </x:row>
    <x:row r="383">
      <x:c r="G383" s="30" t="n"/>
    </x:row>
    <x:row r="384">
      <x:c r="G384" s="30" t="n"/>
    </x:row>
    <x:row r="385">
      <x:c r="G385" s="30" t="n"/>
    </x:row>
    <x:row r="386">
      <x:c r="G386" s="30" t="n"/>
    </x:row>
    <x:row r="387">
      <x:c r="G387" s="30" t="n"/>
    </x:row>
    <x:row r="388">
      <x:c r="G388" s="30" t="n"/>
    </x:row>
    <x:row r="389">
      <x:c r="G389" s="30" t="n"/>
    </x:row>
    <x:row r="390">
      <x:c r="G390" s="30" t="n"/>
    </x:row>
    <x:row r="391">
      <x:c r="G391" s="30" t="n"/>
    </x:row>
    <x:row r="392">
      <x:c r="G392" s="30" t="n"/>
    </x:row>
    <x:row r="393">
      <x:c r="G393" s="30" t="n"/>
    </x:row>
    <x:row r="394">
      <x:c r="G394" s="30" t="n"/>
    </x:row>
    <x:row r="395">
      <x:c r="G395" s="30" t="n"/>
    </x:row>
    <x:row r="396">
      <x:c r="G396" s="30" t="n"/>
    </x:row>
    <x:row r="397">
      <x:c r="G397" s="30" t="n"/>
    </x:row>
    <x:row r="398">
      <x:c r="G398" s="30" t="n"/>
    </x:row>
    <x:row r="399">
      <x:c r="G399" s="30" t="n"/>
    </x:row>
    <x:row r="400">
      <x:c r="G400" s="30" t="n"/>
    </x:row>
    <x:row r="401">
      <x:c r="G401" s="30" t="n"/>
    </x:row>
    <x:row r="402">
      <x:c r="G402" s="30" t="n"/>
    </x:row>
    <x:row r="403">
      <x:c r="G403" s="30" t="n"/>
    </x:row>
    <x:row r="404">
      <x:c r="G404" s="30" t="n"/>
    </x:row>
    <x:row r="405">
      <x:c r="G405" s="30" t="n"/>
    </x:row>
    <x:row r="406">
      <x:c r="G406" s="30" t="n"/>
    </x:row>
    <x:row r="407">
      <x:c r="G407" s="30" t="n"/>
    </x:row>
    <x:row r="408">
      <x:c r="G408" s="30" t="n"/>
    </x:row>
    <x:row r="409">
      <x:c r="G409" s="30" t="n"/>
    </x:row>
    <x:row r="410">
      <x:c r="G410" s="30" t="n"/>
    </x:row>
    <x:row r="411">
      <x:c r="G411" s="30" t="n"/>
    </x:row>
    <x:row r="412">
      <x:c r="G412" s="30" t="n"/>
    </x:row>
    <x:row r="413">
      <x:c r="G413" s="30" t="n"/>
    </x:row>
    <x:row r="414">
      <x:c r="G414" s="30" t="n"/>
    </x:row>
    <x:row r="415">
      <x:c r="G415" s="30" t="n"/>
    </x:row>
    <x:row r="416">
      <x:c r="G416" s="30" t="n"/>
    </x:row>
    <x:row r="417">
      <x:c r="G417" s="30" t="n"/>
    </x:row>
    <x:row r="418">
      <x:c r="G418" s="30" t="n"/>
    </x:row>
    <x:row r="419">
      <x:c r="G419" s="30" t="n"/>
    </x:row>
    <x:row r="420">
      <x:c r="G420" s="30" t="n"/>
    </x:row>
    <x:row r="421">
      <x:c r="G421" s="30" t="n"/>
    </x:row>
    <x:row r="422">
      <x:c r="G422" s="30" t="n"/>
    </x:row>
    <x:row r="423">
      <x:c r="G423" s="30" t="n"/>
    </x:row>
    <x:row r="424">
      <x:c r="G424" s="30" t="n"/>
    </x:row>
    <x:row r="425">
      <x:c r="G425" s="30" t="n"/>
    </x:row>
    <x:row r="426">
      <x:c r="G426" s="30" t="n"/>
    </x:row>
    <x:row r="427">
      <x:c r="G427" s="30" t="n"/>
    </x:row>
    <x:row r="428">
      <x:c r="G428" s="30" t="n"/>
    </x:row>
    <x:row r="429">
      <x:c r="G429" s="30" t="n"/>
    </x:row>
    <x:row r="430">
      <x:c r="G430" s="30" t="n"/>
    </x:row>
    <x:row r="431">
      <x:c r="G431" s="30" t="n"/>
    </x:row>
    <x:row r="432">
      <x:c r="G432" s="30" t="n"/>
    </x:row>
    <x:row r="433">
      <x:c r="G433" s="30" t="n"/>
    </x:row>
    <x:row r="434">
      <x:c r="G434" s="30" t="n"/>
    </x:row>
    <x:row r="435">
      <x:c r="G435" s="30" t="n"/>
    </x:row>
    <x:row r="436">
      <x:c r="G436" s="30" t="n"/>
    </x:row>
    <x:row r="437">
      <x:c r="G437" s="30" t="n"/>
    </x:row>
    <x:row r="438">
      <x:c r="G438" s="30" t="n"/>
    </x:row>
    <x:row r="439">
      <x:c r="G439" s="30" t="n"/>
    </x:row>
    <x:row r="440">
      <x:c r="G440" s="30" t="n"/>
    </x:row>
    <x:row r="441">
      <x:c r="G441" s="30" t="n"/>
    </x:row>
    <x:row r="442">
      <x:c r="G442" s="30" t="n"/>
    </x:row>
    <x:row r="443">
      <x:c r="G443" s="30" t="n"/>
    </x:row>
    <x:row r="444">
      <x:c r="G444" s="30" t="n"/>
    </x:row>
    <x:row r="445">
      <x:c r="G445" s="30" t="n"/>
    </x:row>
    <x:row r="446">
      <x:c r="G446" s="30" t="n"/>
    </x:row>
    <x:row r="447">
      <x:c r="G447" s="30" t="n"/>
    </x:row>
    <x:row r="448">
      <x:c r="G448" s="30" t="n"/>
    </x:row>
    <x:row r="449">
      <x:c r="G449" s="30" t="n"/>
    </x:row>
    <x:row r="450">
      <x:c r="G450" s="30" t="n"/>
    </x:row>
    <x:row r="451">
      <x:c r="G451" s="30" t="n"/>
    </x:row>
    <x:row r="452">
      <x:c r="G452" s="30" t="n"/>
    </x:row>
    <x:row r="453">
      <x:c r="G453" s="30" t="n"/>
    </x:row>
    <x:row r="454">
      <x:c r="G454" s="30" t="n"/>
    </x:row>
    <x:row r="455">
      <x:c r="G455" s="30" t="n"/>
    </x:row>
    <x:row r="456">
      <x:c r="G456" s="30" t="n"/>
    </x:row>
    <x:row r="457">
      <x:c r="G457" s="30" t="n"/>
    </x:row>
    <x:row r="458">
      <x:c r="G458" s="30" t="n"/>
    </x:row>
    <x:row r="459">
      <x:c r="G459" s="30" t="n"/>
    </x:row>
    <x:row r="460">
      <x:c r="G460" s="30" t="n"/>
    </x:row>
    <x:row r="461">
      <x:c r="G461" s="30" t="n"/>
    </x:row>
    <x:row r="462">
      <x:c r="G462" s="30" t="n"/>
    </x:row>
    <x:row r="463">
      <x:c r="G463" s="30" t="n"/>
    </x:row>
    <x:row r="464">
      <x:c r="G464" s="30" t="n"/>
    </x:row>
    <x:row r="465">
      <x:c r="G465" s="30" t="n"/>
    </x:row>
    <x:row r="466">
      <x:c r="G466" s="30" t="n"/>
    </x:row>
    <x:row r="467">
      <x:c r="G467" s="30" t="n"/>
    </x:row>
    <x:row r="468">
      <x:c r="G468" s="30" t="n"/>
    </x:row>
    <x:row r="469">
      <x:c r="G469" s="30" t="n"/>
    </x:row>
    <x:row r="470">
      <x:c r="G470" s="30" t="n"/>
    </x:row>
    <x:row r="471">
      <x:c r="G471" s="30" t="n"/>
    </x:row>
    <x:row r="472">
      <x:c r="G472" s="30" t="n"/>
    </x:row>
    <x:row r="473">
      <x:c r="G473" s="30" t="n"/>
    </x:row>
    <x:row r="474">
      <x:c r="G474" s="30" t="n"/>
    </x:row>
    <x:row r="475">
      <x:c r="G475" s="30" t="n"/>
    </x:row>
    <x:row r="476">
      <x:c r="G476" s="30" t="n"/>
    </x:row>
    <x:row r="477">
      <x:c r="G477" s="30" t="n"/>
    </x:row>
    <x:row r="478">
      <x:c r="G478" s="30" t="n"/>
    </x:row>
    <x:row r="479">
      <x:c r="G479" s="30" t="n"/>
    </x:row>
    <x:row r="480">
      <x:c r="G480" s="30" t="n"/>
    </x:row>
    <x:row r="481">
      <x:c r="G481" s="30" t="n"/>
    </x:row>
    <x:row r="482">
      <x:c r="G482" s="30" t="n"/>
    </x:row>
    <x:row r="483">
      <x:c r="G483" s="30" t="n"/>
    </x:row>
    <x:row r="484">
      <x:c r="G484" s="30" t="n"/>
    </x:row>
    <x:row r="485">
      <x:c r="G485" s="30" t="n"/>
    </x:row>
    <x:row r="486">
      <x:c r="G486" s="30" t="n"/>
    </x:row>
    <x:row r="487">
      <x:c r="G487" s="30" t="n"/>
    </x:row>
    <x:row r="488">
      <x:c r="G488" s="30" t="n"/>
    </x:row>
    <x:row r="489">
      <x:c r="G489" s="30" t="n"/>
    </x:row>
    <x:row r="490">
      <x:c r="G490" s="30" t="n"/>
    </x:row>
    <x:row r="491">
      <x:c r="G491" s="30" t="n"/>
    </x:row>
    <x:row r="492">
      <x:c r="G492" s="30" t="n"/>
    </x:row>
    <x:row r="493">
      <x:c r="G493" s="30" t="n"/>
    </x:row>
    <x:row r="494">
      <x:c r="G494" s="30" t="n"/>
    </x:row>
    <x:row r="495">
      <x:c r="G495" s="30" t="n"/>
    </x:row>
    <x:row r="496">
      <x:c r="G496" s="30" t="n"/>
    </x:row>
    <x:row r="497">
      <x:c r="G497" s="30" t="n"/>
    </x:row>
    <x:row r="498">
      <x:c r="G498" s="30" t="n"/>
    </x:row>
    <x:row r="499">
      <x:c r="G499" s="30" t="n"/>
    </x:row>
    <x:row r="500">
      <x:c r="G500" s="30" t="n"/>
    </x:row>
    <x:row r="501">
      <x:c r="G501" s="30" t="n"/>
    </x:row>
    <x:row r="502">
      <x:c r="G502" s="30" t="n"/>
    </x:row>
    <x:row r="503">
      <x:c r="G503" s="30" t="n"/>
    </x:row>
    <x:row r="504">
      <x:c r="G504" s="30" t="n"/>
    </x:row>
    <x:row r="505">
      <x:c r="G505" s="30" t="n"/>
    </x:row>
    <x:row r="506">
      <x:c r="G506" s="30" t="n"/>
    </x:row>
    <x:row r="507">
      <x:c r="G507" s="30" t="n"/>
    </x:row>
    <x:row r="508">
      <x:c r="G508" s="30" t="n"/>
    </x:row>
    <x:row r="509">
      <x:c r="G509" s="30" t="n"/>
    </x:row>
    <x:row r="510">
      <x:c r="G510" s="30" t="n"/>
    </x:row>
    <x:row r="511">
      <x:c r="G511" s="30" t="n"/>
    </x:row>
    <x:row r="512">
      <x:c r="G512" s="30" t="n"/>
    </x:row>
    <x:row r="513">
      <x:c r="G513" s="30" t="n"/>
    </x:row>
    <x:row r="514">
      <x:c r="G514" s="30" t="n"/>
    </x:row>
    <x:row r="515">
      <x:c r="G515" s="30" t="n"/>
    </x:row>
    <x:row r="516">
      <x:c r="G516" s="30" t="n"/>
    </x:row>
    <x:row r="517">
      <x:c r="G517" s="30" t="n"/>
    </x:row>
    <x:row r="518">
      <x:c r="G518" s="30" t="n"/>
    </x:row>
    <x:row r="519">
      <x:c r="G519" s="30" t="n"/>
    </x:row>
    <x:row r="520">
      <x:c r="G520" s="30" t="n"/>
    </x:row>
    <x:row r="521">
      <x:c r="G521" s="30" t="n"/>
    </x:row>
    <x:row r="522">
      <x:c r="G522" s="30" t="n"/>
    </x:row>
    <x:row r="523">
      <x:c r="G523" s="30" t="n"/>
    </x:row>
    <x:row r="524">
      <x:c r="G524" s="30" t="n"/>
    </x:row>
    <x:row r="525">
      <x:c r="G525" s="30" t="n"/>
    </x:row>
    <x:row r="526">
      <x:c r="G526" s="30" t="n"/>
    </x:row>
    <x:row r="527">
      <x:c r="G527" s="30" t="n"/>
    </x:row>
    <x:row r="528">
      <x:c r="G528" s="30" t="n"/>
    </x:row>
    <x:row r="529">
      <x:c r="G529" s="30" t="n"/>
    </x:row>
    <x:row r="530">
      <x:c r="G530" s="30" t="n"/>
    </x:row>
    <x:row r="531">
      <x:c r="G531" s="30" t="n"/>
    </x:row>
    <x:row r="532">
      <x:c r="G532" s="30" t="n"/>
    </x:row>
    <x:row r="533">
      <x:c r="G533" s="30" t="n"/>
    </x:row>
    <x:row r="534">
      <x:c r="G534" s="30" t="n"/>
    </x:row>
    <x:row r="535">
      <x:c r="G535" s="30" t="n"/>
    </x:row>
    <x:row r="536">
      <x:c r="G536" s="30" t="n"/>
    </x:row>
    <x:row r="537">
      <x:c r="G537" s="30" t="n"/>
    </x:row>
    <x:row r="538">
      <x:c r="G538" s="30" t="n"/>
    </x:row>
    <x:row r="539">
      <x:c r="G539" s="30" t="n"/>
    </x:row>
    <x:row r="540">
      <x:c r="G540" s="30" t="n"/>
    </x:row>
    <x:row r="541">
      <x:c r="G541" s="30" t="n"/>
    </x:row>
    <x:row r="542">
      <x:c r="G542" s="30" t="n"/>
    </x:row>
    <x:row r="543">
      <x:c r="G543" s="30" t="n"/>
    </x:row>
    <x:row r="544">
      <x:c r="G544" s="30" t="n"/>
    </x:row>
    <x:row r="545">
      <x:c r="G545" s="30" t="n"/>
    </x:row>
    <x:row r="546">
      <x:c r="G546" s="30" t="n"/>
    </x:row>
    <x:row r="547">
      <x:c r="G547" s="30" t="n"/>
    </x:row>
    <x:row r="548">
      <x:c r="G548" s="30" t="n"/>
    </x:row>
    <x:row r="549">
      <x:c r="G549" s="30" t="n"/>
    </x:row>
    <x:row r="550">
      <x:c r="G550" s="30" t="n"/>
    </x:row>
    <x:row r="551">
      <x:c r="G551" s="30" t="n"/>
    </x:row>
    <x:row r="552">
      <x:c r="G552" s="30" t="n"/>
    </x:row>
    <x:row r="553">
      <x:c r="G553" s="30" t="n"/>
    </x:row>
    <x:row r="554">
      <x:c r="G554" s="30" t="n"/>
    </x:row>
    <x:row r="555">
      <x:c r="G555" s="30" t="n"/>
    </x:row>
    <x:row r="556">
      <x:c r="G556" s="30" t="n"/>
    </x:row>
    <x:row r="557">
      <x:c r="G557" s="30" t="n"/>
    </x:row>
    <x:row r="558">
      <x:c r="G558" s="30" t="n"/>
    </x:row>
    <x:row r="559">
      <x:c r="G559" s="30" t="n"/>
    </x:row>
    <x:row r="560">
      <x:c r="G560" s="30" t="n"/>
    </x:row>
    <x:row r="561">
      <x:c r="G561" s="30" t="n"/>
    </x:row>
    <x:row r="562">
      <x:c r="G562" s="30" t="n"/>
    </x:row>
    <x:row r="563">
      <x:c r="G563" s="30" t="n"/>
    </x:row>
    <x:row r="564">
      <x:c r="G564" s="30" t="n"/>
    </x:row>
    <x:row r="565">
      <x:c r="G565" s="30" t="n"/>
    </x:row>
    <x:row r="566">
      <x:c r="G566" s="30" t="n"/>
    </x:row>
    <x:row r="567">
      <x:c r="G567" s="30" t="n"/>
    </x:row>
    <x:row r="568">
      <x:c r="G568" s="30" t="n"/>
    </x:row>
    <x:row r="569">
      <x:c r="G569" s="30" t="n"/>
    </x:row>
    <x:row r="570">
      <x:c r="G570" s="30" t="n"/>
    </x:row>
    <x:row r="571">
      <x:c r="G571" s="30" t="n"/>
    </x:row>
    <x:row r="572">
      <x:c r="G572" s="30" t="n"/>
    </x:row>
    <x:row r="573">
      <x:c r="G573" s="30" t="n"/>
    </x:row>
    <x:row r="574">
      <x:c r="G574" s="30" t="n"/>
    </x:row>
    <x:row r="575">
      <x:c r="G575" s="30" t="n"/>
    </x:row>
    <x:row r="576">
      <x:c r="G576" s="30" t="n"/>
    </x:row>
    <x:row r="577">
      <x:c r="G577" s="30" t="n"/>
    </x:row>
    <x:row r="578">
      <x:c r="G578" s="30" t="n"/>
    </x:row>
    <x:row r="579">
      <x:c r="G579" s="30" t="n"/>
    </x:row>
    <x:row r="580">
      <x:c r="G580" s="30" t="n"/>
    </x:row>
    <x:row r="581">
      <x:c r="G581" s="30" t="n"/>
    </x:row>
    <x:row r="582">
      <x:c r="G582" s="30" t="n"/>
    </x:row>
    <x:row r="583">
      <x:c r="G583" s="30" t="n"/>
    </x:row>
    <x:row r="584">
      <x:c r="G584" s="30" t="n"/>
    </x:row>
    <x:row r="585">
      <x:c r="G585" s="30" t="n"/>
    </x:row>
    <x:row r="586">
      <x:c r="G586" s="30" t="n"/>
    </x:row>
    <x:row r="587">
      <x:c r="G587" s="30" t="n"/>
    </x:row>
    <x:row r="588">
      <x:c r="G588" s="30" t="n"/>
    </x:row>
    <x:row r="589">
      <x:c r="G589" s="30" t="n"/>
    </x:row>
    <x:row r="590">
      <x:c r="G590" s="30" t="n"/>
    </x:row>
    <x:row r="591">
      <x:c r="G591" s="30" t="n"/>
    </x:row>
    <x:row r="592">
      <x:c r="G592" s="30" t="n"/>
    </x:row>
    <x:row r="593">
      <x:c r="G593" s="30" t="n"/>
    </x:row>
    <x:row r="594">
      <x:c r="G594" s="30" t="n"/>
    </x:row>
    <x:row r="595">
      <x:c r="G595" s="30" t="n"/>
    </x:row>
    <x:row r="596">
      <x:c r="G596" s="30" t="n"/>
    </x:row>
    <x:row r="597">
      <x:c r="G597" s="30" t="n"/>
    </x:row>
    <x:row r="598">
      <x:c r="G598" s="30" t="n"/>
    </x:row>
    <x:row r="599">
      <x:c r="G599" s="30" t="n"/>
    </x:row>
    <x:row r="600">
      <x:c r="G600" s="30" t="n"/>
    </x:row>
    <x:row r="601">
      <x:c r="G601" s="30" t="n"/>
    </x:row>
    <x:row r="602">
      <x:c r="G602" s="30" t="n"/>
    </x:row>
    <x:row r="603">
      <x:c r="G603" s="30" t="n"/>
    </x:row>
    <x:row r="604">
      <x:c r="G604" s="30" t="n"/>
    </x:row>
    <x:row r="605">
      <x:c r="G605" s="30" t="n"/>
    </x:row>
    <x:row r="606">
      <x:c r="G606" s="30" t="n"/>
    </x:row>
    <x:row r="607">
      <x:c r="G607" s="30" t="n"/>
    </x:row>
    <x:row r="608">
      <x:c r="G608" s="30" t="n"/>
    </x:row>
    <x:row r="609">
      <x:c r="G609" s="30" t="n"/>
    </x:row>
    <x:row r="610">
      <x:c r="G610" s="30" t="n"/>
    </x:row>
    <x:row r="611">
      <x:c r="G611" s="30" t="n"/>
    </x:row>
    <x:row r="612">
      <x:c r="G612" s="30" t="n"/>
    </x:row>
    <x:row r="613">
      <x:c r="G613" s="30" t="n"/>
    </x:row>
    <x:row r="614">
      <x:c r="G614" s="30" t="n"/>
    </x:row>
    <x:row r="615">
      <x:c r="G615" s="30" t="n"/>
    </x:row>
    <x:row r="616">
      <x:c r="G616" s="30" t="n"/>
    </x:row>
    <x:row r="617">
      <x:c r="G617" s="30" t="n"/>
    </x:row>
    <x:row r="618">
      <x:c r="G618" s="30" t="n"/>
    </x:row>
    <x:row r="619">
      <x:c r="G619" s="30" t="n"/>
    </x:row>
    <x:row r="620">
      <x:c r="G620" s="30" t="n"/>
    </x:row>
    <x:row r="621">
      <x:c r="G621" s="30" t="n"/>
    </x:row>
    <x:row r="622">
      <x:c r="G622" s="30" t="n"/>
    </x:row>
    <x:row r="623">
      <x:c r="G623" s="30" t="n"/>
    </x:row>
    <x:row r="624">
      <x:c r="G624" s="30" t="n"/>
    </x:row>
    <x:row r="625">
      <x:c r="G625" s="30" t="n"/>
    </x:row>
    <x:row r="626">
      <x:c r="G626" s="30" t="n"/>
    </x:row>
    <x:row r="627">
      <x:c r="G627" s="30" t="n"/>
    </x:row>
    <x:row r="628">
      <x:c r="G628" s="30" t="n"/>
    </x:row>
    <x:row r="629">
      <x:c r="G629" s="30" t="n"/>
    </x:row>
    <x:row r="630">
      <x:c r="G630" s="30" t="n"/>
    </x:row>
    <x:row r="631">
      <x:c r="G631" s="30" t="n"/>
    </x:row>
    <x:row r="632">
      <x:c r="G632" s="30" t="n"/>
    </x:row>
    <x:row r="633">
      <x:c r="G633" s="30" t="n"/>
    </x:row>
    <x:row r="634">
      <x:c r="G634" s="30" t="n"/>
    </x:row>
    <x:row r="635">
      <x:c r="G635" s="30" t="n"/>
    </x:row>
    <x:row r="636">
      <x:c r="G636" s="30" t="n"/>
    </x:row>
    <x:row r="637">
      <x:c r="G637" s="30" t="n"/>
    </x:row>
    <x:row r="638">
      <x:c r="G638" s="30" t="n"/>
    </x:row>
    <x:row r="639">
      <x:c r="G639" s="30" t="n"/>
    </x:row>
    <x:row r="640">
      <x:c r="G640" s="30" t="n"/>
    </x:row>
    <x:row r="641">
      <x:c r="G641" s="30" t="n"/>
    </x:row>
    <x:row r="642">
      <x:c r="G642" s="30" t="n"/>
    </x:row>
    <x:row r="643">
      <x:c r="G643" s="30" t="n"/>
    </x:row>
    <x:row r="644">
      <x:c r="G644" s="30" t="n"/>
    </x:row>
    <x:row r="645">
      <x:c r="G645" s="30" t="n"/>
    </x:row>
    <x:row r="646">
      <x:c r="G646" s="30" t="n"/>
    </x:row>
    <x:row r="647">
      <x:c r="G647" s="30" t="n"/>
    </x:row>
    <x:row r="648">
      <x:c r="G648" s="30" t="n"/>
    </x:row>
    <x:row r="649">
      <x:c r="G649" s="30" t="n"/>
    </x:row>
    <x:row r="650">
      <x:c r="G650" s="30" t="n"/>
    </x:row>
    <x:row r="651">
      <x:c r="G651" s="30" t="n"/>
    </x:row>
    <x:row r="652">
      <x:c r="G652" s="30" t="n"/>
    </x:row>
    <x:row r="653">
      <x:c r="G653" s="30" t="n"/>
    </x:row>
    <x:row r="654">
      <x:c r="G654" s="30" t="n"/>
    </x:row>
    <x:row r="655">
      <x:c r="G655" s="30" t="n"/>
    </x:row>
    <x:row r="656">
      <x:c r="G656" s="30" t="n"/>
    </x:row>
    <x:row r="657">
      <x:c r="G657" s="30" t="n"/>
    </x:row>
    <x:row r="658">
      <x:c r="G658" s="30" t="n"/>
    </x:row>
    <x:row r="659">
      <x:c r="G659" s="30" t="n"/>
    </x:row>
    <x:row r="660">
      <x:c r="G660" s="30" t="n"/>
    </x:row>
    <x:row r="661">
      <x:c r="G661" s="30" t="n"/>
    </x:row>
    <x:row r="662">
      <x:c r="G662" s="30" t="n"/>
    </x:row>
    <x:row r="663">
      <x:c r="G663" s="30" t="n"/>
    </x:row>
    <x:row r="664">
      <x:c r="G664" s="30" t="n"/>
    </x:row>
    <x:row r="665">
      <x:c r="G665" s="30" t="n"/>
    </x:row>
    <x:row r="666">
      <x:c r="G666" s="30" t="n"/>
    </x:row>
    <x:row r="667">
      <x:c r="G667" s="30" t="n"/>
    </x:row>
    <x:row r="668">
      <x:c r="G668" s="30" t="n"/>
    </x:row>
    <x:row r="669">
      <x:c r="G669" s="30" t="n"/>
    </x:row>
    <x:row r="670">
      <x:c r="G670" s="30" t="n"/>
    </x:row>
    <x:row r="671">
      <x:c r="G671" s="30" t="n"/>
    </x:row>
    <x:row r="672">
      <x:c r="G672" s="30" t="n"/>
    </x:row>
    <x:row r="673">
      <x:c r="G673" s="30" t="n"/>
    </x:row>
    <x:row r="674">
      <x:c r="G674" s="30" t="n"/>
    </x:row>
    <x:row r="675">
      <x:c r="G675" s="30" t="n"/>
    </x:row>
    <x:row r="676">
      <x:c r="G676" s="30" t="n"/>
    </x:row>
    <x:row r="677">
      <x:c r="G677" s="30" t="n"/>
    </x:row>
    <x:row r="678">
      <x:c r="G678" s="30" t="n"/>
    </x:row>
    <x:row r="679">
      <x:c r="G679" s="30" t="n"/>
    </x:row>
    <x:row r="680">
      <x:c r="G680" s="30" t="n"/>
    </x:row>
    <x:row r="681">
      <x:c r="G681" s="30" t="n"/>
    </x:row>
    <x:row r="682">
      <x:c r="G682" s="30" t="n"/>
    </x:row>
    <x:row r="683">
      <x:c r="G683" s="30" t="n"/>
    </x:row>
    <x:row r="684">
      <x:c r="G684" s="30" t="n"/>
    </x:row>
    <x:row r="685">
      <x:c r="G685" s="30" t="n"/>
    </x:row>
    <x:row r="686">
      <x:c r="G686" s="30" t="n"/>
    </x:row>
    <x:row r="687">
      <x:c r="G687" s="30" t="n"/>
    </x:row>
    <x:row r="688">
      <x:c r="G688" s="30" t="n"/>
    </x:row>
    <x:row r="689">
      <x:c r="G689" s="30" t="n"/>
    </x:row>
    <x:row r="690">
      <x:c r="G690" s="30" t="n"/>
    </x:row>
    <x:row r="691">
      <x:c r="G691" s="30" t="n"/>
    </x:row>
    <x:row r="692">
      <x:c r="G692" s="30" t="n"/>
    </x:row>
    <x:row r="693">
      <x:c r="G693" s="30" t="n"/>
    </x:row>
    <x:row r="694">
      <x:c r="G694" s="30" t="n"/>
    </x:row>
    <x:row r="695">
      <x:c r="G695" s="30" t="n"/>
    </x:row>
    <x:row r="696">
      <x:c r="G696" s="30" t="n"/>
    </x:row>
    <x:row r="697">
      <x:c r="G697" s="30" t="n"/>
    </x:row>
    <x:row r="698">
      <x:c r="G698" s="30" t="n"/>
    </x:row>
    <x:row r="699">
      <x:c r="G699" s="30" t="n"/>
    </x:row>
    <x:row r="700">
      <x:c r="G700" s="30" t="n"/>
    </x:row>
    <x:row r="701">
      <x:c r="G701" s="30" t="n"/>
    </x:row>
    <x:row r="702">
      <x:c r="G702" s="30" t="n"/>
    </x:row>
    <x:row r="703">
      <x:c r="G703" s="30" t="n"/>
    </x:row>
    <x:row r="704">
      <x:c r="G704" s="30" t="n"/>
    </x:row>
    <x:row r="705">
      <x:c r="G705" s="30" t="n"/>
    </x:row>
    <x:row r="706">
      <x:c r="G706" s="30" t="n"/>
    </x:row>
    <x:row r="707">
      <x:c r="G707" s="30" t="n"/>
    </x:row>
    <x:row r="708">
      <x:c r="G708" s="30" t="n"/>
    </x:row>
    <x:row r="709">
      <x:c r="G709" s="30" t="n"/>
    </x:row>
    <x:row r="710">
      <x:c r="G710" s="30" t="n"/>
    </x:row>
    <x:row r="711">
      <x:c r="G711" s="30" t="n"/>
    </x:row>
    <x:row r="712">
      <x:c r="G712" s="30" t="n"/>
    </x:row>
    <x:row r="713">
      <x:c r="G713" s="30" t="n"/>
    </x:row>
    <x:row r="714">
      <x:c r="G714" s="30" t="n"/>
    </x:row>
    <x:row r="715">
      <x:c r="G715" s="30" t="n"/>
    </x:row>
    <x:row r="716">
      <x:c r="G716" s="30" t="n"/>
    </x:row>
    <x:row r="717">
      <x:c r="G717" s="30" t="n"/>
    </x:row>
    <x:row r="718">
      <x:c r="G718" s="30" t="n"/>
    </x:row>
    <x:row r="719">
      <x:c r="G719" s="30" t="n"/>
    </x:row>
    <x:row r="720">
      <x:c r="G720" s="30" t="n"/>
    </x:row>
    <x:row r="721">
      <x:c r="G721" s="30" t="n"/>
    </x:row>
    <x:row r="722">
      <x:c r="G722" s="30" t="n"/>
    </x:row>
    <x:row r="723">
      <x:c r="G723" s="30" t="n"/>
    </x:row>
    <x:row r="724">
      <x:c r="G724" s="30" t="n"/>
    </x:row>
    <x:row r="725">
      <x:c r="G725" s="30" t="n"/>
    </x:row>
    <x:row r="726">
      <x:c r="G726" s="30" t="n"/>
    </x:row>
    <x:row r="727">
      <x:c r="G727" s="30" t="n"/>
    </x:row>
    <x:row r="728">
      <x:c r="G728" s="30" t="n"/>
    </x:row>
    <x:row r="729">
      <x:c r="G729" s="30" t="n"/>
    </x:row>
    <x:row r="730">
      <x:c r="G730" s="30" t="n"/>
    </x:row>
    <x:row r="731">
      <x:c r="G731" s="30" t="n"/>
    </x:row>
    <x:row r="732">
      <x:c r="G732" s="30" t="n"/>
    </x:row>
    <x:row r="733">
      <x:c r="G733" s="30" t="n"/>
    </x:row>
    <x:row r="734">
      <x:c r="G734" s="30" t="n"/>
    </x:row>
    <x:row r="735">
      <x:c r="G735" s="30" t="n"/>
    </x:row>
    <x:row r="736">
      <x:c r="G736" s="30" t="n"/>
    </x:row>
    <x:row r="737">
      <x:c r="G737" s="30" t="n"/>
    </x:row>
    <x:row r="738">
      <x:c r="G738" s="30" t="n"/>
    </x:row>
    <x:row r="739">
      <x:c r="G739" s="30" t="n"/>
    </x:row>
    <x:row r="740">
      <x:c r="G740" s="30" t="n"/>
    </x:row>
    <x:row r="741">
      <x:c r="G741" s="30" t="n"/>
    </x:row>
    <x:row r="742">
      <x:c r="G742" s="30" t="n"/>
    </x:row>
    <x:row r="743">
      <x:c r="G743" s="30" t="n"/>
    </x:row>
    <x:row r="744">
      <x:c r="G744" s="30" t="n"/>
    </x:row>
    <x:row r="745">
      <x:c r="G745" s="30" t="n"/>
    </x:row>
    <x:row r="746">
      <x:c r="G746" s="30" t="n"/>
    </x:row>
    <x:row r="747">
      <x:c r="G747" s="30" t="n"/>
    </x:row>
    <x:row r="748">
      <x:c r="G748" s="30" t="n"/>
    </x:row>
    <x:row r="749">
      <x:c r="G749" s="30" t="n"/>
    </x:row>
    <x:row r="750">
      <x:c r="G750" s="30" t="n"/>
    </x:row>
    <x:row r="751">
      <x:c r="G751" s="30" t="n"/>
    </x:row>
    <x:row r="752">
      <x:c r="G752" s="30" t="n"/>
    </x:row>
    <x:row r="753">
      <x:c r="G753" s="30" t="n"/>
    </x:row>
    <x:row r="754">
      <x:c r="G754" s="30" t="n"/>
    </x:row>
    <x:row r="755">
      <x:c r="G755" s="30" t="n"/>
    </x:row>
    <x:row r="756">
      <x:c r="G756" s="30" t="n"/>
    </x:row>
    <x:row r="757">
      <x:c r="G757" s="30" t="n"/>
    </x:row>
    <x:row r="758">
      <x:c r="G758" s="30" t="n"/>
    </x:row>
    <x:row r="759">
      <x:c r="G759" s="30" t="n"/>
    </x:row>
    <x:row r="760">
      <x:c r="G760" s="30" t="n"/>
    </x:row>
    <x:row r="761">
      <x:c r="G761" s="30" t="n"/>
    </x:row>
    <x:row r="762">
      <x:c r="G762" s="30" t="n"/>
    </x:row>
    <x:row r="763">
      <x:c r="G763" s="30" t="n"/>
    </x:row>
    <x:row r="764">
      <x:c r="G764" s="30" t="n"/>
    </x:row>
    <x:row r="765">
      <x:c r="G765" s="30" t="n"/>
    </x:row>
    <x:row r="766">
      <x:c r="G766" s="30" t="n"/>
    </x:row>
    <x:row r="767">
      <x:c r="G767" s="30" t="n"/>
    </x:row>
    <x:row r="768">
      <x:c r="G768" s="30" t="n"/>
    </x:row>
    <x:row r="769">
      <x:c r="G769" s="30" t="n"/>
    </x:row>
    <x:row r="770">
      <x:c r="G770" s="30" t="n"/>
    </x:row>
    <x:row r="771">
      <x:c r="G771" s="30" t="n"/>
    </x:row>
    <x:row r="772">
      <x:c r="G772" s="30" t="n"/>
    </x:row>
    <x:row r="773">
      <x:c r="G773" s="30" t="n"/>
    </x:row>
    <x:row r="774">
      <x:c r="G774" s="30" t="n"/>
    </x:row>
    <x:row r="775">
      <x:c r="G775" s="30" t="n"/>
    </x:row>
    <x:row r="776">
      <x:c r="G776" s="30" t="n"/>
    </x:row>
    <x:row r="777">
      <x:c r="G777" s="30" t="n"/>
    </x:row>
    <x:row r="778">
      <x:c r="G778" s="30" t="n"/>
    </x:row>
    <x:row r="779">
      <x:c r="G779" s="30" t="n"/>
    </x:row>
    <x:row r="780">
      <x:c r="G780" s="30" t="n"/>
    </x:row>
    <x:row r="781">
      <x:c r="G781" s="30" t="n"/>
    </x:row>
    <x:row r="782">
      <x:c r="G782" s="30" t="n"/>
    </x:row>
    <x:row r="783">
      <x:c r="G783" s="30" t="n"/>
    </x:row>
    <x:row r="784">
      <x:c r="G784" s="30" t="n"/>
    </x:row>
    <x:row r="785">
      <x:c r="G785" s="30" t="n"/>
    </x:row>
    <x:row r="786">
      <x:c r="G786" s="30" t="n"/>
    </x:row>
    <x:row r="787">
      <x:c r="G787" s="30" t="n"/>
    </x:row>
    <x:row r="788">
      <x:c r="G788" s="30" t="n"/>
    </x:row>
    <x:row r="789">
      <x:c r="G789" s="30" t="n"/>
    </x:row>
    <x:row r="790">
      <x:c r="G790" s="30" t="n"/>
    </x:row>
    <x:row r="791">
      <x:c r="G791" s="30" t="n"/>
    </x:row>
    <x:row r="792">
      <x:c r="G792" s="30" t="n"/>
    </x:row>
    <x:row r="793">
      <x:c r="G793" s="30" t="n"/>
    </x:row>
    <x:row r="794">
      <x:c r="G794" s="30" t="n"/>
    </x:row>
    <x:row r="795">
      <x:c r="G795" s="30" t="n"/>
    </x:row>
    <x:row r="796">
      <x:c r="G796" s="30" t="n"/>
    </x:row>
    <x:row r="797">
      <x:c r="G797" s="30" t="n"/>
    </x:row>
    <x:row r="798">
      <x:c r="G798" s="30" t="n"/>
    </x:row>
    <x:row r="799">
      <x:c r="G799" s="30" t="n"/>
    </x:row>
    <x:row r="800">
      <x:c r="G800" s="30" t="n"/>
    </x:row>
    <x:row r="801">
      <x:c r="G801" s="30" t="n"/>
    </x:row>
    <x:row r="802">
      <x:c r="G802" s="30" t="n"/>
    </x:row>
    <x:row r="803">
      <x:c r="G803" s="30" t="n"/>
    </x:row>
    <x:row r="804">
      <x:c r="G804" s="30" t="n"/>
    </x:row>
    <x:row r="805">
      <x:c r="G805" s="30" t="n"/>
    </x:row>
    <x:row r="806">
      <x:c r="G806" s="30" t="n"/>
    </x:row>
    <x:row r="807">
      <x:c r="G807" s="30" t="n"/>
    </x:row>
    <x:row r="808">
      <x:c r="G808" s="30" t="n"/>
    </x:row>
    <x:row r="809">
      <x:c r="G809" s="30" t="n"/>
    </x:row>
    <x:row r="810">
      <x:c r="G810" s="30" t="n"/>
    </x:row>
    <x:row r="811">
      <x:c r="G811" s="30" t="n"/>
    </x:row>
    <x:row r="812">
      <x:c r="G812" s="30" t="n"/>
    </x:row>
    <x:row r="813">
      <x:c r="G813" s="30" t="n"/>
    </x:row>
    <x:row r="814">
      <x:c r="G814" s="30" t="n"/>
    </x:row>
    <x:row r="815">
      <x:c r="G815" s="30" t="n"/>
    </x:row>
    <x:row r="816">
      <x:c r="G816" s="30" t="n"/>
    </x:row>
    <x:row r="817">
      <x:c r="G817" s="30" t="n"/>
    </x:row>
    <x:row r="818">
      <x:c r="G818" s="30" t="n"/>
    </x:row>
    <x:row r="819">
      <x:c r="G819" s="30" t="n"/>
    </x:row>
    <x:row r="820">
      <x:c r="G820" s="30" t="n"/>
    </x:row>
    <x:row r="821">
      <x:c r="G821" s="30" t="n"/>
    </x:row>
    <x:row r="822">
      <x:c r="G822" s="30" t="n"/>
    </x:row>
    <x:row r="823">
      <x:c r="G823" s="30" t="n"/>
    </x:row>
    <x:row r="824">
      <x:c r="G824" s="30" t="n"/>
    </x:row>
    <x:row r="825">
      <x:c r="G825" s="30" t="n"/>
    </x:row>
    <x:row r="826">
      <x:c r="G826" s="30" t="n"/>
    </x:row>
    <x:row r="827">
      <x:c r="G827" s="30" t="n"/>
    </x:row>
    <x:row r="828">
      <x:c r="G828" s="30" t="n"/>
    </x:row>
    <x:row r="829">
      <x:c r="G829" s="30" t="n"/>
    </x:row>
    <x:row r="830">
      <x:c r="G830" s="30" t="n"/>
    </x:row>
    <x:row r="831">
      <x:c r="G831" s="30" t="n"/>
    </x:row>
    <x:row r="832">
      <x:c r="G832" s="30" t="n"/>
    </x:row>
    <x:row r="833">
      <x:c r="G833" s="30" t="n"/>
    </x:row>
    <x:row r="834">
      <x:c r="G834" s="30" t="n"/>
    </x:row>
    <x:row r="835">
      <x:c r="G835" s="30" t="n"/>
    </x:row>
    <x:row r="836">
      <x:c r="G836" s="30" t="n"/>
    </x:row>
    <x:row r="837">
      <x:c r="G837" s="30" t="n"/>
    </x:row>
    <x:row r="838">
      <x:c r="G838" s="30" t="n"/>
    </x:row>
    <x:row r="839">
      <x:c r="G839" s="30" t="n"/>
    </x:row>
    <x:row r="840">
      <x:c r="G840" s="30" t="n"/>
    </x:row>
    <x:row r="841">
      <x:c r="G841" s="30" t="n"/>
    </x:row>
    <x:row r="842">
      <x:c r="G842" s="30" t="n"/>
    </x:row>
    <x:row r="843">
      <x:c r="G843" s="30" t="n"/>
    </x:row>
    <x:row r="844">
      <x:c r="G844" s="30" t="n"/>
    </x:row>
    <x:row r="845">
      <x:c r="G845" s="30" t="n"/>
    </x:row>
    <x:row r="846">
      <x:c r="G846" s="30" t="n"/>
    </x:row>
    <x:row r="847">
      <x:c r="G847" s="30" t="n"/>
    </x:row>
    <x:row r="848">
      <x:c r="G848" s="30" t="n"/>
    </x:row>
    <x:row r="849">
      <x:c r="G849" s="30" t="n"/>
    </x:row>
    <x:row r="850">
      <x:c r="G850" s="30" t="n"/>
    </x:row>
    <x:row r="851">
      <x:c r="G851" s="30" t="n"/>
    </x:row>
    <x:row r="852">
      <x:c r="G852" s="30" t="n"/>
    </x:row>
    <x:row r="853">
      <x:c r="G853" s="30" t="n"/>
    </x:row>
    <x:row r="854">
      <x:c r="G854" s="30" t="n"/>
    </x:row>
    <x:row r="855">
      <x:c r="G855" s="30" t="n"/>
    </x:row>
    <x:row r="856">
      <x:c r="G856" s="30" t="n"/>
    </x:row>
    <x:row r="857">
      <x:c r="G857" s="30" t="n"/>
    </x:row>
    <x:row r="858">
      <x:c r="G858" s="30" t="n"/>
    </x:row>
    <x:row r="859">
      <x:c r="G859" s="30" t="n"/>
    </x:row>
    <x:row r="860">
      <x:c r="G860" s="30" t="n"/>
    </x:row>
    <x:row r="861">
      <x:c r="G861" s="30" t="n"/>
    </x:row>
    <x:row r="862">
      <x:c r="G862" s="30" t="n"/>
    </x:row>
    <x:row r="863">
      <x:c r="G863" s="30" t="n"/>
    </x:row>
    <x:row r="864">
      <x:c r="G864" s="30" t="n"/>
    </x:row>
    <x:row r="865">
      <x:c r="G865" s="30" t="n"/>
    </x:row>
    <x:row r="866">
      <x:c r="G866" s="30" t="n"/>
    </x:row>
    <x:row r="867">
      <x:c r="G867" s="30" t="n"/>
    </x:row>
    <x:row r="868">
      <x:c r="G868" s="30" t="n"/>
    </x:row>
    <x:row r="869">
      <x:c r="G869" s="30" t="n"/>
    </x:row>
    <x:row r="870">
      <x:c r="G870" s="30" t="n"/>
    </x:row>
    <x:row r="871">
      <x:c r="G871" s="30" t="n"/>
    </x:row>
    <x:row r="872">
      <x:c r="G872" s="30" t="n"/>
    </x:row>
    <x:row r="873">
      <x:c r="G873" s="30" t="n"/>
    </x:row>
    <x:row r="874">
      <x:c r="G874" s="30" t="n"/>
    </x:row>
    <x:row r="875">
      <x:c r="G875" s="30" t="n"/>
    </x:row>
    <x:row r="876">
      <x:c r="G876" s="30" t="n"/>
    </x:row>
    <x:row r="877">
      <x:c r="G877" s="30" t="n"/>
    </x:row>
    <x:row r="878">
      <x:c r="G878" s="30" t="n"/>
    </x:row>
    <x:row r="879">
      <x:c r="G879" s="30" t="n"/>
    </x:row>
    <x:row r="880">
      <x:c r="G880" s="30" t="n"/>
    </x:row>
    <x:row r="881">
      <x:c r="G881" s="30" t="n"/>
    </x:row>
    <x:row r="882">
      <x:c r="G882" s="30" t="n"/>
    </x:row>
    <x:row r="883">
      <x:c r="G883" s="30" t="n"/>
    </x:row>
    <x:row r="884">
      <x:c r="G884" s="30" t="n"/>
    </x:row>
    <x:row r="885">
      <x:c r="G885" s="30" t="n"/>
    </x:row>
    <x:row r="886">
      <x:c r="G886" s="30" t="n"/>
    </x:row>
    <x:row r="887">
      <x:c r="G887" s="30" t="n"/>
    </x:row>
    <x:row r="888">
      <x:c r="G888" s="30" t="n"/>
    </x:row>
    <x:row r="889">
      <x:c r="G889" s="30" t="n"/>
    </x:row>
    <x:row r="890">
      <x:c r="G890" s="30" t="n"/>
    </x:row>
    <x:row r="891">
      <x:c r="G891" s="30" t="n"/>
    </x:row>
    <x:row r="892">
      <x:c r="G892" s="30" t="n"/>
    </x:row>
    <x:row r="893">
      <x:c r="G893" s="30" t="n"/>
    </x:row>
    <x:row r="894">
      <x:c r="G894" s="30" t="n"/>
    </x:row>
    <x:row r="895">
      <x:c r="G895" s="30" t="n"/>
    </x:row>
    <x:row r="896">
      <x:c r="G896" s="30" t="n"/>
    </x:row>
    <x:row r="897">
      <x:c r="G897" s="30" t="n"/>
    </x:row>
    <x:row r="898">
      <x:c r="G898" s="30" t="n"/>
    </x:row>
    <x:row r="899">
      <x:c r="G899" s="30" t="n"/>
    </x:row>
    <x:row r="900">
      <x:c r="G900" s="30" t="n"/>
    </x:row>
    <x:row r="901">
      <x:c r="G901" s="30" t="n"/>
    </x:row>
    <x:row r="902">
      <x:c r="G902" s="30" t="n"/>
    </x:row>
    <x:row r="903">
      <x:c r="G903" s="30" t="n"/>
    </x:row>
    <x:row r="904">
      <x:c r="G904" s="30" t="n"/>
    </x:row>
    <x:row r="905">
      <x:c r="G905" s="30" t="n"/>
    </x:row>
    <x:row r="906">
      <x:c r="G906" s="30" t="n"/>
    </x:row>
    <x:row r="907">
      <x:c r="G907" s="30" t="n"/>
    </x:row>
    <x:row r="908">
      <x:c r="G908" s="30" t="n"/>
    </x:row>
    <x:row r="909">
      <x:c r="G909" s="30" t="n"/>
    </x:row>
    <x:row r="910">
      <x:c r="G910" s="30" t="n"/>
    </x:row>
    <x:row r="911">
      <x:c r="G911" s="30" t="n"/>
    </x:row>
    <x:row r="912">
      <x:c r="G912" s="30" t="n"/>
    </x:row>
    <x:row r="913">
      <x:c r="G913" s="30" t="n"/>
    </x:row>
    <x:row r="914">
      <x:c r="G914" s="30" t="n"/>
    </x:row>
    <x:row r="915">
      <x:c r="G915" s="30" t="n"/>
    </x:row>
    <x:row r="916">
      <x:c r="G916" s="30" t="n"/>
    </x:row>
    <x:row r="917">
      <x:c r="G917" s="30" t="n"/>
    </x:row>
    <x:row r="918">
      <x:c r="G918" s="30" t="n"/>
    </x:row>
    <x:row r="919">
      <x:c r="G919" s="30" t="n"/>
    </x:row>
    <x:row r="920">
      <x:c r="G920" s="30" t="n"/>
    </x:row>
    <x:row r="921">
      <x:c r="G921" s="30" t="n"/>
    </x:row>
    <x:row r="922">
      <x:c r="G922" s="30" t="n"/>
    </x:row>
    <x:row r="923">
      <x:c r="G923" s="30" t="n"/>
    </x:row>
    <x:row r="924">
      <x:c r="G924" s="30" t="n"/>
    </x:row>
    <x:row r="925">
      <x:c r="G925" s="30" t="n"/>
    </x:row>
    <x:row r="926">
      <x:c r="G926" s="30" t="n"/>
    </x:row>
    <x:row r="927">
      <x:c r="G927" s="30" t="n"/>
    </x:row>
    <x:row r="928">
      <x:c r="G928" s="30" t="n"/>
    </x:row>
    <x:row r="929">
      <x:c r="G929" s="30" t="n"/>
    </x:row>
    <x:row r="930">
      <x:c r="G930" s="30" t="n"/>
    </x:row>
    <x:row r="931">
      <x:c r="G931" s="30" t="n"/>
    </x:row>
    <x:row r="932">
      <x:c r="G932" s="30" t="n"/>
    </x:row>
    <x:row r="933">
      <x:c r="G933" s="30" t="n"/>
    </x:row>
    <x:row r="934">
      <x:c r="G934" s="30" t="n"/>
    </x:row>
    <x:row r="935">
      <x:c r="G935" s="30" t="n"/>
    </x:row>
    <x:row r="936">
      <x:c r="G936" s="30" t="n"/>
    </x:row>
    <x:row r="937">
      <x:c r="G937" s="30" t="n"/>
    </x:row>
    <x:row r="938">
      <x:c r="G938" s="30" t="n"/>
    </x:row>
    <x:row r="939">
      <x:c r="G939" s="30" t="n"/>
    </x:row>
    <x:row r="940">
      <x:c r="G940" s="30" t="n"/>
    </x:row>
    <x:row r="941">
      <x:c r="G941" s="30" t="n"/>
    </x:row>
    <x:row r="942">
      <x:c r="G942" s="30" t="n"/>
    </x:row>
    <x:row r="943">
      <x:c r="G943" s="30" t="n"/>
    </x:row>
    <x:row r="944">
      <x:c r="G944" s="30" t="n"/>
    </x:row>
    <x:row r="945">
      <x:c r="G945" s="30" t="n"/>
    </x:row>
    <x:row r="946">
      <x:c r="G946" s="30" t="n"/>
    </x:row>
    <x:row r="947">
      <x:c r="G947" s="30" t="n"/>
    </x:row>
    <x:row r="948">
      <x:c r="G948" s="30" t="n"/>
    </x:row>
    <x:row r="949">
      <x:c r="G949" s="30" t="n"/>
    </x:row>
    <x:row r="950">
      <x:c r="G950" s="30" t="n"/>
    </x:row>
    <x:row r="951">
      <x:c r="G951" s="30" t="n"/>
    </x:row>
    <x:row r="952">
      <x:c r="G952" s="30" t="n"/>
    </x:row>
    <x:row r="953">
      <x:c r="G953" s="30" t="n"/>
    </x:row>
    <x:row r="954">
      <x:c r="G954" s="30" t="n"/>
    </x:row>
    <x:row r="955">
      <x:c r="G955" s="30" t="n"/>
    </x:row>
    <x:row r="956">
      <x:c r="G956" s="30" t="n"/>
    </x:row>
    <x:row r="957">
      <x:c r="G957" s="30" t="n"/>
    </x:row>
    <x:row r="958">
      <x:c r="G958" s="30" t="n"/>
    </x:row>
    <x:row r="959">
      <x:c r="G959" s="30" t="n"/>
    </x:row>
    <x:row r="960">
      <x:c r="G960" s="30" t="n"/>
    </x:row>
    <x:row r="961">
      <x:c r="G961" s="30" t="n"/>
    </x:row>
    <x:row r="962">
      <x:c r="G962" s="30" t="n"/>
    </x:row>
    <x:row r="963">
      <x:c r="G963" s="30" t="n"/>
    </x:row>
    <x:row r="964">
      <x:c r="G964" s="30" t="n"/>
    </x:row>
    <x:row r="965">
      <x:c r="G965" s="30" t="n"/>
    </x:row>
    <x:row r="966">
      <x:c r="G966" s="30" t="n"/>
    </x:row>
    <x:row r="967">
      <x:c r="G967" s="30" t="n"/>
    </x:row>
    <x:row r="968">
      <x:c r="G968" s="30" t="n"/>
    </x:row>
    <x:row r="969">
      <x:c r="G969" s="30" t="n"/>
    </x:row>
    <x:row r="970">
      <x:c r="G970" s="30" t="n"/>
    </x:row>
    <x:row r="971">
      <x:c r="G971" s="30" t="n"/>
    </x:row>
    <x:row r="972">
      <x:c r="G972" s="30" t="n"/>
    </x:row>
    <x:row r="973">
      <x:c r="G973" s="30" t="n"/>
    </x:row>
    <x:row r="974">
      <x:c r="G974" s="30" t="n"/>
    </x:row>
    <x:row r="975">
      <x:c r="G975" s="30" t="n"/>
    </x:row>
    <x:row r="976">
      <x:c r="G976" s="30" t="n"/>
    </x:row>
    <x:row r="977">
      <x:c r="G977" s="30" t="n"/>
    </x:row>
    <x:row r="978">
      <x:c r="G978" s="30" t="n"/>
    </x:row>
    <x:row r="979">
      <x:c r="G979" s="30" t="n"/>
    </x:row>
    <x:row r="980">
      <x:c r="G980" s="30" t="n"/>
    </x:row>
    <x:row r="981">
      <x:c r="G981" s="30" t="n"/>
    </x:row>
    <x:row r="982">
      <x:c r="G982" s="30" t="n"/>
    </x:row>
    <x:row r="983">
      <x:c r="G983" s="30" t="n"/>
    </x:row>
    <x:row r="984">
      <x:c r="G984" s="30" t="n"/>
    </x:row>
    <x:row r="985">
      <x:c r="G985" s="30" t="n"/>
    </x:row>
    <x:row r="986">
      <x:c r="G986" s="30" t="n"/>
    </x:row>
    <x:row r="987">
      <x:c r="G987" s="30" t="n"/>
    </x:row>
    <x:row r="988">
      <x:c r="G988" s="30" t="n"/>
    </x:row>
    <x:row r="989">
      <x:c r="G989" s="30" t="n"/>
    </x:row>
    <x:row r="990">
      <x:c r="G990" s="30" t="n"/>
    </x:row>
    <x:row r="991">
      <x:c r="G991" s="30" t="n"/>
    </x:row>
    <x:row r="992">
      <x:c r="G992" s="30" t="n"/>
    </x:row>
    <x:row r="993">
      <x:c r="G993" s="30" t="n"/>
    </x:row>
    <x:row r="994">
      <x:c r="G994" s="30" t="n"/>
    </x:row>
    <x:row r="995">
      <x:c r="G995" s="30" t="n"/>
    </x:row>
    <x:row r="996">
      <x:c r="G996" s="30" t="n"/>
    </x:row>
    <x:row r="997">
      <x:c r="G997" s="30" t="n"/>
    </x:row>
    <x:row r="998">
      <x:c r="G998" s="30" t="n"/>
    </x:row>
    <x:row r="999">
      <x:c r="G999" s="30" t="n"/>
    </x:row>
    <x:row r="1000">
      <x:c r="G1000" s="30" t="n"/>
    </x:row>
  </x:sheetData>
  <x:pageMargins left="0.7" right="0.7" top="0.75" bottom="0.75" header="0.3" footer="0.3"/>
  <x:tableParts count="1">
    <x:tablePart xmlns:r="http://schemas.openxmlformats.org/officeDocument/2006/relationships" r:id="R23f05b12a49e4d7e"/>
  </x:tableParts>
</x:worksheet>
</file>

<file path=xl/worksheets/sheet5.xml><?xml version="1.0" encoding="utf-8"?>
<x:worksheet xmlns:x="http://schemas.openxmlformats.org/spreadsheetml/2006/main">
  <x:sheetPr>
    <x:tabColor rgb="FFC78A28"/>
  </x:sheetPr>
  <x:sheetViews>
    <x:sheetView showGridLines="0" workbookViewId="0">
      <x:pane ySplit="5" topLeftCell="A6" activePane="bottomLeft" state="frozen"/>
    </x:sheetView>
  </x:sheetViews>
  <x:sheetFormatPr baseColWidth="8" defaultRowHeight="15"/>
  <x:cols>
    <x:col min="1" max="1" width="22" customWidth="1"/>
    <x:col min="2" max="2" width="16" customWidth="1"/>
    <x:col min="3" max="3" width="16" customWidth="1"/>
    <x:col min="4" max="4" width="16" customWidth="1"/>
    <x:col min="5" max="5" width="68" customWidth="1"/>
    <x:col min="6" max="6" width="22" customWidth="1"/>
    <x:col min="7" max="7" width="20" customWidth="1"/>
    <x:col min="8" max="8" width="20" customWidth="1"/>
    <x:col min="9" max="9" width="18" customWidth="1"/>
    <x:col min="10" max="10" width="65" customWidth="1"/>
    <x:col min="11" max="11" width="40" customWidth="1"/>
    <x:col min="12" max="12" width="28" customWidth="1"/>
  </x:cols>
  <x:sheetData>
    <x:row r="1">
      <x:c r="A1" s="1" t="n"/>
      <x:c r="B1" s="1" t="n"/>
      <x:c r="C1" s="1" t="n"/>
      <x:c r="D1" s="1" t="n"/>
      <x:c r="E1" s="1" t="n"/>
      <x:c r="F1" s="1" t="n"/>
      <x:c r="G1" s="1" t="n"/>
      <x:c r="H1" s="1" t="n"/>
      <x:c r="I1" s="1" t="n"/>
      <x:c r="J1" s="1" t="n"/>
      <x:c r="K1" s="1" t="n"/>
      <x:c r="L1" s="1" t="n"/>
    </x:row>
    <x:row r="2">
      <x:c r="A2" s="2" t="inlineStr">
        <x:is>
          <x:t xml:space="preserve">Theo dõi từng tài liệu cần đồng bộ</x:t>
        </x:is>
      </x:c>
      <x:c r="B2" s="1" t="n"/>
      <x:c r="C2" s="1" t="n"/>
      <x:c r="D2" s="1" t="n"/>
      <x:c r="E2" s="1" t="n"/>
      <x:c r="F2" s="1" t="n"/>
      <x:c r="G2" s="1" t="n"/>
      <x:c r="H2" s="1" t="n"/>
      <x:c r="I2" s="1" t="n"/>
      <x:c r="J2" s="1" t="n"/>
      <x:c r="K2" s="1" t="n"/>
      <x:c r="L2" s="1" t="n"/>
    </x:row>
    <x:row r="3">
      <x:c r="A3" s="3" t="inlineStr">
        <x:is>
          <x:t xml:space="preserve">Baseline đã đồng bộ; PLAN-005 còn thiếu. Hoàn tất tài liệu không phải đã triển khai hoặc cho phép chạy tiền thật.</x:t>
        </x:is>
      </x:c>
      <x:c r="B3" s="1" t="n"/>
      <x:c r="C3" s="1" t="n"/>
      <x:c r="D3" s="1" t="n"/>
      <x:c r="E3" s="1" t="n"/>
      <x:c r="F3" s="1" t="n"/>
      <x:c r="G3" s="1" t="n"/>
      <x:c r="H3" s="1" t="n"/>
      <x:c r="I3" s="1" t="n"/>
      <x:c r="J3" s="1" t="n"/>
      <x:c r="K3" s="1" t="n"/>
      <x:c r="L3" s="1" t="n"/>
    </x:row>
    <x:row r="4">
      <x:c r="A4" s="1" t="n"/>
      <x:c r="B4" s="1" t="n"/>
      <x:c r="C4" s="1" t="n"/>
      <x:c r="D4" s="1" t="n"/>
      <x:c r="E4" s="1" t="n"/>
      <x:c r="F4" s="1" t="n"/>
      <x:c r="G4" s="1" t="n"/>
      <x:c r="H4" s="1" t="n"/>
      <x:c r="I4" s="1" t="n"/>
      <x:c r="J4" s="1" t="n"/>
      <x:c r="K4" s="1" t="n"/>
      <x:c r="L4" s="1" t="n"/>
    </x:row>
    <x:row r="5" ht="34" customHeight="1">
      <x:c r="A5" s="6" t="inlineStr">
        <x:is>
          <x:t xml:space="preserve">Mã đợt</x:t>
        </x:is>
      </x:c>
      <x:c r="B5" s="6" t="inlineStr">
        <x:is>
          <x:t xml:space="preserve">Quyết định</x:t>
        </x:is>
      </x:c>
      <x:c r="C5" s="6" t="inlineStr">
        <x:is>
          <x:t xml:space="preserve">Chức năng</x:t>
        </x:is>
      </x:c>
      <x:c r="D5" s="6" t="inlineStr">
        <x:is>
          <x:t xml:space="preserve">Tài liệu</x:t>
        </x:is>
      </x:c>
      <x:c r="E5" s="6" t="inlineStr">
        <x:is>
          <x:t xml:space="preserve">Nội dung cần đồng bộ</x:t>
        </x:is>
      </x:c>
      <x:c r="F5" s="6" t="inlineStr">
        <x:is>
          <x:t xml:space="preserve">Thực hiện</x:t>
        </x:is>
      </x:c>
      <x:c r="G5" s="6" t="inlineStr">
        <x:is>
          <x:t xml:space="preserve">Đã kiểm chéo</x:t>
        </x:is>
      </x:c>
      <x:c r="H5" s="6" t="inlineStr">
        <x:is>
          <x:t xml:space="preserve">Người kiểm</x:t>
        </x:is>
      </x:c>
      <x:c r="I5" s="6" t="inlineStr">
        <x:is>
          <x:t xml:space="preserve">Ngày kiểm</x:t>
        </x:is>
      </x:c>
      <x:c r="J5" s="6" t="inlineStr">
        <x:is>
          <x:t xml:space="preserve">Bằng chứng / vị trí</x:t>
        </x:is>
      </x:c>
      <x:c r="K5" s="6" t="inlineStr">
        <x:is>
          <x:t xml:space="preserve">Lý do không áp dụng</x:t>
        </x:is>
      </x:c>
      <x:c r="L5" s="6" t="inlineStr">
        <x:is>
          <x:t xml:space="preserve">Kết quả</x:t>
        </x:is>
      </x:c>
    </x:row>
    <x:row r="6" ht="32" customHeight="1">
      <x:c r="A6" s="8" t="inlineStr">
        <x:is>
          <x:t xml:space="preserve">CHG-Q01</x:t>
        </x:is>
      </x:c>
      <x:c r="B6" s="8" t="inlineStr">
        <x:is>
          <x:t xml:space="preserve">Q01</x:t>
        </x:is>
      </x:c>
      <x:c r="C6" s="8" t="inlineStr">
        <x:is>
          <x:t xml:space="preserve">F13</x:t>
        </x:is>
      </x:c>
      <x:c r="D6" s="8" t="inlineStr">
        <x:is>
          <x:t xml:space="preserve">DOC-004</x:t>
        </x:is>
      </x:c>
      <x:c r="E6" s="8" t="inlineStr">
        <x:is>
          <x:t xml:space="preserve">Đối chiếu/sửa điều kiện đủ hai xác nhận; kiểm cả toàn point</x:t>
        </x:is>
      </x:c>
      <x:c r="F6" s="8" t="inlineStr">
        <x:is>
          <x:t xml:space="preserve">Đã cập nhật</x:t>
        </x:is>
      </x:c>
      <x:c r="G6" s="8" t="inlineStr">
        <x:is>
          <x:t xml:space="preserve">Có</x:t>
        </x:is>
      </x:c>
      <x:c r="H6" s="8" t="inlineStr">
        <x:is>
          <x:t xml:space="preserve">Codex</x:t>
        </x:is>
      </x:c>
      <x:c r="I6" s="27" t="n">
        <x:v>46287</x:v>
      </x:c>
      <x:c r="J6" s="8" t="inlineStr">
        <x:is>
          <x:t xml:space="preserve">FR v0.16: FR-REV-001/004, INV-007/008, SUP/ADM pending; 88 ô đã đọc lại khớp.</x:t>
        </x:is>
      </x:c>
      <x:c r="K6" s="8" t="str"/>
      <x:c r="L6" s="8" t="str">
        <x:f>IF(F6="Không áp dụng",IF(AND(K6&lt;&gt;"",H6&lt;&gt;""),"Không áp dụng có lý do","Thiếu lý do/người kiểm"),IF(AND(B6&lt;&gt;"",D6&lt;&gt;"",F6="Đã cập nhật",G6="Có",H6&lt;&gt;"",ISNUMBER(I6),J6&lt;&gt;""),"Hoàn tất","Chưa hoàn tất"))</x:f>
        <x:v>Hoàn tất</x:v>
      </x:c>
    </x:row>
    <x:row r="7" ht="32" customHeight="1">
      <x:c r="A7" s="8" t="inlineStr">
        <x:is>
          <x:t xml:space="preserve">CHG-Q01</x:t>
        </x:is>
      </x:c>
      <x:c r="B7" s="8" t="inlineStr">
        <x:is>
          <x:t xml:space="preserve">Q01</x:t>
        </x:is>
      </x:c>
      <x:c r="C7" s="8" t="inlineStr">
        <x:is>
          <x:t xml:space="preserve">F13</x:t>
        </x:is>
      </x:c>
      <x:c r="D7" s="8" t="inlineStr">
        <x:is>
          <x:t xml:space="preserve">DOC-005</x:t>
        </x:is>
      </x:c>
      <x:c r="E7" s="8" t="inlineStr">
        <x:is>
          <x:t xml:space="preserve">Đối chiếu/sửa điều kiện đủ hai xác nhận; kiểm cả toàn point</x:t>
        </x:is>
      </x:c>
      <x:c r="F7" s="8" t="inlineStr">
        <x:is>
          <x:t xml:space="preserve">Đã cập nhật</x:t>
        </x:is>
      </x:c>
      <x:c r="G7" s="8" t="inlineStr">
        <x:is>
          <x:t xml:space="preserve">Có</x:t>
        </x:is>
      </x:c>
      <x:c r="H7" s="8" t="inlineStr">
        <x:is>
          <x:t xml:space="preserve">Codex</x:t>
        </x:is>
      </x:c>
      <x:c r="I7" s="27" t="n">
        <x:v>46287</x:v>
      </x:c>
      <x:c r="J7" s="8" t="inlineStr">
        <x:is>
          <x:t xml:space="preserve">SRS v0.14: SRS-REV-001, REV-AC-01/02, mục72; đọc lại native Docs.</x:t>
        </x:is>
      </x:c>
      <x:c r="K7" s="8" t="str"/>
      <x:c r="L7" s="8" t="str">
        <x:f>IF(F7="Không áp dụng",IF(AND(K7&lt;&gt;"",H7&lt;&gt;""),"Không áp dụng có lý do","Thiếu lý do/người kiểm"),IF(AND(B7&lt;&gt;"",D7&lt;&gt;"",F7="Đã cập nhật",G7="Có",H7&lt;&gt;"",ISNUMBER(I7),J7&lt;&gt;""),"Hoàn tất","Chưa hoàn tất"))</x:f>
        <x:v>Hoàn tất</x:v>
      </x:c>
    </x:row>
    <x:row r="8" ht="32" customHeight="1">
      <x:c r="A8" s="8" t="inlineStr">
        <x:is>
          <x:t xml:space="preserve">CHG-Q01</x:t>
        </x:is>
      </x:c>
      <x:c r="B8" s="8" t="inlineStr">
        <x:is>
          <x:t xml:space="preserve">Q01</x:t>
        </x:is>
      </x:c>
      <x:c r="C8" s="8" t="inlineStr">
        <x:is>
          <x:t xml:space="preserve">F13</x:t>
        </x:is>
      </x:c>
      <x:c r="D8" s="8" t="inlineStr">
        <x:is>
          <x:t xml:space="preserve">DOC-006</x:t>
        </x:is>
      </x:c>
      <x:c r="E8" s="8" t="inlineStr">
        <x:is>
          <x:t xml:space="preserve">Đối chiếu/sửa điều kiện đủ hai xác nhận; kiểm cả toàn point</x:t>
        </x:is>
      </x:c>
      <x:c r="F8" s="8" t="inlineStr">
        <x:is>
          <x:t xml:space="preserve">Đã cập nhật</x:t>
        </x:is>
      </x:c>
      <x:c r="G8" s="8" t="inlineStr">
        <x:is>
          <x:t xml:space="preserve">Có</x:t>
        </x:is>
      </x:c>
      <x:c r="H8" s="8" t="inlineStr">
        <x:is>
          <x:t xml:space="preserve">Codex</x:t>
        </x:is>
      </x:c>
      <x:c r="I8" s="27" t="n">
        <x:v>46287</x:v>
      </x:c>
      <x:c r="J8" s="8" t="inlineStr">
        <x:is>
          <x:t xml:space="preserve">UX v0.24 mục9 + quy tắc hiện hành; phần8 giữ lịch sử; đọc lại native Docs.</x:t>
        </x:is>
      </x:c>
      <x:c r="K8" s="8" t="str"/>
      <x:c r="L8" s="8" t="str">
        <x:f>IF(F8="Không áp dụng",IF(AND(K8&lt;&gt;"",H8&lt;&gt;""),"Không áp dụng có lý do","Thiếu lý do/người kiểm"),IF(AND(B8&lt;&gt;"",D8&lt;&gt;"",F8="Đã cập nhật",G8="Có",H8&lt;&gt;"",ISNUMBER(I8),J8&lt;&gt;""),"Hoàn tất","Chưa hoàn tất"))</x:f>
        <x:v>Hoàn tất</x:v>
      </x:c>
    </x:row>
    <x:row r="9" ht="32" customHeight="1">
      <x:c r="A9" s="8" t="inlineStr">
        <x:is>
          <x:t xml:space="preserve">CHG-Q01</x:t>
        </x:is>
      </x:c>
      <x:c r="B9" s="8" t="inlineStr">
        <x:is>
          <x:t xml:space="preserve">Q01</x:t>
        </x:is>
      </x:c>
      <x:c r="C9" s="8" t="inlineStr">
        <x:is>
          <x:t xml:space="preserve">F13</x:t>
        </x:is>
      </x:c>
      <x:c r="D9" s="8" t="inlineStr">
        <x:is>
          <x:t xml:space="preserve">DOC-007</x:t>
        </x:is>
      </x:c>
      <x:c r="E9" s="8" t="inlineStr">
        <x:is>
          <x:t xml:space="preserve">Đối chiếu/sửa điều kiện đủ hai xác nhận; kiểm cả toàn point</x:t>
        </x:is>
      </x:c>
      <x:c r="F9" s="8" t="inlineStr">
        <x:is>
          <x:t xml:space="preserve">Đã cập nhật</x:t>
        </x:is>
      </x:c>
      <x:c r="G9" s="8" t="inlineStr">
        <x:is>
          <x:t xml:space="preserve">Có</x:t>
        </x:is>
      </x:c>
      <x:c r="H9" s="8" t="inlineStr">
        <x:is>
          <x:t xml:space="preserve">Codex</x:t>
        </x:is>
      </x:c>
      <x:c r="I9" s="27" t="n">
        <x:v>46287</x:v>
      </x:c>
      <x:c r="J9" s="8" t="inlineStr">
        <x:is>
          <x:t xml:space="preserve">Phạm vi v0.24: baseline đầu file + lịch sử giữ nguyên; Drive/local khớp MD5.</x:t>
        </x:is>
      </x:c>
      <x:c r="K9" s="8" t="str"/>
      <x:c r="L9" s="8" t="str">
        <x:f>IF(F9="Không áp dụng",IF(AND(K9&lt;&gt;"",H9&lt;&gt;""),"Không áp dụng có lý do","Thiếu lý do/người kiểm"),IF(AND(B9&lt;&gt;"",D9&lt;&gt;"",F9="Đã cập nhật",G9="Có",H9&lt;&gt;"",ISNUMBER(I9),J9&lt;&gt;""),"Hoàn tất","Chưa hoàn tất"))</x:f>
        <x:v>Hoàn tất</x:v>
      </x:c>
    </x:row>
    <x:row r="10" ht="32" customHeight="1">
      <x:c r="A10" s="8" t="inlineStr">
        <x:is>
          <x:t xml:space="preserve">CHG-Q01</x:t>
        </x:is>
      </x:c>
      <x:c r="B10" s="8" t="inlineStr">
        <x:is>
          <x:t xml:space="preserve">Q01</x:t>
        </x:is>
      </x:c>
      <x:c r="C10" s="8" t="inlineStr">
        <x:is>
          <x:t xml:space="preserve">F13</x:t>
        </x:is>
      </x:c>
      <x:c r="D10" s="8" t="inlineStr">
        <x:is>
          <x:t xml:space="preserve">DOC-008</x:t>
        </x:is>
      </x:c>
      <x:c r="E10" s="8" t="inlineStr">
        <x:is>
          <x:t xml:space="preserve">Đối chiếu/sửa điều kiện đủ hai xác nhận; kiểm cả toàn point</x:t>
        </x:is>
      </x:c>
      <x:c r="F10" s="8" t="inlineStr">
        <x:is>
          <x:t xml:space="preserve">Đã cập nhật</x:t>
        </x:is>
      </x:c>
      <x:c r="G10" s="8" t="inlineStr">
        <x:is>
          <x:t xml:space="preserve">Có</x:t>
        </x:is>
      </x:c>
      <x:c r="H10" s="8" t="inlineStr">
        <x:is>
          <x:t xml:space="preserve">Codex</x:t>
        </x:is>
      </x:c>
      <x:c r="I10" s="27" t="n">
        <x:v>46287</x:v>
      </x:c>
      <x:c r="J10" s="8" t="inlineStr">
        <x:is>
          <x:t xml:space="preserve">Wireframe v0.24: canReview/recordCustomerPayment; 23 kiểm tra PASS, xem trên Browser.</x:t>
        </x:is>
      </x:c>
      <x:c r="K10" s="8" t="str"/>
      <x:c r="L10" s="8" t="str">
        <x:f>IF(F10="Không áp dụng",IF(AND(K10&lt;&gt;"",H10&lt;&gt;""),"Không áp dụng có lý do","Thiếu lý do/người kiểm"),IF(AND(B10&lt;&gt;"",D10&lt;&gt;"",F10="Đã cập nhật",G10="Có",H10&lt;&gt;"",ISNUMBER(I10),J10&lt;&gt;""),"Hoàn tất","Chưa hoàn tất"))</x:f>
        <x:v>Hoàn tất</x:v>
      </x:c>
    </x:row>
    <x:row r="11" ht="32" customHeight="1">
      <x:c r="A11" s="8" t="inlineStr">
        <x:is>
          <x:t xml:space="preserve">CHG-Q01</x:t>
        </x:is>
      </x:c>
      <x:c r="B11" s="8" t="inlineStr">
        <x:is>
          <x:t xml:space="preserve">Q01</x:t>
        </x:is>
      </x:c>
      <x:c r="C11" s="8" t="inlineStr">
        <x:is>
          <x:t xml:space="preserve">F13</x:t>
        </x:is>
      </x:c>
      <x:c r="D11" s="8" t="inlineStr">
        <x:is>
          <x:t xml:space="preserve">DOC-012</x:t>
        </x:is>
      </x:c>
      <x:c r="E11" s="8" t="inlineStr">
        <x:is>
          <x:t xml:space="preserve">Đối chiếu/sửa điều kiện đủ hai xác nhận; kiểm cả toàn point</x:t>
        </x:is>
      </x:c>
      <x:c r="F11" s="8" t="inlineStr">
        <x:is>
          <x:t xml:space="preserve">Đã cập nhật</x:t>
        </x:is>
      </x:c>
      <x:c r="G11" s="8" t="inlineStr">
        <x:is>
          <x:t xml:space="preserve">Có</x:t>
        </x:is>
      </x:c>
      <x:c r="H11" s="8" t="inlineStr">
        <x:is>
          <x:t xml:space="preserve">Codex</x:t>
        </x:is>
      </x:c>
      <x:c r="I11" s="27" t="n">
        <x:v>46287</x:v>
      </x:c>
      <x:c r="J11" s="8" t="inlineStr">
        <x:is>
          <x:t xml:space="preserve">User Flow v0.2: UF-08/10/12; đối chiếu flows.json và viewer.</x:t>
        </x:is>
      </x:c>
      <x:c r="K11" s="8" t="str"/>
      <x:c r="L11" s="8" t="str">
        <x:f>IF(F11="Không áp dụng",IF(AND(K11&lt;&gt;"",H11&lt;&gt;""),"Không áp dụng có lý do","Thiếu lý do/người kiểm"),IF(AND(B11&lt;&gt;"",D11&lt;&gt;"",F11="Đã cập nhật",G11="Có",H11&lt;&gt;"",ISNUMBER(I11),J11&lt;&gt;""),"Hoàn tất","Chưa hoàn tất"))</x:f>
        <x:v>Hoàn tất</x:v>
      </x:c>
    </x:row>
    <x:row r="12" ht="32" customHeight="1">
      <x:c r="A12" s="8" t="inlineStr">
        <x:is>
          <x:t xml:space="preserve">CHG-Q01</x:t>
        </x:is>
      </x:c>
      <x:c r="B12" s="8" t="inlineStr">
        <x:is>
          <x:t xml:space="preserve">Q01</x:t>
        </x:is>
      </x:c>
      <x:c r="C12" s="8" t="inlineStr">
        <x:is>
          <x:t xml:space="preserve">F13</x:t>
        </x:is>
      </x:c>
      <x:c r="D12" s="8" t="inlineStr">
        <x:is>
          <x:t xml:space="preserve">DOC-013</x:t>
        </x:is>
      </x:c>
      <x:c r="E12" s="8" t="inlineStr">
        <x:is>
          <x:t xml:space="preserve">Đối chiếu/sửa điều kiện đủ hai xác nhận; kiểm cả toàn point</x:t>
        </x:is>
      </x:c>
      <x:c r="F12" s="8" t="inlineStr">
        <x:is>
          <x:t xml:space="preserve">Đã cập nhật</x:t>
        </x:is>
      </x:c>
      <x:c r="G12" s="8" t="inlineStr">
        <x:is>
          <x:t xml:space="preserve">Có</x:t>
        </x:is>
      </x:c>
      <x:c r="H12" s="8" t="inlineStr">
        <x:is>
          <x:t xml:space="preserve">Codex</x:t>
        </x:is>
      </x:c>
      <x:c r="I12" s="27" t="n">
        <x:v>46287</x:v>
      </x:c>
      <x:c r="J12" s="8" t="inlineStr">
        <x:is>
          <x:t xml:space="preserve">Screen Flow v0.2: SF32, C13/P16; kiểm đúng route và cổng Q01.</x:t>
        </x:is>
      </x:c>
      <x:c r="K12" s="8" t="str"/>
      <x:c r="L12" s="8" t="str">
        <x:f>IF(F12="Không áp dụng",IF(AND(K12&lt;&gt;"",H12&lt;&gt;""),"Không áp dụng có lý do","Thiếu lý do/người kiểm"),IF(AND(B12&lt;&gt;"",D12&lt;&gt;"",F12="Đã cập nhật",G12="Có",H12&lt;&gt;"",ISNUMBER(I12),J12&lt;&gt;""),"Hoàn tất","Chưa hoàn tất"))</x:f>
        <x:v>Hoàn tất</x:v>
      </x:c>
    </x:row>
    <x:row r="13" ht="32" customHeight="1">
      <x:c r="A13" s="8" t="inlineStr">
        <x:is>
          <x:t xml:space="preserve">CHG-Q01</x:t>
        </x:is>
      </x:c>
      <x:c r="B13" s="8" t="inlineStr">
        <x:is>
          <x:t xml:space="preserve">Q01</x:t>
        </x:is>
      </x:c>
      <x:c r="C13" s="8" t="inlineStr">
        <x:is>
          <x:t xml:space="preserve">F13</x:t>
        </x:is>
      </x:c>
      <x:c r="D13" s="8" t="inlineStr">
        <x:is>
          <x:t xml:space="preserve">DOC-014</x:t>
        </x:is>
      </x:c>
      <x:c r="E13" s="8" t="inlineStr">
        <x:is>
          <x:t xml:space="preserve">Đối chiếu/sửa điều kiện đủ hai xác nhận; kiểm cả toàn point</x:t>
        </x:is>
      </x:c>
      <x:c r="F13" s="8" t="inlineStr">
        <x:is>
          <x:t xml:space="preserve">Đã cập nhật</x:t>
        </x:is>
      </x:c>
      <x:c r="G13" s="8" t="inlineStr">
        <x:is>
          <x:t xml:space="preserve">Có</x:t>
        </x:is>
      </x:c>
      <x:c r="H13" s="8" t="inlineStr">
        <x:is>
          <x:t xml:space="preserve">Codex</x:t>
        </x:is>
      </x:c>
      <x:c r="I13" s="27" t="n">
        <x:v>46287</x:v>
      </x:c>
      <x:c r="J13" s="8" t="inlineStr">
        <x:is>
          <x:t xml:space="preserve">Sequence v0.3: hóa đơn/admin; Mermaid và viewer cùng dữ liệu.</x:t>
        </x:is>
      </x:c>
      <x:c r="K13" s="8" t="str"/>
      <x:c r="L13" s="8" t="str">
        <x:f>IF(F13="Không áp dụng",IF(AND(K13&lt;&gt;"",H13&lt;&gt;""),"Không áp dụng có lý do","Thiếu lý do/người kiểm"),IF(AND(B13&lt;&gt;"",D13&lt;&gt;"",F13="Đã cập nhật",G13="Có",H13&lt;&gt;"",ISNUMBER(I13),J13&lt;&gt;""),"Hoàn tất","Chưa hoàn tất"))</x:f>
        <x:v>Hoàn tất</x:v>
      </x:c>
    </x:row>
    <x:row r="14" ht="32" customHeight="1">
      <x:c r="A14" s="8" t="inlineStr">
        <x:is>
          <x:t xml:space="preserve">CHG-Q01</x:t>
        </x:is>
      </x:c>
      <x:c r="B14" s="8" t="inlineStr">
        <x:is>
          <x:t xml:space="preserve">Q01</x:t>
        </x:is>
      </x:c>
      <x:c r="C14" s="8" t="inlineStr">
        <x:is>
          <x:t xml:space="preserve">F13</x:t>
        </x:is>
      </x:c>
      <x:c r="D14" s="8" t="inlineStr">
        <x:is>
          <x:t xml:space="preserve">DOC-015</x:t>
        </x:is>
      </x:c>
      <x:c r="E14" s="8" t="inlineStr">
        <x:is>
          <x:t xml:space="preserve">Đối chiếu/sửa điều kiện đủ hai xác nhận; kiểm cả toàn point</x:t>
        </x:is>
      </x:c>
      <x:c r="F14" s="8" t="inlineStr">
        <x:is>
          <x:t xml:space="preserve">Đã cập nhật</x:t>
        </x:is>
      </x:c>
      <x:c r="G14" s="8" t="inlineStr">
        <x:is>
          <x:t xml:space="preserve">Có</x:t>
        </x:is>
      </x:c>
      <x:c r="H14" s="8" t="inlineStr">
        <x:is>
          <x:t xml:space="preserve">Codex</x:t>
        </x:is>
      </x:c>
      <x:c r="I14" s="27" t="n">
        <x:v>46287</x:v>
      </x:c>
      <x:c r="J14" s="8" t="inlineStr">
        <x:is>
          <x:t xml:space="preserve">Viewer v0.3: bản nguồn/phục vụ khớp; Browser xem sequence hóa đơn.</x:t>
        </x:is>
      </x:c>
      <x:c r="K14" s="8" t="str"/>
      <x:c r="L14" s="8" t="str">
        <x:f>IF(F14="Không áp dụng",IF(AND(K14&lt;&gt;"",H14&lt;&gt;""),"Không áp dụng có lý do","Thiếu lý do/người kiểm"),IF(AND(B14&lt;&gt;"",D14&lt;&gt;"",F14="Đã cập nhật",G14="Có",H14&lt;&gt;"",ISNUMBER(I14),J14&lt;&gt;""),"Hoàn tất","Chưa hoàn tất"))</x:f>
        <x:v>Hoàn tất</x:v>
      </x:c>
    </x:row>
    <x:row r="15" ht="68" customHeight="1">
      <x:c r="A15" s="8" t="inlineStr">
        <x:is>
          <x:t xml:space="preserve">CHG-Q01</x:t>
        </x:is>
      </x:c>
      <x:c r="B15" s="8" t="inlineStr">
        <x:is>
          <x:t xml:space="preserve">Q01</x:t>
        </x:is>
      </x:c>
      <x:c r="C15" s="8" t="inlineStr">
        <x:is>
          <x:t xml:space="preserve">F13</x:t>
        </x:is>
      </x:c>
      <x:c r="D15" s="8" t="inlineStr">
        <x:is>
          <x:t xml:space="preserve">DOC-016</x:t>
        </x:is>
      </x:c>
      <x:c r="E15" s="8" t="inlineStr">
        <x:is>
          <x:t xml:space="preserve">Đã ghi Q01 trong bộ kiến trúc</x:t>
        </x:is>
      </x:c>
      <x:c r="F15" s="8" t="inlineStr">
        <x:is>
          <x:t xml:space="preserve">Đã cập nhật</x:t>
        </x:is>
      </x:c>
      <x:c r="G15" s="8" t="inlineStr">
        <x:is>
          <x:t xml:space="preserve">Có</x:t>
        </x:is>
      </x:c>
      <x:c r="H15" s="8" t="inlineStr">
        <x:is>
          <x:t xml:space="preserve">Codex</x:t>
        </x:is>
      </x:c>
      <x:c r="I15" s="27" t="n">
        <x:v>46287</x:v>
      </x:c>
      <x:c r="J15" s="8" t="inlineStr">
        <x:is>
          <x:t xml:space="preserve">Sổ quyết định Q01; nguồn 07-phan-quyen và 09-ERD; browser/readback 22/09</x:t>
        </x:is>
      </x:c>
      <x:c r="K15" s="8" t="str"/>
      <x:c r="L15" s="8" t="str">
        <x:f>IF(F15="Không áp dụng",IF(AND(K15&lt;&gt;"",H15&lt;&gt;""),"Không áp dụng có lý do","Thiếu lý do/người kiểm"),IF(AND(B15&lt;&gt;"",D15&lt;&gt;"",F15="Đã cập nhật",G15="Có",H15&lt;&gt;"",ISNUMBER(I15),J15&lt;&gt;""),"Hoàn tất","Chưa hoàn tất"))</x:f>
        <x:v>Hoàn tất</x:v>
      </x:c>
    </x:row>
    <x:row r="16" ht="68" customHeight="1">
      <x:c r="A16" s="8" t="inlineStr">
        <x:is>
          <x:t xml:space="preserve">CHG-Q01</x:t>
        </x:is>
      </x:c>
      <x:c r="B16" s="8" t="inlineStr">
        <x:is>
          <x:t xml:space="preserve">Q01</x:t>
        </x:is>
      </x:c>
      <x:c r="C16" s="8" t="inlineStr">
        <x:is>
          <x:t xml:space="preserve">F13</x:t>
        </x:is>
      </x:c>
      <x:c r="D16" s="8" t="inlineStr">
        <x:is>
          <x:t xml:space="preserve">DOC-017</x:t>
        </x:is>
      </x:c>
      <x:c r="E16" s="8" t="inlineStr">
        <x:is>
          <x:t xml:space="preserve">Đã ghi Q01 trong bộ kiến trúc</x:t>
        </x:is>
      </x:c>
      <x:c r="F16" s="8" t="inlineStr">
        <x:is>
          <x:t xml:space="preserve">Đã cập nhật</x:t>
        </x:is>
      </x:c>
      <x:c r="G16" s="8" t="inlineStr">
        <x:is>
          <x:t xml:space="preserve">Có</x:t>
        </x:is>
      </x:c>
      <x:c r="H16" s="8" t="inlineStr">
        <x:is>
          <x:t xml:space="preserve">Codex</x:t>
        </x:is>
      </x:c>
      <x:c r="I16" s="27" t="n">
        <x:v>46287</x:v>
      </x:c>
      <x:c r="J16" s="8" t="inlineStr">
        <x:is>
          <x:t xml:space="preserve">Sổ quyết định Q01; nguồn 07-phan-quyen và 09-ERD; browser/readback 22/09</x:t>
        </x:is>
      </x:c>
      <x:c r="K16" s="8" t="str"/>
      <x:c r="L16" s="8" t="str">
        <x:f>IF(F16="Không áp dụng",IF(AND(K16&lt;&gt;"",H16&lt;&gt;""),"Không áp dụng có lý do","Thiếu lý do/người kiểm"),IF(AND(B16&lt;&gt;"",D16&lt;&gt;"",F16="Đã cập nhật",G16="Có",H16&lt;&gt;"",ISNUMBER(I16),J16&lt;&gt;""),"Hoàn tất","Chưa hoàn tất"))</x:f>
        <x:v>Hoàn tất</x:v>
      </x:c>
    </x:row>
    <x:row r="17" ht="32" customHeight="1">
      <x:c r="A17" s="8" t="inlineStr">
        <x:is>
          <x:t xml:space="preserve">CHG-Q02</x:t>
        </x:is>
      </x:c>
      <x:c r="B17" s="8" t="inlineStr">
        <x:is>
          <x:t xml:space="preserve">Q02</x:t>
        </x:is>
      </x:c>
      <x:c r="C17" s="8" t="inlineStr">
        <x:is>
          <x:t xml:space="preserve">F15</x:t>
        </x:is>
      </x:c>
      <x:c r="D17" s="8" t="inlineStr">
        <x:is>
          <x:t xml:space="preserve">DOC-001</x:t>
        </x:is>
      </x:c>
      <x:c r="E17" s="8" t="inlineStr">
        <x:is>
          <x:t xml:space="preserve">Ghi điều kiện bắt buộc xử lý khoản giữ treo trước tiền thật</x:t>
        </x:is>
      </x:c>
      <x:c r="F17" s="8" t="inlineStr">
        <x:is>
          <x:t xml:space="preserve">Đã cập nhật</x:t>
        </x:is>
      </x:c>
      <x:c r="G17" s="8" t="inlineStr">
        <x:is>
          <x:t xml:space="preserve">Có</x:t>
        </x:is>
      </x:c>
      <x:c r="H17" s="8" t="inlineStr">
        <x:is>
          <x:t xml:space="preserve">Codex</x:t>
        </x:is>
      </x:c>
      <x:c r="I17" s="27" t="n">
        <x:v>46287</x:v>
      </x:c>
      <x:c r="J17" s="8" t="inlineStr">
        <x:is>
          <x:t xml:space="preserve">Lộ trình v4: phạm vi hiện tại và gate Q02; đọc lại native Docs 22/09.</x:t>
        </x:is>
      </x:c>
      <x:c r="K17" s="8" t="str"/>
      <x:c r="L17" s="8" t="str">
        <x:f>IF(F17="Không áp dụng",IF(AND(K17&lt;&gt;"",H17&lt;&gt;""),"Không áp dụng có lý do","Thiếu lý do/người kiểm"),IF(AND(B17&lt;&gt;"",D17&lt;&gt;"",F17="Đã cập nhật",G17="Có",H17&lt;&gt;"",ISNUMBER(I17),J17&lt;&gt;""),"Hoàn tất","Chưa hoàn tất"))</x:f>
        <x:v>Hoàn tất</x:v>
      </x:c>
    </x:row>
    <x:row r="18" ht="32" customHeight="1">
      <x:c r="A18" s="8" t="inlineStr">
        <x:is>
          <x:t xml:space="preserve">CHG-Q02</x:t>
        </x:is>
      </x:c>
      <x:c r="B18" s="8" t="inlineStr">
        <x:is>
          <x:t xml:space="preserve">Q02</x:t>
        </x:is>
      </x:c>
      <x:c r="C18" s="8" t="inlineStr">
        <x:is>
          <x:t xml:space="preserve">F15</x:t>
        </x:is>
      </x:c>
      <x:c r="D18" s="8" t="inlineStr">
        <x:is>
          <x:t xml:space="preserve">DOC-004</x:t>
        </x:is>
      </x:c>
      <x:c r="E18" s="8" t="inlineStr">
        <x:is>
          <x:t xml:space="preserve">Ghi điều kiện bắt buộc xử lý khoản giữ treo trước tiền thật</x:t>
        </x:is>
      </x:c>
      <x:c r="F18" s="8" t="inlineStr">
        <x:is>
          <x:t xml:space="preserve">Đã cập nhật</x:t>
        </x:is>
      </x:c>
      <x:c r="G18" s="8" t="inlineStr">
        <x:is>
          <x:t xml:space="preserve">Có</x:t>
        </x:is>
      </x:c>
      <x:c r="H18" s="8" t="inlineStr">
        <x:is>
          <x:t xml:space="preserve">Codex</x:t>
        </x:is>
      </x:c>
      <x:c r="I18" s="27" t="n">
        <x:v>46287</x:v>
      </x:c>
      <x:c r="J18" s="8" t="inlineStr">
        <x:is>
          <x:t xml:space="preserve">FR v0.16: FR-REV-001/004, INV-007/008, SUP/ADM pending; 88 ô đã đọc lại khớp.</x:t>
        </x:is>
      </x:c>
      <x:c r="K18" s="8" t="str"/>
      <x:c r="L18" s="8" t="str">
        <x:f>IF(F18="Không áp dụng",IF(AND(K18&lt;&gt;"",H18&lt;&gt;""),"Không áp dụng có lý do","Thiếu lý do/người kiểm"),IF(AND(B18&lt;&gt;"",D18&lt;&gt;"",F18="Đã cập nhật",G18="Có",H18&lt;&gt;"",ISNUMBER(I18),J18&lt;&gt;""),"Hoàn tất","Chưa hoàn tất"))</x:f>
        <x:v>Hoàn tất</x:v>
      </x:c>
    </x:row>
    <x:row r="19" ht="32" customHeight="1">
      <x:c r="A19" s="8" t="inlineStr">
        <x:is>
          <x:t xml:space="preserve">CHG-Q02</x:t>
        </x:is>
      </x:c>
      <x:c r="B19" s="8" t="inlineStr">
        <x:is>
          <x:t xml:space="preserve">Q02</x:t>
        </x:is>
      </x:c>
      <x:c r="C19" s="8" t="inlineStr">
        <x:is>
          <x:t xml:space="preserve">F15</x:t>
        </x:is>
      </x:c>
      <x:c r="D19" s="8" t="inlineStr">
        <x:is>
          <x:t xml:space="preserve">DOC-005</x:t>
        </x:is>
      </x:c>
      <x:c r="E19" s="8" t="inlineStr">
        <x:is>
          <x:t xml:space="preserve">Ghi điều kiện bắt buộc xử lý khoản giữ treo trước tiền thật</x:t>
        </x:is>
      </x:c>
      <x:c r="F19" s="8" t="inlineStr">
        <x:is>
          <x:t xml:space="preserve">Đã cập nhật</x:t>
        </x:is>
      </x:c>
      <x:c r="G19" s="8" t="inlineStr">
        <x:is>
          <x:t xml:space="preserve">Có</x:t>
        </x:is>
      </x:c>
      <x:c r="H19" s="8" t="inlineStr">
        <x:is>
          <x:t xml:space="preserve">Codex</x:t>
        </x:is>
      </x:c>
      <x:c r="I19" s="27" t="n">
        <x:v>46287</x:v>
      </x:c>
      <x:c r="J19" s="8" t="inlineStr">
        <x:is>
          <x:t xml:space="preserve">SRS v0.14: SRS-REV-001, REV-AC-01/02, mục72; đọc lại native Docs.</x:t>
        </x:is>
      </x:c>
      <x:c r="K19" s="8" t="str"/>
      <x:c r="L19" s="8" t="str">
        <x:f>IF(F19="Không áp dụng",IF(AND(K19&lt;&gt;"",H19&lt;&gt;""),"Không áp dụng có lý do","Thiếu lý do/người kiểm"),IF(AND(B19&lt;&gt;"",D19&lt;&gt;"",F19="Đã cập nhật",G19="Có",H19&lt;&gt;"",ISNUMBER(I19),J19&lt;&gt;""),"Hoàn tất","Chưa hoàn tất"))</x:f>
        <x:v>Hoàn tất</x:v>
      </x:c>
    </x:row>
    <x:row r="20" ht="32" customHeight="1">
      <x:c r="A20" s="8" t="inlineStr">
        <x:is>
          <x:t xml:space="preserve">CHG-Q02</x:t>
        </x:is>
      </x:c>
      <x:c r="B20" s="8" t="inlineStr">
        <x:is>
          <x:t xml:space="preserve">Q02</x:t>
        </x:is>
      </x:c>
      <x:c r="C20" s="8" t="inlineStr">
        <x:is>
          <x:t xml:space="preserve">F15</x:t>
        </x:is>
      </x:c>
      <x:c r="D20" s="8" t="inlineStr">
        <x:is>
          <x:t xml:space="preserve">PLAN-005</x:t>
        </x:is>
      </x:c>
      <x:c r="E20" s="8" t="inlineStr">
        <x:is>
          <x:t xml:space="preserve">Tạo và kiểm chứng runbook xử lý khoản giữ treo qua báo cáo/admin trước tiền thật; hiện vẫn pending theo user.</x:t>
        </x:is>
      </x:c>
      <x:c r="F20" s="8" t="inlineStr">
        <x:is>
          <x:t xml:space="preserve">Chưa kiểm tra</x:t>
        </x:is>
      </x:c>
      <x:c r="G20" s="8" t="str"/>
      <x:c r="H20" s="8" t="str"/>
      <x:c r="I20" s="27" t="n"/>
      <x:c r="J20" s="8" t="inlineStr">
        <x:is>
          <x:t xml:space="preserve">Gate đã ghi ở lộ trình/SRS/FR; runbook chưa tạo. Không đánh dấu hoàn tất.</x:t>
        </x:is>
      </x:c>
      <x:c r="K20" s="8" t="str"/>
      <x:c r="L20" s="8" t="str">
        <x:f>IF(F20="Không áp dụng",IF(AND(K20&lt;&gt;"",H20&lt;&gt;""),"Không áp dụng có lý do","Thiếu lý do/người kiểm"),IF(AND(B20&lt;&gt;"",D20&lt;&gt;"",F20="Đã cập nhật",G20="Có",H20&lt;&gt;"",ISNUMBER(I20),J20&lt;&gt;""),"Hoàn tất","Chưa hoàn tất"))</x:f>
        <x:v>Chưa hoàn tất</x:v>
      </x:c>
    </x:row>
    <x:row r="21" ht="38" customHeight="1">
      <x:c r="A21" s="8" t="inlineStr">
        <x:is>
          <x:t xml:space="preserve">CHG-BASELINE</x:t>
        </x:is>
      </x:c>
      <x:c r="B21" s="8" t="inlineStr">
        <x:is>
          <x:t xml:space="preserve">RULE-01</x:t>
        </x:is>
      </x:c>
      <x:c r="C21" s="8" t="inlineStr">
        <x:is>
          <x:t xml:space="preserve">F20</x:t>
        </x:is>
      </x:c>
      <x:c r="D21" s="8" t="inlineStr">
        <x:is>
          <x:t xml:space="preserve">DOC-006</x:t>
        </x:is>
      </x:c>
      <x:c r="E21" s="8" t="inlineStr">
        <x:is>
          <x:t xml:space="preserve">Đã đối chiếu và nâng UX native lên v0.24; giữ phần lịch sử, đồng bộ baseline hiện hành.</x:t>
        </x:is>
      </x:c>
      <x:c r="F21" s="8" t="inlineStr">
        <x:is>
          <x:t xml:space="preserve">Đã cập nhật</x:t>
        </x:is>
      </x:c>
      <x:c r="G21" s="8" t="inlineStr">
        <x:is>
          <x:t xml:space="preserve">Có</x:t>
        </x:is>
      </x:c>
      <x:c r="H21" s="8" t="inlineStr">
        <x:is>
          <x:t xml:space="preserve">Codex</x:t>
        </x:is>
      </x:c>
      <x:c r="I21" s="27" t="n">
        <x:v>46287</x:v>
      </x:c>
      <x:c r="J21" s="8" t="inlineStr">
        <x:is>
          <x:t xml:space="preserve">UX v0.24 mục9 + quy tắc hiện hành; phần8 giữ lịch sử; đọc lại native Docs.</x:t>
        </x:is>
      </x:c>
      <x:c r="K21" s="8" t="str"/>
      <x:c r="L21" s="8" t="str">
        <x:f>IF(F21="Không áp dụng",IF(AND(K21&lt;&gt;"",H21&lt;&gt;""),"Không áp dụng có lý do","Thiếu lý do/người kiểm"),IF(AND(B21&lt;&gt;"",D21&lt;&gt;"",F21="Đã cập nhật",G21="Có",H21&lt;&gt;"",ISNUMBER(I21),J21&lt;&gt;""),"Hoàn tất","Chưa hoàn tất"))</x:f>
        <x:v>Hoàn tất</x:v>
      </x:c>
    </x:row>
    <x:row r="22" ht="74" customHeight="1">
      <x:c r="A22" s="20" t="inlineStr">
        <x:is>
          <x:t xml:space="preserve">CHG-BASELINE</x:t>
        </x:is>
      </x:c>
      <x:c r="B22" s="20" t="inlineStr">
        <x:is>
          <x:t xml:space="preserve">RULE-01</x:t>
        </x:is>
      </x:c>
      <x:c r="C22" s="20" t="inlineStr">
        <x:is>
          <x:t xml:space="preserve">F20</x:t>
        </x:is>
      </x:c>
      <x:c r="D22" s="20" t="inlineStr">
        <x:is>
          <x:t xml:space="preserve">DOC-002</x:t>
        </x:is>
      </x:c>
      <x:c r="E22" s="20" t="inlineStr">
        <x:is>
          <x:t xml:space="preserve">Đồng bộ phạm vi, trạng thái hồ sơ và bản xuất theo quyết định hiện hành</x:t>
        </x:is>
      </x:c>
      <x:c r="F22" s="20" t="inlineStr">
        <x:is>
          <x:t xml:space="preserve">Đã cập nhật</x:t>
        </x:is>
      </x:c>
      <x:c r="G22" s="20" t="inlineStr">
        <x:is>
          <x:t xml:space="preserve">Có</x:t>
        </x:is>
      </x:c>
      <x:c r="H22" s="20" t="inlineStr">
        <x:is>
          <x:t xml:space="preserve">Codex</x:t>
        </x:is>
      </x:c>
      <x:c r="I22" s="28" t="n">
        <x:v>46287</x:v>
      </x:c>
      <x:c r="J22" s="20" t="inlineStr">
        <x:is>
          <x:t xml:space="preserve">Đọc lại/kiểm chéo 22/09; nguồn theo Danh muc. Gói ZIP kiểm khớp 21 thành phần.</x:t>
        </x:is>
      </x:c>
      <x:c r="K22" s="20" t="n"/>
      <x:c r="L22" s="20" t="str">
        <x:f>IF(F22="Không áp dụng",IF(AND(K22&lt;&gt;"",H22&lt;&gt;""),"Không áp dụng có lý do","Thiếu lý do/người kiểm"),IF(AND(B22&lt;&gt;"",D22&lt;&gt;"",F22="Đã cập nhật",G22="Có",H22&lt;&gt;"",ISNUMBER(I22),J22&lt;&gt;""),"Hoàn tất","Chưa hoàn tất"))</x:f>
        <x:v>Hoàn tất</x:v>
      </x:c>
    </x:row>
    <x:row r="23" ht="74" customHeight="1">
      <x:c r="A23" s="20" t="inlineStr">
        <x:is>
          <x:t xml:space="preserve">CHG-BASELINE</x:t>
        </x:is>
      </x:c>
      <x:c r="B23" s="20" t="inlineStr">
        <x:is>
          <x:t xml:space="preserve">RULE-01</x:t>
        </x:is>
      </x:c>
      <x:c r="C23" s="20" t="inlineStr">
        <x:is>
          <x:t xml:space="preserve">F20</x:t>
        </x:is>
      </x:c>
      <x:c r="D23" s="20" t="inlineStr">
        <x:is>
          <x:t xml:space="preserve">DOC-003</x:t>
        </x:is>
      </x:c>
      <x:c r="E23" s="20" t="inlineStr">
        <x:is>
          <x:t xml:space="preserve">Đồng bộ phạm vi, trạng thái hồ sơ và bản xuất theo quyết định hiện hành</x:t>
        </x:is>
      </x:c>
      <x:c r="F23" s="20" t="inlineStr">
        <x:is>
          <x:t xml:space="preserve">Đã cập nhật</x:t>
        </x:is>
      </x:c>
      <x:c r="G23" s="20" t="inlineStr">
        <x:is>
          <x:t xml:space="preserve">Có</x:t>
        </x:is>
      </x:c>
      <x:c r="H23" s="20" t="inlineStr">
        <x:is>
          <x:t xml:space="preserve">Codex</x:t>
        </x:is>
      </x:c>
      <x:c r="I23" s="28" t="n">
        <x:v>46287</x:v>
      </x:c>
      <x:c r="J23" s="20" t="inlineStr">
        <x:is>
          <x:t xml:space="preserve">Đọc lại/kiểm chéo 22/09; nguồn theo Danh muc. Gói ZIP kiểm khớp 21 thành phần.</x:t>
        </x:is>
      </x:c>
      <x:c r="K23" s="20" t="n"/>
      <x:c r="L23" s="20" t="str">
        <x:f>IF(F23="Không áp dụng",IF(AND(K23&lt;&gt;"",H23&lt;&gt;""),"Không áp dụng có lý do","Thiếu lý do/người kiểm"),IF(AND(B23&lt;&gt;"",D23&lt;&gt;"",F23="Đã cập nhật",G23="Có",H23&lt;&gt;"",ISNUMBER(I23),J23&lt;&gt;""),"Hoàn tất","Chưa hoàn tất"))</x:f>
        <x:v>Hoàn tất</x:v>
      </x:c>
    </x:row>
    <x:row r="24" ht="74" customHeight="1">
      <x:c r="A24" s="20" t="inlineStr">
        <x:is>
          <x:t xml:space="preserve">CHG-BASELINE</x:t>
        </x:is>
      </x:c>
      <x:c r="B24" s="20" t="inlineStr">
        <x:is>
          <x:t xml:space="preserve">RULE-01</x:t>
        </x:is>
      </x:c>
      <x:c r="C24" s="20" t="inlineStr">
        <x:is>
          <x:t xml:space="preserve">F20</x:t>
        </x:is>
      </x:c>
      <x:c r="D24" s="20" t="inlineStr">
        <x:is>
          <x:t xml:space="preserve">DOC-011</x:t>
        </x:is>
      </x:c>
      <x:c r="E24" s="20" t="inlineStr">
        <x:is>
          <x:t xml:space="preserve">Đồng bộ phạm vi, trạng thái hồ sơ và bản xuất theo quyết định hiện hành</x:t>
        </x:is>
      </x:c>
      <x:c r="F24" s="20" t="inlineStr">
        <x:is>
          <x:t xml:space="preserve">Đã cập nhật</x:t>
        </x:is>
      </x:c>
      <x:c r="G24" s="20" t="inlineStr">
        <x:is>
          <x:t xml:space="preserve">Có</x:t>
        </x:is>
      </x:c>
      <x:c r="H24" s="20" t="inlineStr">
        <x:is>
          <x:t xml:space="preserve">Codex</x:t>
        </x:is>
      </x:c>
      <x:c r="I24" s="28" t="n">
        <x:v>46287</x:v>
      </x:c>
      <x:c r="J24" s="20" t="inlineStr">
        <x:is>
          <x:t xml:space="preserve">Đọc lại/kiểm chéo 22/09; nguồn theo Danh muc. Gói ZIP kiểm khớp 21 thành phần.</x:t>
        </x:is>
      </x:c>
      <x:c r="K24" s="20" t="n"/>
      <x:c r="L24" s="20" t="str">
        <x:f>IF(F24="Không áp dụng",IF(AND(K24&lt;&gt;"",H24&lt;&gt;""),"Không áp dụng có lý do","Thiếu lý do/người kiểm"),IF(AND(B24&lt;&gt;"",D24&lt;&gt;"",F24="Đã cập nhật",G24="Có",H24&lt;&gt;"",ISNUMBER(I24),J24&lt;&gt;""),"Hoàn tất","Chưa hoàn tất"))</x:f>
        <x:v>Hoàn tất</x:v>
      </x:c>
    </x:row>
    <x:row r="25" ht="74" customHeight="1">
      <x:c r="A25" s="20" t="inlineStr">
        <x:is>
          <x:t xml:space="preserve">CHG-BASELINE</x:t>
        </x:is>
      </x:c>
      <x:c r="B25" s="20" t="inlineStr">
        <x:is>
          <x:t xml:space="preserve">RULE-01</x:t>
        </x:is>
      </x:c>
      <x:c r="C25" s="20" t="inlineStr">
        <x:is>
          <x:t xml:space="preserve">F20</x:t>
        </x:is>
      </x:c>
      <x:c r="D25" s="20" t="inlineStr">
        <x:is>
          <x:t xml:space="preserve">DOC-034</x:t>
        </x:is>
      </x:c>
      <x:c r="E25" s="20" t="inlineStr">
        <x:is>
          <x:t xml:space="preserve">Đồng bộ phạm vi, trạng thái hồ sơ và bản xuất theo quyết định hiện hành</x:t>
        </x:is>
      </x:c>
      <x:c r="F25" s="20" t="inlineStr">
        <x:is>
          <x:t xml:space="preserve">Đã cập nhật</x:t>
        </x:is>
      </x:c>
      <x:c r="G25" s="20" t="inlineStr">
        <x:is>
          <x:t xml:space="preserve">Có</x:t>
        </x:is>
      </x:c>
      <x:c r="H25" s="20" t="inlineStr">
        <x:is>
          <x:t xml:space="preserve">Codex</x:t>
        </x:is>
      </x:c>
      <x:c r="I25" s="28" t="n">
        <x:v>46287</x:v>
      </x:c>
      <x:c r="J25" s="20" t="inlineStr">
        <x:is>
          <x:t xml:space="preserve">Đọc lại/kiểm chéo 22/09; nguồn theo Danh muc. Gói ZIP kiểm khớp 21 thành phần.</x:t>
        </x:is>
      </x:c>
      <x:c r="K25" s="20" t="n"/>
      <x:c r="L25" s="20" t="str">
        <x:f>IF(F25="Không áp dụng",IF(AND(K25&lt;&gt;"",H25&lt;&gt;""),"Không áp dụng có lý do","Thiếu lý do/người kiểm"),IF(AND(B25&lt;&gt;"",D25&lt;&gt;"",F25="Đã cập nhật",G25="Có",H25&lt;&gt;"",ISNUMBER(I25),J25&lt;&gt;""),"Hoàn tất","Chưa hoàn tất"))</x:f>
        <x:v>Hoàn tất</x:v>
      </x:c>
    </x:row>
    <x:row r="26" ht="74" customHeight="1">
      <x:c r="A26" s="20" t="inlineStr">
        <x:is>
          <x:t xml:space="preserve">CHG-BASELINE</x:t>
        </x:is>
      </x:c>
      <x:c r="B26" s="20" t="inlineStr">
        <x:is>
          <x:t xml:space="preserve">RULE-01</x:t>
        </x:is>
      </x:c>
      <x:c r="C26" s="20" t="inlineStr">
        <x:is>
          <x:t xml:space="preserve">F20</x:t>
        </x:is>
      </x:c>
      <x:c r="D26" s="20" t="inlineStr">
        <x:is>
          <x:t xml:space="preserve">DOC-018</x:t>
        </x:is>
      </x:c>
      <x:c r="E26" s="20" t="inlineStr">
        <x:is>
          <x:t xml:space="preserve">Đồng bộ phạm vi, trạng thái hồ sơ và bản xuất theo quyết định hiện hành</x:t>
        </x:is>
      </x:c>
      <x:c r="F26" s="20" t="inlineStr">
        <x:is>
          <x:t xml:space="preserve">Đã cập nhật</x:t>
        </x:is>
      </x:c>
      <x:c r="G26" s="20" t="inlineStr">
        <x:is>
          <x:t xml:space="preserve">Có</x:t>
        </x:is>
      </x:c>
      <x:c r="H26" s="20" t="inlineStr">
        <x:is>
          <x:t xml:space="preserve">Codex</x:t>
        </x:is>
      </x:c>
      <x:c r="I26" s="28" t="n">
        <x:v>46287</x:v>
      </x:c>
      <x:c r="J26" s="20" t="inlineStr">
        <x:is>
          <x:t xml:space="preserve">Đọc lại/kiểm chéo 22/09; nguồn theo Danh muc. Gói ZIP kiểm khớp 21 thành phần.</x:t>
        </x:is>
      </x:c>
      <x:c r="K26" s="20" t="n"/>
      <x:c r="L26" s="20" t="str">
        <x:f>IF(F26="Không áp dụng",IF(AND(K26&lt;&gt;"",H26&lt;&gt;""),"Không áp dụng có lý do","Thiếu lý do/người kiểm"),IF(AND(B26&lt;&gt;"",D26&lt;&gt;"",F26="Đã cập nhật",G26="Có",H26&lt;&gt;"",ISNUMBER(I26),J26&lt;&gt;""),"Hoàn tất","Chưa hoàn tất"))</x:f>
        <x:v>Hoàn tất</x:v>
      </x:c>
    </x:row>
    <x:row r="27" ht="78" customHeight="1">
      <x:c r="A27" s="20" t="inlineStr">
        <x:is>
          <x:t xml:space="preserve">CHG-TECH-01</x:t>
        </x:is>
      </x:c>
      <x:c r="B27" s="20" t="inlineStr">
        <x:is>
          <x:t xml:space="preserve">Q03</x:t>
        </x:is>
      </x:c>
      <x:c r="C27" s="20" t="inlineStr">
        <x:is>
          <x:t xml:space="preserve">F18</x:t>
        </x:is>
      </x:c>
      <x:c r="D27" s="20" t="inlineStr">
        <x:is>
          <x:t xml:space="preserve">DOC-001</x:t>
        </x:is>
      </x:c>
      <x:c r="E27" s="20" t="inlineStr">
        <x:is>
          <x:t xml:space="preserve">Chốt stack / ghi nhận thiết kế kỹ thuật v0.1</x:t>
        </x:is>
      </x:c>
      <x:c r="F27" s="20" t="inlineStr">
        <x:is>
          <x:t xml:space="preserve">Đã cập nhật</x:t>
        </x:is>
      </x:c>
      <x:c r="G27" s="20" t="inlineStr">
        <x:is>
          <x:t xml:space="preserve">Có</x:t>
        </x:is>
      </x:c>
      <x:c r="H27" s="20" t="inlineStr">
        <x:is>
          <x:t xml:space="preserve">Codex</x:t>
        </x:is>
      </x:c>
      <x:c r="I27" s="28" t="n">
        <x:v>46288</x:v>
      </x:c>
      <x:c r="J27" s="20" t="inlineStr">
        <x:is>
          <x:t xml:space="preserve">Native Docs/Sheet đọc lại; OpenAPI validator, SQL parser; API IDs/QA/backlog kiểm liên kết; viewer Browser; Drive lưu cùng ID hoặc đăng ký mới.</x:t>
        </x:is>
      </x:c>
      <x:c r="K27" s="20" t="n"/>
      <x:c r="L27" s="20" t="str">
        <x:f>IF(AND(B27&lt;&gt;"",D27&lt;&gt;"",F27="Đã cập nhật",G27="Có",H27&lt;&gt;"",ISNUMBER(I27),J27&lt;&gt;""),"Hoàn tất","Chưa hoàn tất")</x:f>
        <x:v>Hoàn tất</x:v>
      </x:c>
    </x:row>
    <x:row r="28" ht="78" customHeight="1">
      <x:c r="A28" s="20" t="inlineStr">
        <x:is>
          <x:t xml:space="preserve">CHG-TECH-01</x:t>
        </x:is>
      </x:c>
      <x:c r="B28" s="20" t="inlineStr">
        <x:is>
          <x:t xml:space="preserve">Q03</x:t>
        </x:is>
      </x:c>
      <x:c r="C28" s="20" t="inlineStr">
        <x:is>
          <x:t xml:space="preserve">F18</x:t>
        </x:is>
      </x:c>
      <x:c r="D28" s="20" t="inlineStr">
        <x:is>
          <x:t xml:space="preserve">DOC-002</x:t>
        </x:is>
      </x:c>
      <x:c r="E28" s="20" t="inlineStr">
        <x:is>
          <x:t xml:space="preserve">Chốt stack / ghi nhận thiết kế kỹ thuật v0.1</x:t>
        </x:is>
      </x:c>
      <x:c r="F28" s="20" t="inlineStr">
        <x:is>
          <x:t xml:space="preserve">Đã cập nhật</x:t>
        </x:is>
      </x:c>
      <x:c r="G28" s="20" t="inlineStr">
        <x:is>
          <x:t xml:space="preserve">Có</x:t>
        </x:is>
      </x:c>
      <x:c r="H28" s="20" t="inlineStr">
        <x:is>
          <x:t xml:space="preserve">Codex</x:t>
        </x:is>
      </x:c>
      <x:c r="I28" s="28" t="n">
        <x:v>46288</x:v>
      </x:c>
      <x:c r="J28" s="20" t="inlineStr">
        <x:is>
          <x:t xml:space="preserve">Native Docs/Sheet đọc lại; OpenAPI validator, SQL parser; API IDs/QA/backlog kiểm liên kết; viewer Browser; Drive lưu cùng ID hoặc đăng ký mới.</x:t>
        </x:is>
      </x:c>
      <x:c r="K28" s="20" t="n"/>
      <x:c r="L28" s="20" t="str">
        <x:f>IF(AND(B28&lt;&gt;"",D28&lt;&gt;"",F28="Đã cập nhật",G28="Có",H28&lt;&gt;"",ISNUMBER(I28),J28&lt;&gt;""),"Hoàn tất","Chưa hoàn tất")</x:f>
        <x:v>Hoàn tất</x:v>
      </x:c>
    </x:row>
    <x:row r="29" ht="78" customHeight="1">
      <x:c r="A29" s="20" t="inlineStr">
        <x:is>
          <x:t xml:space="preserve">CHG-TECH-01</x:t>
        </x:is>
      </x:c>
      <x:c r="B29" s="20" t="inlineStr">
        <x:is>
          <x:t xml:space="preserve">Q03</x:t>
        </x:is>
      </x:c>
      <x:c r="C29" s="20" t="inlineStr">
        <x:is>
          <x:t xml:space="preserve">F18</x:t>
        </x:is>
      </x:c>
      <x:c r="D29" s="20" t="inlineStr">
        <x:is>
          <x:t xml:space="preserve">DOC-003</x:t>
        </x:is>
      </x:c>
      <x:c r="E29" s="20" t="inlineStr">
        <x:is>
          <x:t xml:space="preserve">Chốt stack / ghi nhận thiết kế kỹ thuật v0.1</x:t>
        </x:is>
      </x:c>
      <x:c r="F29" s="20" t="inlineStr">
        <x:is>
          <x:t xml:space="preserve">Đã cập nhật</x:t>
        </x:is>
      </x:c>
      <x:c r="G29" s="20" t="inlineStr">
        <x:is>
          <x:t xml:space="preserve">Có</x:t>
        </x:is>
      </x:c>
      <x:c r="H29" s="20" t="inlineStr">
        <x:is>
          <x:t xml:space="preserve">Codex</x:t>
        </x:is>
      </x:c>
      <x:c r="I29" s="28" t="n">
        <x:v>46288</x:v>
      </x:c>
      <x:c r="J29" s="20" t="inlineStr">
        <x:is>
          <x:t xml:space="preserve">Native Docs/Sheet đọc lại; OpenAPI validator, SQL parser; API IDs/QA/backlog kiểm liên kết; viewer Browser; Drive lưu cùng ID hoặc đăng ký mới.</x:t>
        </x:is>
      </x:c>
      <x:c r="K29" s="20" t="n"/>
      <x:c r="L29" s="20" t="str">
        <x:f>IF(AND(B29&lt;&gt;"",D29&lt;&gt;"",F29="Đã cập nhật",G29="Có",H29&lt;&gt;"",ISNUMBER(I29),J29&lt;&gt;""),"Hoàn tất","Chưa hoàn tất")</x:f>
        <x:v>Hoàn tất</x:v>
      </x:c>
    </x:row>
    <x:row r="30" ht="78" customHeight="1">
      <x:c r="A30" s="20" t="inlineStr">
        <x:is>
          <x:t xml:space="preserve">CHG-TECH-01</x:t>
        </x:is>
      </x:c>
      <x:c r="B30" s="20" t="inlineStr">
        <x:is>
          <x:t xml:space="preserve">Q03</x:t>
        </x:is>
      </x:c>
      <x:c r="C30" s="20" t="inlineStr">
        <x:is>
          <x:t xml:space="preserve">F18</x:t>
        </x:is>
      </x:c>
      <x:c r="D30" s="20" t="inlineStr">
        <x:is>
          <x:t xml:space="preserve">DOC-004</x:t>
        </x:is>
      </x:c>
      <x:c r="E30" s="20" t="inlineStr">
        <x:is>
          <x:t xml:space="preserve">Chốt stack / ghi nhận thiết kế kỹ thuật v0.1</x:t>
        </x:is>
      </x:c>
      <x:c r="F30" s="20" t="inlineStr">
        <x:is>
          <x:t xml:space="preserve">Đã cập nhật</x:t>
        </x:is>
      </x:c>
      <x:c r="G30" s="20" t="inlineStr">
        <x:is>
          <x:t xml:space="preserve">Có</x:t>
        </x:is>
      </x:c>
      <x:c r="H30" s="20" t="inlineStr">
        <x:is>
          <x:t xml:space="preserve">Codex</x:t>
        </x:is>
      </x:c>
      <x:c r="I30" s="28" t="n">
        <x:v>46288</x:v>
      </x:c>
      <x:c r="J30" s="20" t="inlineStr">
        <x:is>
          <x:t xml:space="preserve">Native Docs/Sheet đọc lại; OpenAPI validator, SQL parser; API IDs/QA/backlog kiểm liên kết; viewer Browser; Drive lưu cùng ID hoặc đăng ký mới.</x:t>
        </x:is>
      </x:c>
      <x:c r="K30" s="20" t="n"/>
      <x:c r="L30" s="20" t="str">
        <x:f>IF(AND(B30&lt;&gt;"",D30&lt;&gt;"",F30="Đã cập nhật",G30="Có",H30&lt;&gt;"",ISNUMBER(I30),J30&lt;&gt;""),"Hoàn tất","Chưa hoàn tất")</x:f>
        <x:v>Hoàn tất</x:v>
      </x:c>
    </x:row>
    <x:row r="31" ht="78" customHeight="1">
      <x:c r="A31" s="20" t="inlineStr">
        <x:is>
          <x:t xml:space="preserve">CHG-TECH-01</x:t>
        </x:is>
      </x:c>
      <x:c r="B31" s="20" t="inlineStr">
        <x:is>
          <x:t xml:space="preserve">Q03</x:t>
        </x:is>
      </x:c>
      <x:c r="C31" s="20" t="inlineStr">
        <x:is>
          <x:t xml:space="preserve">F18</x:t>
        </x:is>
      </x:c>
      <x:c r="D31" s="20" t="inlineStr">
        <x:is>
          <x:t xml:space="preserve">DOC-005</x:t>
        </x:is>
      </x:c>
      <x:c r="E31" s="20" t="inlineStr">
        <x:is>
          <x:t xml:space="preserve">Chốt stack / ghi nhận thiết kế kỹ thuật v0.1</x:t>
        </x:is>
      </x:c>
      <x:c r="F31" s="20" t="inlineStr">
        <x:is>
          <x:t xml:space="preserve">Đã cập nhật</x:t>
        </x:is>
      </x:c>
      <x:c r="G31" s="20" t="inlineStr">
        <x:is>
          <x:t xml:space="preserve">Có</x:t>
        </x:is>
      </x:c>
      <x:c r="H31" s="20" t="inlineStr">
        <x:is>
          <x:t xml:space="preserve">Codex</x:t>
        </x:is>
      </x:c>
      <x:c r="I31" s="28" t="n">
        <x:v>46288</x:v>
      </x:c>
      <x:c r="J31" s="20" t="inlineStr">
        <x:is>
          <x:t xml:space="preserve">Native Docs/Sheet đọc lại; OpenAPI validator, SQL parser; API IDs/QA/backlog kiểm liên kết; viewer Browser; Drive lưu cùng ID hoặc đăng ký mới.</x:t>
        </x:is>
      </x:c>
      <x:c r="K31" s="20" t="n"/>
      <x:c r="L31" s="20" t="str">
        <x:f>IF(AND(B31&lt;&gt;"",D31&lt;&gt;"",F31="Đã cập nhật",G31="Có",H31&lt;&gt;"",ISNUMBER(I31),J31&lt;&gt;""),"Hoàn tất","Chưa hoàn tất")</x:f>
        <x:v>Hoàn tất</x:v>
      </x:c>
    </x:row>
    <x:row r="32" ht="78" customHeight="1">
      <x:c r="A32" s="20" t="inlineStr">
        <x:is>
          <x:t xml:space="preserve">CHG-TECH-01</x:t>
        </x:is>
      </x:c>
      <x:c r="B32" s="20" t="inlineStr">
        <x:is>
          <x:t xml:space="preserve">Q03</x:t>
        </x:is>
      </x:c>
      <x:c r="C32" s="20" t="inlineStr">
        <x:is>
          <x:t xml:space="preserve">F18</x:t>
        </x:is>
      </x:c>
      <x:c r="D32" s="20" t="inlineStr">
        <x:is>
          <x:t xml:space="preserve">DOC-006</x:t>
        </x:is>
      </x:c>
      <x:c r="E32" s="20" t="inlineStr">
        <x:is>
          <x:t xml:space="preserve">Chốt stack / ghi nhận thiết kế kỹ thuật v0.1</x:t>
        </x:is>
      </x:c>
      <x:c r="F32" s="20" t="inlineStr">
        <x:is>
          <x:t xml:space="preserve">Đã cập nhật</x:t>
        </x:is>
      </x:c>
      <x:c r="G32" s="20" t="inlineStr">
        <x:is>
          <x:t xml:space="preserve">Có</x:t>
        </x:is>
      </x:c>
      <x:c r="H32" s="20" t="inlineStr">
        <x:is>
          <x:t xml:space="preserve">Codex</x:t>
        </x:is>
      </x:c>
      <x:c r="I32" s="28" t="n">
        <x:v>46288</x:v>
      </x:c>
      <x:c r="J32" s="20" t="inlineStr">
        <x:is>
          <x:t xml:space="preserve">Native Docs/Sheet đọc lại; OpenAPI validator, SQL parser; API IDs/QA/backlog kiểm liên kết; viewer Browser; Drive lưu cùng ID hoặc đăng ký mới.</x:t>
        </x:is>
      </x:c>
      <x:c r="K32" s="20" t="n"/>
      <x:c r="L32" s="20" t="str">
        <x:f>IF(AND(B32&lt;&gt;"",D32&lt;&gt;"",F32="Đã cập nhật",G32="Có",H32&lt;&gt;"",ISNUMBER(I32),J32&lt;&gt;""),"Hoàn tất","Chưa hoàn tất")</x:f>
        <x:v>Hoàn tất</x:v>
      </x:c>
    </x:row>
    <x:row r="33" ht="78" customHeight="1">
      <x:c r="A33" s="20" t="inlineStr">
        <x:is>
          <x:t xml:space="preserve">CHG-TECH-01</x:t>
        </x:is>
      </x:c>
      <x:c r="B33" s="20" t="inlineStr">
        <x:is>
          <x:t xml:space="preserve">Q03</x:t>
        </x:is>
      </x:c>
      <x:c r="C33" s="20" t="inlineStr">
        <x:is>
          <x:t xml:space="preserve">F18</x:t>
        </x:is>
      </x:c>
      <x:c r="D33" s="20" t="inlineStr">
        <x:is>
          <x:t xml:space="preserve">DOC-007</x:t>
        </x:is>
      </x:c>
      <x:c r="E33" s="20" t="inlineStr">
        <x:is>
          <x:t xml:space="preserve">Chốt stack / ghi nhận thiết kế kỹ thuật v0.1</x:t>
        </x:is>
      </x:c>
      <x:c r="F33" s="20" t="inlineStr">
        <x:is>
          <x:t xml:space="preserve">Đã cập nhật</x:t>
        </x:is>
      </x:c>
      <x:c r="G33" s="20" t="inlineStr">
        <x:is>
          <x:t xml:space="preserve">Có</x:t>
        </x:is>
      </x:c>
      <x:c r="H33" s="20" t="inlineStr">
        <x:is>
          <x:t xml:space="preserve">Codex</x:t>
        </x:is>
      </x:c>
      <x:c r="I33" s="28" t="n">
        <x:v>46288</x:v>
      </x:c>
      <x:c r="J33" s="20" t="inlineStr">
        <x:is>
          <x:t xml:space="preserve">Native Docs/Sheet đọc lại; OpenAPI validator, SQL parser; API IDs/QA/backlog kiểm liên kết; viewer Browser; Drive lưu cùng ID hoặc đăng ký mới.</x:t>
        </x:is>
      </x:c>
      <x:c r="K33" s="20" t="n"/>
      <x:c r="L33" s="20" t="str">
        <x:f>IF(AND(B33&lt;&gt;"",D33&lt;&gt;"",F33="Đã cập nhật",G33="Có",H33&lt;&gt;"",ISNUMBER(I33),J33&lt;&gt;""),"Hoàn tất","Chưa hoàn tất")</x:f>
        <x:v>Hoàn tất</x:v>
      </x:c>
    </x:row>
    <x:row r="34" ht="78" customHeight="1">
      <x:c r="A34" s="20" t="inlineStr">
        <x:is>
          <x:t xml:space="preserve">CHG-TECH-01</x:t>
        </x:is>
      </x:c>
      <x:c r="B34" s="20" t="inlineStr">
        <x:is>
          <x:t xml:space="preserve">Q03</x:t>
        </x:is>
      </x:c>
      <x:c r="C34" s="20" t="inlineStr">
        <x:is>
          <x:t xml:space="preserve">F18</x:t>
        </x:is>
      </x:c>
      <x:c r="D34" s="20" t="inlineStr">
        <x:is>
          <x:t xml:space="preserve">DOC-011</x:t>
        </x:is>
      </x:c>
      <x:c r="E34" s="20" t="inlineStr">
        <x:is>
          <x:t xml:space="preserve">Chốt stack / ghi nhận thiết kế kỹ thuật v0.1</x:t>
        </x:is>
      </x:c>
      <x:c r="F34" s="20" t="inlineStr">
        <x:is>
          <x:t xml:space="preserve">Đã cập nhật</x:t>
        </x:is>
      </x:c>
      <x:c r="G34" s="20" t="inlineStr">
        <x:is>
          <x:t xml:space="preserve">Có</x:t>
        </x:is>
      </x:c>
      <x:c r="H34" s="20" t="inlineStr">
        <x:is>
          <x:t xml:space="preserve">Codex</x:t>
        </x:is>
      </x:c>
      <x:c r="I34" s="28" t="n">
        <x:v>46288</x:v>
      </x:c>
      <x:c r="J34" s="20" t="inlineStr">
        <x:is>
          <x:t xml:space="preserve">Native Docs/Sheet đọc lại; OpenAPI validator, SQL parser; API IDs/QA/backlog kiểm liên kết; viewer Browser; Drive lưu cùng ID hoặc đăng ký mới.</x:t>
        </x:is>
      </x:c>
      <x:c r="K34" s="20" t="n"/>
      <x:c r="L34" s="20" t="str">
        <x:f>IF(AND(B34&lt;&gt;"",D34&lt;&gt;"",F34="Đã cập nhật",G34="Có",H34&lt;&gt;"",ISNUMBER(I34),J34&lt;&gt;""),"Hoàn tất","Chưa hoàn tất")</x:f>
        <x:v>Hoàn tất</x:v>
      </x:c>
    </x:row>
    <x:row r="35" ht="78" customHeight="1">
      <x:c r="A35" s="20" t="inlineStr">
        <x:is>
          <x:t xml:space="preserve">CHG-TECH-01</x:t>
        </x:is>
      </x:c>
      <x:c r="B35" s="20" t="inlineStr">
        <x:is>
          <x:t xml:space="preserve">Q03</x:t>
        </x:is>
      </x:c>
      <x:c r="C35" s="20" t="inlineStr">
        <x:is>
          <x:t xml:space="preserve">F18</x:t>
        </x:is>
      </x:c>
      <x:c r="D35" s="20" t="inlineStr">
        <x:is>
          <x:t xml:space="preserve">DOC-015</x:t>
        </x:is>
      </x:c>
      <x:c r="E35" s="20" t="inlineStr">
        <x:is>
          <x:t xml:space="preserve">Chốt stack / ghi nhận thiết kế kỹ thuật v0.1</x:t>
        </x:is>
      </x:c>
      <x:c r="F35" s="20" t="inlineStr">
        <x:is>
          <x:t xml:space="preserve">Đã cập nhật</x:t>
        </x:is>
      </x:c>
      <x:c r="G35" s="20" t="inlineStr">
        <x:is>
          <x:t xml:space="preserve">Có</x:t>
        </x:is>
      </x:c>
      <x:c r="H35" s="20" t="inlineStr">
        <x:is>
          <x:t xml:space="preserve">Codex</x:t>
        </x:is>
      </x:c>
      <x:c r="I35" s="28" t="n">
        <x:v>46288</x:v>
      </x:c>
      <x:c r="J35" s="20" t="inlineStr">
        <x:is>
          <x:t xml:space="preserve">Native Docs/Sheet đọc lại; OpenAPI validator, SQL parser; API IDs/QA/backlog kiểm liên kết; viewer Browser; Drive lưu cùng ID hoặc đăng ký mới.</x:t>
        </x:is>
      </x:c>
      <x:c r="K35" s="20" t="n"/>
      <x:c r="L35" s="20" t="str">
        <x:f>IF(AND(B35&lt;&gt;"",D35&lt;&gt;"",F35="Đã cập nhật",G35="Có",H35&lt;&gt;"",ISNUMBER(I35),J35&lt;&gt;""),"Hoàn tất","Chưa hoàn tất")</x:f>
        <x:v>Hoàn tất</x:v>
      </x:c>
    </x:row>
    <x:row r="36" ht="78" customHeight="1">
      <x:c r="A36" s="20" t="inlineStr">
        <x:is>
          <x:t xml:space="preserve">CHG-TECH-01</x:t>
        </x:is>
      </x:c>
      <x:c r="B36" s="20" t="inlineStr">
        <x:is>
          <x:t xml:space="preserve">Q03</x:t>
        </x:is>
      </x:c>
      <x:c r="C36" s="20" t="inlineStr">
        <x:is>
          <x:t xml:space="preserve">F18</x:t>
        </x:is>
      </x:c>
      <x:c r="D36" s="20" t="inlineStr">
        <x:is>
          <x:t xml:space="preserve">DOC-016</x:t>
        </x:is>
      </x:c>
      <x:c r="E36" s="20" t="inlineStr">
        <x:is>
          <x:t xml:space="preserve">Chốt stack / ghi nhận thiết kế kỹ thuật v0.1</x:t>
        </x:is>
      </x:c>
      <x:c r="F36" s="20" t="inlineStr">
        <x:is>
          <x:t xml:space="preserve">Đã cập nhật</x:t>
        </x:is>
      </x:c>
      <x:c r="G36" s="20" t="inlineStr">
        <x:is>
          <x:t xml:space="preserve">Có</x:t>
        </x:is>
      </x:c>
      <x:c r="H36" s="20" t="inlineStr">
        <x:is>
          <x:t xml:space="preserve">Codex</x:t>
        </x:is>
      </x:c>
      <x:c r="I36" s="28" t="n">
        <x:v>46288</x:v>
      </x:c>
      <x:c r="J36" s="20" t="inlineStr">
        <x:is>
          <x:t xml:space="preserve">Native Docs/Sheet đọc lại; OpenAPI validator, SQL parser; API IDs/QA/backlog kiểm liên kết; viewer Browser; Drive lưu cùng ID hoặc đăng ký mới.</x:t>
        </x:is>
      </x:c>
      <x:c r="K36" s="20" t="n"/>
      <x:c r="L36" s="20" t="str">
        <x:f>IF(AND(B36&lt;&gt;"",D36&lt;&gt;"",F36="Đã cập nhật",G36="Có",H36&lt;&gt;"",ISNUMBER(I36),J36&lt;&gt;""),"Hoàn tất","Chưa hoàn tất")</x:f>
        <x:v>Hoàn tất</x:v>
      </x:c>
    </x:row>
    <x:row r="37" ht="78" customHeight="1">
      <x:c r="A37" s="20" t="inlineStr">
        <x:is>
          <x:t xml:space="preserve">CHG-TECH-01</x:t>
        </x:is>
      </x:c>
      <x:c r="B37" s="20" t="inlineStr">
        <x:is>
          <x:t xml:space="preserve">Q03</x:t>
        </x:is>
      </x:c>
      <x:c r="C37" s="20" t="inlineStr">
        <x:is>
          <x:t xml:space="preserve">F18</x:t>
        </x:is>
      </x:c>
      <x:c r="D37" s="20" t="inlineStr">
        <x:is>
          <x:t xml:space="preserve">DOC-017</x:t>
        </x:is>
      </x:c>
      <x:c r="E37" s="20" t="inlineStr">
        <x:is>
          <x:t xml:space="preserve">Chốt stack / ghi nhận thiết kế kỹ thuật v0.1</x:t>
        </x:is>
      </x:c>
      <x:c r="F37" s="20" t="inlineStr">
        <x:is>
          <x:t xml:space="preserve">Đã cập nhật</x:t>
        </x:is>
      </x:c>
      <x:c r="G37" s="20" t="inlineStr">
        <x:is>
          <x:t xml:space="preserve">Có</x:t>
        </x:is>
      </x:c>
      <x:c r="H37" s="20" t="inlineStr">
        <x:is>
          <x:t xml:space="preserve">Codex</x:t>
        </x:is>
      </x:c>
      <x:c r="I37" s="28" t="n">
        <x:v>46288</x:v>
      </x:c>
      <x:c r="J37" s="20" t="inlineStr">
        <x:is>
          <x:t xml:space="preserve">Native Docs/Sheet đọc lại; OpenAPI validator, SQL parser; API IDs/QA/backlog kiểm liên kết; viewer Browser; Drive lưu cùng ID hoặc đăng ký mới.</x:t>
        </x:is>
      </x:c>
      <x:c r="K37" s="20" t="n"/>
      <x:c r="L37" s="20" t="str">
        <x:f>IF(AND(B37&lt;&gt;"",D37&lt;&gt;"",F37="Đã cập nhật",G37="Có",H37&lt;&gt;"",ISNUMBER(I37),J37&lt;&gt;""),"Hoàn tất","Chưa hoàn tất")</x:f>
        <x:v>Hoàn tất</x:v>
      </x:c>
    </x:row>
    <x:row r="38" ht="78" customHeight="1">
      <x:c r="A38" s="20" t="inlineStr">
        <x:is>
          <x:t xml:space="preserve">CHG-TECH-01</x:t>
        </x:is>
      </x:c>
      <x:c r="B38" s="20" t="inlineStr">
        <x:is>
          <x:t xml:space="preserve">Q03</x:t>
        </x:is>
      </x:c>
      <x:c r="C38" s="20" t="inlineStr">
        <x:is>
          <x:t xml:space="preserve">F18</x:t>
        </x:is>
      </x:c>
      <x:c r="D38" s="20" t="inlineStr">
        <x:is>
          <x:t xml:space="preserve">DOC-018</x:t>
        </x:is>
      </x:c>
      <x:c r="E38" s="20" t="inlineStr">
        <x:is>
          <x:t xml:space="preserve">Chốt stack / ghi nhận thiết kế kỹ thuật v0.1</x:t>
        </x:is>
      </x:c>
      <x:c r="F38" s="20" t="inlineStr">
        <x:is>
          <x:t xml:space="preserve">Đã cập nhật</x:t>
        </x:is>
      </x:c>
      <x:c r="G38" s="20" t="inlineStr">
        <x:is>
          <x:t xml:space="preserve">Có</x:t>
        </x:is>
      </x:c>
      <x:c r="H38" s="20" t="inlineStr">
        <x:is>
          <x:t xml:space="preserve">Codex</x:t>
        </x:is>
      </x:c>
      <x:c r="I38" s="28" t="n">
        <x:v>46288</x:v>
      </x:c>
      <x:c r="J38" s="20" t="inlineStr">
        <x:is>
          <x:t xml:space="preserve">Native Docs/Sheet đọc lại; OpenAPI validator, SQL parser; API IDs/QA/backlog kiểm liên kết; viewer Browser; Drive lưu cùng ID hoặc đăng ký mới.</x:t>
        </x:is>
      </x:c>
      <x:c r="K38" s="20" t="n"/>
      <x:c r="L38" s="20" t="str">
        <x:f>IF(AND(B38&lt;&gt;"",D38&lt;&gt;"",F38="Đã cập nhật",G38="Có",H38&lt;&gt;"",ISNUMBER(I38),J38&lt;&gt;""),"Hoàn tất","Chưa hoàn tất")</x:f>
        <x:v>Hoàn tất</x:v>
      </x:c>
    </x:row>
    <x:row r="39" ht="78" customHeight="1">
      <x:c r="A39" s="20" t="inlineStr">
        <x:is>
          <x:t xml:space="preserve">CHG-TECH-01</x:t>
        </x:is>
      </x:c>
      <x:c r="B39" s="20" t="inlineStr">
        <x:is>
          <x:t xml:space="preserve">Q03</x:t>
        </x:is>
      </x:c>
      <x:c r="C39" s="20" t="inlineStr">
        <x:is>
          <x:t xml:space="preserve">F18</x:t>
        </x:is>
      </x:c>
      <x:c r="D39" s="20" t="inlineStr">
        <x:is>
          <x:t xml:space="preserve">PLAN-001</x:t>
        </x:is>
      </x:c>
      <x:c r="E39" s="20" t="inlineStr">
        <x:is>
          <x:t xml:space="preserve">Chốt stack / ghi nhận thiết kế kỹ thuật v0.1</x:t>
        </x:is>
      </x:c>
      <x:c r="F39" s="20" t="inlineStr">
        <x:is>
          <x:t xml:space="preserve">Đã cập nhật</x:t>
        </x:is>
      </x:c>
      <x:c r="G39" s="20" t="inlineStr">
        <x:is>
          <x:t xml:space="preserve">Có</x:t>
        </x:is>
      </x:c>
      <x:c r="H39" s="20" t="inlineStr">
        <x:is>
          <x:t xml:space="preserve">Codex</x:t>
        </x:is>
      </x:c>
      <x:c r="I39" s="28" t="n">
        <x:v>46288</x:v>
      </x:c>
      <x:c r="J39" s="20" t="inlineStr">
        <x:is>
          <x:t xml:space="preserve">Native Docs/Sheet đọc lại; OpenAPI validator, SQL parser; API IDs/QA/backlog kiểm liên kết; viewer Browser; Drive lưu cùng ID hoặc đăng ký mới.</x:t>
        </x:is>
      </x:c>
      <x:c r="K39" s="20" t="n"/>
      <x:c r="L39" s="20" t="str">
        <x:f>IF(AND(B39&lt;&gt;"",D39&lt;&gt;"",F39="Đã cập nhật",G39="Có",H39&lt;&gt;"",ISNUMBER(I39),J39&lt;&gt;""),"Hoàn tất","Chưa hoàn tất")</x:f>
        <x:v>Hoàn tất</x:v>
      </x:c>
    </x:row>
    <x:row r="40" ht="78" customHeight="1">
      <x:c r="A40" s="20" t="inlineStr">
        <x:is>
          <x:t xml:space="preserve">CHG-TECH-01</x:t>
        </x:is>
      </x:c>
      <x:c r="B40" s="20" t="inlineStr">
        <x:is>
          <x:t xml:space="preserve">Q03</x:t>
        </x:is>
      </x:c>
      <x:c r="C40" s="20" t="inlineStr">
        <x:is>
          <x:t xml:space="preserve">F18</x:t>
        </x:is>
      </x:c>
      <x:c r="D40" s="20" t="inlineStr">
        <x:is>
          <x:t xml:space="preserve">PLAN-002</x:t>
        </x:is>
      </x:c>
      <x:c r="E40" s="20" t="inlineStr">
        <x:is>
          <x:t xml:space="preserve">Chốt stack / ghi nhận thiết kế kỹ thuật v0.1</x:t>
        </x:is>
      </x:c>
      <x:c r="F40" s="20" t="inlineStr">
        <x:is>
          <x:t xml:space="preserve">Đã cập nhật</x:t>
        </x:is>
      </x:c>
      <x:c r="G40" s="20" t="inlineStr">
        <x:is>
          <x:t xml:space="preserve">Có</x:t>
        </x:is>
      </x:c>
      <x:c r="H40" s="20" t="inlineStr">
        <x:is>
          <x:t xml:space="preserve">Codex</x:t>
        </x:is>
      </x:c>
      <x:c r="I40" s="28" t="n">
        <x:v>46288</x:v>
      </x:c>
      <x:c r="J40" s="20" t="inlineStr">
        <x:is>
          <x:t xml:space="preserve">Native Docs/Sheet đọc lại; OpenAPI validator, SQL parser; API IDs/QA/backlog kiểm liên kết; viewer Browser; Drive lưu cùng ID hoặc đăng ký mới.</x:t>
        </x:is>
      </x:c>
      <x:c r="K40" s="20" t="n"/>
      <x:c r="L40" s="20" t="str">
        <x:f>IF(AND(B40&lt;&gt;"",D40&lt;&gt;"",F40="Đã cập nhật",G40="Có",H40&lt;&gt;"",ISNUMBER(I40),J40&lt;&gt;""),"Hoàn tất","Chưa hoàn tất")</x:f>
        <x:v>Hoàn tất</x:v>
      </x:c>
    </x:row>
    <x:row r="41" ht="78" customHeight="1">
      <x:c r="A41" s="20" t="inlineStr">
        <x:is>
          <x:t xml:space="preserve">CHG-TECH-01</x:t>
        </x:is>
      </x:c>
      <x:c r="B41" s="20" t="inlineStr">
        <x:is>
          <x:t xml:space="preserve">Q03</x:t>
        </x:is>
      </x:c>
      <x:c r="C41" s="20" t="inlineStr">
        <x:is>
          <x:t xml:space="preserve">F18</x:t>
        </x:is>
      </x:c>
      <x:c r="D41" s="20" t="inlineStr">
        <x:is>
          <x:t xml:space="preserve">PLAN-003</x:t>
        </x:is>
      </x:c>
      <x:c r="E41" s="20" t="inlineStr">
        <x:is>
          <x:t xml:space="preserve">Chốt stack / ghi nhận thiết kế kỹ thuật v0.1</x:t>
        </x:is>
      </x:c>
      <x:c r="F41" s="20" t="inlineStr">
        <x:is>
          <x:t xml:space="preserve">Đã cập nhật</x:t>
        </x:is>
      </x:c>
      <x:c r="G41" s="20" t="inlineStr">
        <x:is>
          <x:t xml:space="preserve">Có</x:t>
        </x:is>
      </x:c>
      <x:c r="H41" s="20" t="inlineStr">
        <x:is>
          <x:t xml:space="preserve">Codex</x:t>
        </x:is>
      </x:c>
      <x:c r="I41" s="28" t="n">
        <x:v>46288</x:v>
      </x:c>
      <x:c r="J41" s="20" t="inlineStr">
        <x:is>
          <x:t xml:space="preserve">Native Docs/Sheet đọc lại; OpenAPI validator, SQL parser; API IDs/QA/backlog kiểm liên kết; viewer Browser; Drive lưu cùng ID hoặc đăng ký mới.</x:t>
        </x:is>
      </x:c>
      <x:c r="K41" s="20" t="n"/>
      <x:c r="L41" s="20" t="str">
        <x:f>IF(AND(B41&lt;&gt;"",D41&lt;&gt;"",F41="Đã cập nhật",G41="Có",H41&lt;&gt;"",ISNUMBER(I41),J41&lt;&gt;""),"Hoàn tất","Chưa hoàn tất")</x:f>
        <x:v>Hoàn tất</x:v>
      </x:c>
    </x:row>
    <x:row r="42" ht="78" customHeight="1">
      <x:c r="A42" s="20" t="inlineStr">
        <x:is>
          <x:t xml:space="preserve">CHG-TECH-01</x:t>
        </x:is>
      </x:c>
      <x:c r="B42" s="20" t="inlineStr">
        <x:is>
          <x:t xml:space="preserve">Q03</x:t>
        </x:is>
      </x:c>
      <x:c r="C42" s="20" t="inlineStr">
        <x:is>
          <x:t xml:space="preserve">F18</x:t>
        </x:is>
      </x:c>
      <x:c r="D42" s="20" t="inlineStr">
        <x:is>
          <x:t xml:space="preserve">PLAN-008</x:t>
        </x:is>
      </x:c>
      <x:c r="E42" s="20" t="inlineStr">
        <x:is>
          <x:t xml:space="preserve">Chốt stack / ghi nhận thiết kế kỹ thuật v0.1</x:t>
        </x:is>
      </x:c>
      <x:c r="F42" s="20" t="inlineStr">
        <x:is>
          <x:t xml:space="preserve">Đã cập nhật</x:t>
        </x:is>
      </x:c>
      <x:c r="G42" s="20" t="inlineStr">
        <x:is>
          <x:t xml:space="preserve">Có</x:t>
        </x:is>
      </x:c>
      <x:c r="H42" s="20" t="inlineStr">
        <x:is>
          <x:t xml:space="preserve">Codex</x:t>
        </x:is>
      </x:c>
      <x:c r="I42" s="28" t="n">
        <x:v>46288</x:v>
      </x:c>
      <x:c r="J42" s="20" t="inlineStr">
        <x:is>
          <x:t xml:space="preserve">Native Docs/Sheet đọc lại; OpenAPI validator, SQL parser; API IDs/QA/backlog kiểm liên kết; viewer Browser; Drive lưu cùng ID hoặc đăng ký mới.</x:t>
        </x:is>
      </x:c>
      <x:c r="K42" s="20" t="n"/>
      <x:c r="L42" s="20" t="str">
        <x:f>IF(AND(B42&lt;&gt;"",D42&lt;&gt;"",F42="Đã cập nhật",G42="Có",H42&lt;&gt;"",ISNUMBER(I42),J42&lt;&gt;""),"Hoàn tất","Chưa hoàn tất")</x:f>
        <x:v>Hoàn tất</x:v>
      </x:c>
    </x:row>
    <x:row r="43" ht="78" customHeight="1">
      <x:c r="A43" s="20" t="inlineStr">
        <x:is>
          <x:t xml:space="preserve">CHG-TECH-01</x:t>
        </x:is>
      </x:c>
      <x:c r="B43" s="20" t="inlineStr">
        <x:is>
          <x:t xml:space="preserve">Q03</x:t>
        </x:is>
      </x:c>
      <x:c r="C43" s="20" t="inlineStr">
        <x:is>
          <x:t xml:space="preserve">F18</x:t>
        </x:is>
      </x:c>
      <x:c r="D43" s="20" t="inlineStr">
        <x:is>
          <x:t xml:space="preserve">DOC-037</x:t>
        </x:is>
      </x:c>
      <x:c r="E43" s="20" t="inlineStr">
        <x:is>
          <x:t xml:space="preserve">Chốt stack / ghi nhận thiết kế kỹ thuật v0.1</x:t>
        </x:is>
      </x:c>
      <x:c r="F43" s="20" t="inlineStr">
        <x:is>
          <x:t xml:space="preserve">Đã cập nhật</x:t>
        </x:is>
      </x:c>
      <x:c r="G43" s="20" t="inlineStr">
        <x:is>
          <x:t xml:space="preserve">Có</x:t>
        </x:is>
      </x:c>
      <x:c r="H43" s="20" t="inlineStr">
        <x:is>
          <x:t xml:space="preserve">Codex</x:t>
        </x:is>
      </x:c>
      <x:c r="I43" s="28" t="n">
        <x:v>46288</x:v>
      </x:c>
      <x:c r="J43" s="20" t="inlineStr">
        <x:is>
          <x:t xml:space="preserve">Native Docs/Sheet đọc lại; OpenAPI validator, SQL parser; API IDs/QA/backlog kiểm liên kết; viewer Browser; Drive lưu cùng ID hoặc đăng ký mới.</x:t>
        </x:is>
      </x:c>
      <x:c r="K43" s="20" t="n"/>
      <x:c r="L43" s="20" t="str">
        <x:f>IF(AND(B43&lt;&gt;"",D43&lt;&gt;"",F43="Đã cập nhật",G43="Có",H43&lt;&gt;"",ISNUMBER(I43),J43&lt;&gt;""),"Hoàn tất","Chưa hoàn tất")</x:f>
        <x:v>Hoàn tất</x:v>
      </x:c>
    </x:row>
    <x:row r="44" ht="78" customHeight="1">
      <x:c r="A44" s="20" t="inlineStr">
        <x:is>
          <x:t xml:space="preserve">CHG-TECH-01</x:t>
        </x:is>
      </x:c>
      <x:c r="B44" s="20" t="inlineStr">
        <x:is>
          <x:t xml:space="preserve">Q03</x:t>
        </x:is>
      </x:c>
      <x:c r="C44" s="20" t="inlineStr">
        <x:is>
          <x:t xml:space="preserve">F18</x:t>
        </x:is>
      </x:c>
      <x:c r="D44" s="20" t="inlineStr">
        <x:is>
          <x:t xml:space="preserve">DOC-038</x:t>
        </x:is>
      </x:c>
      <x:c r="E44" s="20" t="inlineStr">
        <x:is>
          <x:t xml:space="preserve">Chốt stack / ghi nhận thiết kế kỹ thuật v0.1</x:t>
        </x:is>
      </x:c>
      <x:c r="F44" s="20" t="inlineStr">
        <x:is>
          <x:t xml:space="preserve">Đã cập nhật</x:t>
        </x:is>
      </x:c>
      <x:c r="G44" s="20" t="inlineStr">
        <x:is>
          <x:t xml:space="preserve">Có</x:t>
        </x:is>
      </x:c>
      <x:c r="H44" s="20" t="inlineStr">
        <x:is>
          <x:t xml:space="preserve">Codex</x:t>
        </x:is>
      </x:c>
      <x:c r="I44" s="28" t="n">
        <x:v>46288</x:v>
      </x:c>
      <x:c r="J44" s="20" t="inlineStr">
        <x:is>
          <x:t xml:space="preserve">Native Docs/Sheet đọc lại; OpenAPI validator, SQL parser; API IDs/QA/backlog kiểm liên kết; viewer Browser; Drive lưu cùng ID hoặc đăng ký mới.</x:t>
        </x:is>
      </x:c>
      <x:c r="K44" s="20" t="n"/>
      <x:c r="L44" s="20" t="str">
        <x:f>IF(AND(B44&lt;&gt;"",D44&lt;&gt;"",F44="Đã cập nhật",G44="Có",H44&lt;&gt;"",ISNUMBER(I44),J44&lt;&gt;""),"Hoàn tất","Chưa hoàn tất")</x:f>
        <x:v>Hoàn tất</x:v>
      </x:c>
    </x:row>
    <x:row r="45" ht="78" customHeight="1">
      <x:c r="A45" s="20" t="inlineStr">
        <x:is>
          <x:t xml:space="preserve">CHG-TECH-01</x:t>
        </x:is>
      </x:c>
      <x:c r="B45" s="20" t="inlineStr">
        <x:is>
          <x:t xml:space="preserve">Q03</x:t>
        </x:is>
      </x:c>
      <x:c r="C45" s="20" t="inlineStr">
        <x:is>
          <x:t xml:space="preserve">F18</x:t>
        </x:is>
      </x:c>
      <x:c r="D45" s="20" t="inlineStr">
        <x:is>
          <x:t xml:space="preserve">DOC-039</x:t>
        </x:is>
      </x:c>
      <x:c r="E45" s="20" t="inlineStr">
        <x:is>
          <x:t xml:space="preserve">Chốt stack / ghi nhận thiết kế kỹ thuật v0.1</x:t>
        </x:is>
      </x:c>
      <x:c r="F45" s="20" t="inlineStr">
        <x:is>
          <x:t xml:space="preserve">Đã cập nhật</x:t>
        </x:is>
      </x:c>
      <x:c r="G45" s="20" t="inlineStr">
        <x:is>
          <x:t xml:space="preserve">Có</x:t>
        </x:is>
      </x:c>
      <x:c r="H45" s="20" t="inlineStr">
        <x:is>
          <x:t xml:space="preserve">Codex</x:t>
        </x:is>
      </x:c>
      <x:c r="I45" s="28" t="n">
        <x:v>46288</x:v>
      </x:c>
      <x:c r="J45" s="20" t="inlineStr">
        <x:is>
          <x:t xml:space="preserve">Native Docs/Sheet đọc lại; OpenAPI validator, SQL parser; API IDs/QA/backlog kiểm liên kết; viewer Browser; Drive lưu cùng ID hoặc đăng ký mới.</x:t>
        </x:is>
      </x:c>
      <x:c r="K45" s="20" t="n"/>
      <x:c r="L45" s="20" t="str">
        <x:f>IF(AND(B45&lt;&gt;"",D45&lt;&gt;"",F45="Đã cập nhật",G45="Có",H45&lt;&gt;"",ISNUMBER(I45),J45&lt;&gt;""),"Hoàn tất","Chưa hoàn tất")</x:f>
        <x:v>Hoàn tất</x:v>
      </x:c>
    </x:row>
    <x:row r="46" ht="78" customHeight="1">
      <x:c r="A46" s="20" t="inlineStr">
        <x:is>
          <x:t xml:space="preserve">CHG-TECH-01</x:t>
        </x:is>
      </x:c>
      <x:c r="B46" s="20" t="inlineStr">
        <x:is>
          <x:t xml:space="preserve">Q03</x:t>
        </x:is>
      </x:c>
      <x:c r="C46" s="20" t="inlineStr">
        <x:is>
          <x:t xml:space="preserve">F18</x:t>
        </x:is>
      </x:c>
      <x:c r="D46" s="20" t="inlineStr">
        <x:is>
          <x:t xml:space="preserve">DOC-040</x:t>
        </x:is>
      </x:c>
      <x:c r="E46" s="20" t="inlineStr">
        <x:is>
          <x:t xml:space="preserve">Chốt stack / ghi nhận thiết kế kỹ thuật v0.1</x:t>
        </x:is>
      </x:c>
      <x:c r="F46" s="20" t="inlineStr">
        <x:is>
          <x:t xml:space="preserve">Đã cập nhật</x:t>
        </x:is>
      </x:c>
      <x:c r="G46" s="20" t="inlineStr">
        <x:is>
          <x:t xml:space="preserve">Có</x:t>
        </x:is>
      </x:c>
      <x:c r="H46" s="20" t="inlineStr">
        <x:is>
          <x:t xml:space="preserve">Codex</x:t>
        </x:is>
      </x:c>
      <x:c r="I46" s="28" t="n">
        <x:v>46288</x:v>
      </x:c>
      <x:c r="J46" s="20" t="inlineStr">
        <x:is>
          <x:t xml:space="preserve">Native Docs/Sheet đọc lại; OpenAPI validator, SQL parser; API IDs/QA/backlog kiểm liên kết; viewer Browser; Drive lưu cùng ID hoặc đăng ký mới.</x:t>
        </x:is>
      </x:c>
      <x:c r="K46" s="20" t="n"/>
      <x:c r="L46" s="20" t="str">
        <x:f>IF(AND(B46&lt;&gt;"",D46&lt;&gt;"",F46="Đã cập nhật",G46="Có",H46&lt;&gt;"",ISNUMBER(I46),J46&lt;&gt;""),"Hoàn tất","Chưa hoàn tất")</x:f>
        <x:v>Hoàn tất</x:v>
      </x:c>
    </x:row>
    <x:row r="47" ht="78" customHeight="1">
      <x:c r="A47" s="20" t="inlineStr">
        <x:is>
          <x:t xml:space="preserve">CHG-TECH-01</x:t>
        </x:is>
      </x:c>
      <x:c r="B47" s="20" t="inlineStr">
        <x:is>
          <x:t xml:space="preserve">Q03</x:t>
        </x:is>
      </x:c>
      <x:c r="C47" s="20" t="inlineStr">
        <x:is>
          <x:t xml:space="preserve">F18</x:t>
        </x:is>
      </x:c>
      <x:c r="D47" s="20" t="inlineStr">
        <x:is>
          <x:t xml:space="preserve">DOC-041</x:t>
        </x:is>
      </x:c>
      <x:c r="E47" s="20" t="inlineStr">
        <x:is>
          <x:t xml:space="preserve">Chốt stack / ghi nhận thiết kế kỹ thuật v0.1</x:t>
        </x:is>
      </x:c>
      <x:c r="F47" s="20" t="inlineStr">
        <x:is>
          <x:t xml:space="preserve">Đã cập nhật</x:t>
        </x:is>
      </x:c>
      <x:c r="G47" s="20" t="inlineStr">
        <x:is>
          <x:t xml:space="preserve">Có</x:t>
        </x:is>
      </x:c>
      <x:c r="H47" s="20" t="inlineStr">
        <x:is>
          <x:t xml:space="preserve">Codex</x:t>
        </x:is>
      </x:c>
      <x:c r="I47" s="28" t="n">
        <x:v>46288</x:v>
      </x:c>
      <x:c r="J47" s="20" t="inlineStr">
        <x:is>
          <x:t xml:space="preserve">Native Docs/Sheet đọc lại; OpenAPI validator, SQL parser; API IDs/QA/backlog kiểm liên kết; viewer Browser; Drive lưu cùng ID hoặc đăng ký mới.</x:t>
        </x:is>
      </x:c>
      <x:c r="K47" s="20" t="n"/>
      <x:c r="L47" s="20" t="str">
        <x:f>IF(AND(B47&lt;&gt;"",D47&lt;&gt;"",F47="Đã cập nhật",G47="Có",H47&lt;&gt;"",ISNUMBER(I47),J47&lt;&gt;""),"Hoàn tất","Chưa hoàn tất")</x:f>
        <x:v>Hoàn tất</x:v>
      </x:c>
    </x:row>
    <x:row r="48" ht="78" customHeight="1">
      <x:c r="A48" s="20" t="inlineStr">
        <x:is>
          <x:t xml:space="preserve">CHG-TECH-01</x:t>
        </x:is>
      </x:c>
      <x:c r="B48" s="20" t="inlineStr">
        <x:is>
          <x:t xml:space="preserve">Q03</x:t>
        </x:is>
      </x:c>
      <x:c r="C48" s="20" t="inlineStr">
        <x:is>
          <x:t xml:space="preserve">F18</x:t>
        </x:is>
      </x:c>
      <x:c r="D48" s="20" t="inlineStr">
        <x:is>
          <x:t xml:space="preserve">DOC-042</x:t>
        </x:is>
      </x:c>
      <x:c r="E48" s="20" t="inlineStr">
        <x:is>
          <x:t xml:space="preserve">Chốt stack / ghi nhận thiết kế kỹ thuật v0.1</x:t>
        </x:is>
      </x:c>
      <x:c r="F48" s="20" t="inlineStr">
        <x:is>
          <x:t xml:space="preserve">Đã cập nhật</x:t>
        </x:is>
      </x:c>
      <x:c r="G48" s="20" t="inlineStr">
        <x:is>
          <x:t xml:space="preserve">Có</x:t>
        </x:is>
      </x:c>
      <x:c r="H48" s="20" t="inlineStr">
        <x:is>
          <x:t xml:space="preserve">Codex</x:t>
        </x:is>
      </x:c>
      <x:c r="I48" s="28" t="n">
        <x:v>46288</x:v>
      </x:c>
      <x:c r="J48" s="20" t="inlineStr">
        <x:is>
          <x:t xml:space="preserve">Native Docs/Sheet đọc lại; OpenAPI validator, SQL parser; API IDs/QA/backlog kiểm liên kết; viewer Browser; Drive lưu cùng ID hoặc đăng ký mới.</x:t>
        </x:is>
      </x:c>
      <x:c r="K48" s="20" t="n"/>
      <x:c r="L48" s="20" t="str">
        <x:f>IF(AND(B48&lt;&gt;"",D48&lt;&gt;"",F48="Đã cập nhật",G48="Có",H48&lt;&gt;"",ISNUMBER(I48),J48&lt;&gt;""),"Hoàn tất","Chưa hoàn tất")</x:f>
        <x:v>Hoàn tất</x:v>
      </x:c>
    </x:row>
    <x:row r="49" ht="78" customHeight="1">
      <x:c r="A49" s="20" t="inlineStr">
        <x:is>
          <x:t xml:space="preserve">CHG-TECH-01</x:t>
        </x:is>
      </x:c>
      <x:c r="B49" s="20" t="inlineStr">
        <x:is>
          <x:t xml:space="preserve">Q03</x:t>
        </x:is>
      </x:c>
      <x:c r="C49" s="20" t="inlineStr">
        <x:is>
          <x:t xml:space="preserve">F18</x:t>
        </x:is>
      </x:c>
      <x:c r="D49" s="20" t="inlineStr">
        <x:is>
          <x:t xml:space="preserve">DOC-043</x:t>
        </x:is>
      </x:c>
      <x:c r="E49" s="20" t="inlineStr">
        <x:is>
          <x:t xml:space="preserve">Chốt stack / ghi nhận thiết kế kỹ thuật v0.1</x:t>
        </x:is>
      </x:c>
      <x:c r="F49" s="20" t="inlineStr">
        <x:is>
          <x:t xml:space="preserve">Đã cập nhật</x:t>
        </x:is>
      </x:c>
      <x:c r="G49" s="20" t="inlineStr">
        <x:is>
          <x:t xml:space="preserve">Có</x:t>
        </x:is>
      </x:c>
      <x:c r="H49" s="20" t="inlineStr">
        <x:is>
          <x:t xml:space="preserve">Codex</x:t>
        </x:is>
      </x:c>
      <x:c r="I49" s="28" t="n">
        <x:v>46288</x:v>
      </x:c>
      <x:c r="J49" s="20" t="inlineStr">
        <x:is>
          <x:t xml:space="preserve">Native Docs/Sheet đọc lại; OpenAPI validator, SQL parser; API IDs/QA/backlog kiểm liên kết; viewer Browser; Drive lưu cùng ID hoặc đăng ký mới.</x:t>
        </x:is>
      </x:c>
      <x:c r="K49" s="20" t="n"/>
      <x:c r="L49" s="20" t="str">
        <x:f>IF(AND(B49&lt;&gt;"",D49&lt;&gt;"",F49="Đã cập nhật",G49="Có",H49&lt;&gt;"",ISNUMBER(I49),J49&lt;&gt;""),"Hoàn tất","Chưa hoàn tất")</x:f>
        <x:v>Hoàn tất</x:v>
      </x:c>
    </x:row>
    <x:row r="50" ht="78" customHeight="1">
      <x:c r="A50" s="20" t="inlineStr">
        <x:is>
          <x:t xml:space="preserve">CHG-TECH-01</x:t>
        </x:is>
      </x:c>
      <x:c r="B50" s="20" t="inlineStr">
        <x:is>
          <x:t xml:space="preserve">Q03</x:t>
        </x:is>
      </x:c>
      <x:c r="C50" s="20" t="inlineStr">
        <x:is>
          <x:t xml:space="preserve">F18</x:t>
        </x:is>
      </x:c>
      <x:c r="D50" s="20" t="inlineStr">
        <x:is>
          <x:t xml:space="preserve">DOC-044</x:t>
        </x:is>
      </x:c>
      <x:c r="E50" s="20" t="inlineStr">
        <x:is>
          <x:t xml:space="preserve">Chốt stack / ghi nhận thiết kế kỹ thuật v0.1</x:t>
        </x:is>
      </x:c>
      <x:c r="F50" s="20" t="inlineStr">
        <x:is>
          <x:t xml:space="preserve">Đã cập nhật</x:t>
        </x:is>
      </x:c>
      <x:c r="G50" s="20" t="inlineStr">
        <x:is>
          <x:t xml:space="preserve">Có</x:t>
        </x:is>
      </x:c>
      <x:c r="H50" s="20" t="inlineStr">
        <x:is>
          <x:t xml:space="preserve">Codex</x:t>
        </x:is>
      </x:c>
      <x:c r="I50" s="28" t="n">
        <x:v>46288</x:v>
      </x:c>
      <x:c r="J50" s="20" t="inlineStr">
        <x:is>
          <x:t xml:space="preserve">Native Docs/Sheet đọc lại; OpenAPI validator, SQL parser; API IDs/QA/backlog kiểm liên kết; viewer Browser; Drive lưu cùng ID hoặc đăng ký mới.</x:t>
        </x:is>
      </x:c>
      <x:c r="K50" s="20" t="n"/>
      <x:c r="L50" s="20" t="str">
        <x:f>IF(AND(B50&lt;&gt;"",D50&lt;&gt;"",F50="Đã cập nhật",G50="Có",H50&lt;&gt;"",ISNUMBER(I50),J50&lt;&gt;""),"Hoàn tất","Chưa hoàn tất")</x:f>
        <x:v>Hoàn tất</x:v>
      </x:c>
    </x:row>
    <x:row r="51" ht="78" customHeight="1">
      <x:c r="A51" s="20" t="inlineStr">
        <x:is>
          <x:t xml:space="preserve">CHG-TECH-01</x:t>
        </x:is>
      </x:c>
      <x:c r="B51" s="20" t="inlineStr">
        <x:is>
          <x:t xml:space="preserve">Q03</x:t>
        </x:is>
      </x:c>
      <x:c r="C51" s="20" t="inlineStr">
        <x:is>
          <x:t xml:space="preserve">F18</x:t>
        </x:is>
      </x:c>
      <x:c r="D51" s="20" t="inlineStr">
        <x:is>
          <x:t xml:space="preserve">DOC-045</x:t>
        </x:is>
      </x:c>
      <x:c r="E51" s="20" t="inlineStr">
        <x:is>
          <x:t xml:space="preserve">Chốt stack / ghi nhận thiết kế kỹ thuật v0.1</x:t>
        </x:is>
      </x:c>
      <x:c r="F51" s="20" t="inlineStr">
        <x:is>
          <x:t xml:space="preserve">Đã cập nhật</x:t>
        </x:is>
      </x:c>
      <x:c r="G51" s="20" t="inlineStr">
        <x:is>
          <x:t xml:space="preserve">Có</x:t>
        </x:is>
      </x:c>
      <x:c r="H51" s="20" t="inlineStr">
        <x:is>
          <x:t xml:space="preserve">Codex</x:t>
        </x:is>
      </x:c>
      <x:c r="I51" s="28" t="n">
        <x:v>46288</x:v>
      </x:c>
      <x:c r="J51" s="20" t="inlineStr">
        <x:is>
          <x:t xml:space="preserve">Native Docs/Sheet đọc lại; OpenAPI validator, SQL parser; API IDs/QA/backlog kiểm liên kết; viewer Browser; Drive lưu cùng ID hoặc đăng ký mới.</x:t>
        </x:is>
      </x:c>
      <x:c r="K51" s="20" t="n"/>
      <x:c r="L51" s="20" t="str">
        <x:f>IF(AND(B51&lt;&gt;"",D51&lt;&gt;"",F51="Đã cập nhật",G51="Có",H51&lt;&gt;"",ISNUMBER(I51),J51&lt;&gt;""),"Hoàn tất","Chưa hoàn tất")</x:f>
        <x:v>Hoàn tất</x:v>
      </x:c>
    </x:row>
    <x:row r="52" ht="78" customHeight="1">
      <x:c r="A52" s="20" t="inlineStr">
        <x:is>
          <x:t xml:space="preserve">CHG-TECH-01</x:t>
        </x:is>
      </x:c>
      <x:c r="B52" s="20" t="inlineStr">
        <x:is>
          <x:t xml:space="preserve">Q03</x:t>
        </x:is>
      </x:c>
      <x:c r="C52" s="20" t="inlineStr">
        <x:is>
          <x:t xml:space="preserve">F18</x:t>
        </x:is>
      </x:c>
      <x:c r="D52" s="20" t="inlineStr">
        <x:is>
          <x:t xml:space="preserve">DOC-046</x:t>
        </x:is>
      </x:c>
      <x:c r="E52" s="20" t="inlineStr">
        <x:is>
          <x:t xml:space="preserve">Chốt stack / ghi nhận thiết kế kỹ thuật v0.1</x:t>
        </x:is>
      </x:c>
      <x:c r="F52" s="20" t="inlineStr">
        <x:is>
          <x:t xml:space="preserve">Đã cập nhật</x:t>
        </x:is>
      </x:c>
      <x:c r="G52" s="20" t="inlineStr">
        <x:is>
          <x:t xml:space="preserve">Có</x:t>
        </x:is>
      </x:c>
      <x:c r="H52" s="20" t="inlineStr">
        <x:is>
          <x:t xml:space="preserve">Codex</x:t>
        </x:is>
      </x:c>
      <x:c r="I52" s="28" t="n">
        <x:v>46288</x:v>
      </x:c>
      <x:c r="J52" s="20" t="inlineStr">
        <x:is>
          <x:t xml:space="preserve">Native Docs/Sheet đọc lại; OpenAPI validator, SQL parser; API IDs/QA/backlog kiểm liên kết; viewer Browser; Drive lưu cùng ID hoặc đăng ký mới.</x:t>
        </x:is>
      </x:c>
      <x:c r="K52" s="20" t="n"/>
      <x:c r="L52" s="20" t="str">
        <x:f>IF(AND(B52&lt;&gt;"",D52&lt;&gt;"",F52="Đã cập nhật",G52="Có",H52&lt;&gt;"",ISNUMBER(I52),J52&lt;&gt;""),"Hoàn tất","Chưa hoàn tất")</x:f>
        <x:v>Hoàn tất</x:v>
      </x:c>
    </x:row>
    <x:row r="53" ht="78" customHeight="1">
      <x:c r="A53" s="20" t="inlineStr">
        <x:is>
          <x:t xml:space="preserve">CHG-TECH-01</x:t>
        </x:is>
      </x:c>
      <x:c r="B53" s="20" t="inlineStr">
        <x:is>
          <x:t xml:space="preserve">Q03</x:t>
        </x:is>
      </x:c>
      <x:c r="C53" s="20" t="inlineStr">
        <x:is>
          <x:t xml:space="preserve">F18</x:t>
        </x:is>
      </x:c>
      <x:c r="D53" s="20" t="inlineStr">
        <x:is>
          <x:t xml:space="preserve">DOC-047</x:t>
        </x:is>
      </x:c>
      <x:c r="E53" s="20" t="inlineStr">
        <x:is>
          <x:t xml:space="preserve">Chốt stack / ghi nhận thiết kế kỹ thuật v0.1</x:t>
        </x:is>
      </x:c>
      <x:c r="F53" s="20" t="inlineStr">
        <x:is>
          <x:t xml:space="preserve">Đã cập nhật</x:t>
        </x:is>
      </x:c>
      <x:c r="G53" s="20" t="inlineStr">
        <x:is>
          <x:t xml:space="preserve">Có</x:t>
        </x:is>
      </x:c>
      <x:c r="H53" s="20" t="inlineStr">
        <x:is>
          <x:t xml:space="preserve">Codex</x:t>
        </x:is>
      </x:c>
      <x:c r="I53" s="28" t="n">
        <x:v>46288</x:v>
      </x:c>
      <x:c r="J53" s="20" t="inlineStr">
        <x:is>
          <x:t xml:space="preserve">Native Docs/Sheet đọc lại; OpenAPI validator, SQL parser; API IDs/QA/backlog kiểm liên kết; viewer Browser; Drive lưu cùng ID hoặc đăng ký mới.</x:t>
        </x:is>
      </x:c>
      <x:c r="K53" s="20" t="n"/>
      <x:c r="L53" s="20" t="str">
        <x:f>IF(AND(B53&lt;&gt;"",D53&lt;&gt;"",F53="Đã cập nhật",G53="Có",H53&lt;&gt;"",ISNUMBER(I53),J53&lt;&gt;""),"Hoàn tất","Chưa hoàn tất")</x:f>
        <x:v>Hoàn tất</x:v>
      </x:c>
    </x:row>
    <x:row r="54" ht="78" customHeight="1">
      <x:c r="A54" s="20" t="inlineStr">
        <x:is>
          <x:t xml:space="preserve">CHG-TECH-01</x:t>
        </x:is>
      </x:c>
      <x:c r="B54" s="20" t="inlineStr">
        <x:is>
          <x:t xml:space="preserve">Q03</x:t>
        </x:is>
      </x:c>
      <x:c r="C54" s="20" t="inlineStr">
        <x:is>
          <x:t xml:space="preserve">F18</x:t>
        </x:is>
      </x:c>
      <x:c r="D54" s="20" t="inlineStr">
        <x:is>
          <x:t xml:space="preserve">DOC-048</x:t>
        </x:is>
      </x:c>
      <x:c r="E54" s="20" t="inlineStr">
        <x:is>
          <x:t xml:space="preserve">Chốt stack / ghi nhận thiết kế kỹ thuật v0.1</x:t>
        </x:is>
      </x:c>
      <x:c r="F54" s="20" t="inlineStr">
        <x:is>
          <x:t xml:space="preserve">Đã cập nhật</x:t>
        </x:is>
      </x:c>
      <x:c r="G54" s="20" t="inlineStr">
        <x:is>
          <x:t xml:space="preserve">Có</x:t>
        </x:is>
      </x:c>
      <x:c r="H54" s="20" t="inlineStr">
        <x:is>
          <x:t xml:space="preserve">Codex</x:t>
        </x:is>
      </x:c>
      <x:c r="I54" s="28" t="n">
        <x:v>46288</x:v>
      </x:c>
      <x:c r="J54" s="20" t="inlineStr">
        <x:is>
          <x:t xml:space="preserve">Native Docs/Sheet đọc lại; OpenAPI validator, SQL parser; API IDs/QA/backlog kiểm liên kết; viewer Browser; Drive lưu cùng ID hoặc đăng ký mới.</x:t>
        </x:is>
      </x:c>
      <x:c r="K54" s="20" t="n"/>
      <x:c r="L54" s="20" t="str">
        <x:f>IF(AND(B54&lt;&gt;"",D54&lt;&gt;"",F54="Đã cập nhật",G54="Có",H54&lt;&gt;"",ISNUMBER(I54),J54&lt;&gt;""),"Hoàn tất","Chưa hoàn tất")</x:f>
        <x:v>Hoàn tất</x:v>
      </x:c>
    </x:row>
    <x:row r="55" ht="85" customHeight="1">
      <x:c r="A55" s="24" t="inlineStr">
        <x:is>
          <x:t xml:space="preserve">CHG-JOB-02</x:t>
        </x:is>
      </x:c>
      <x:c r="B55" s="24" t="inlineStr">
        <x:is>
          <x:t xml:space="preserve">JOB-01; JOB-02</x:t>
        </x:is>
      </x:c>
      <x:c r="C55" s="24" t="inlineStr">
        <x:is>
          <x:t xml:space="preserve">F05</x:t>
        </x:is>
      </x:c>
      <x:c r="D55" s="24" t="inlineStr">
        <x:is>
          <x:t xml:space="preserve">DOC-001</x:t>
        </x:is>
      </x:c>
      <x:c r="E55" s="24" t="inlineStr">
        <x:is>
          <x:t xml:space="preserve">Đồng bộ quy tắc công việc đã chốt</x:t>
        </x:is>
      </x:c>
      <x:c r="F55" s="24" t="inlineStr">
        <x:is>
          <x:t xml:space="preserve">Đã cập nhật</x:t>
        </x:is>
      </x:c>
      <x:c r="G55" s="24" t="inlineStr">
        <x:is>
          <x:t xml:space="preserve">Có</x:t>
        </x:is>
      </x:c>
      <x:c r="H55" s="24" t="inlineStr">
        <x:is>
          <x:t xml:space="preserve">Codex</x:t>
        </x:is>
      </x:c>
      <x:c r="I55" s="29" t="n">
        <x:v>46288</x:v>
      </x:c>
      <x:c r="J55" s="24" t="inlineStr">
        <x:is>
          <x:t xml:space="preserve">Native Docs/FR đọc lại; OpenAPI hợp lệ; nguồn/MD/viewer/ZIP tái tạo. QA-017/019 và B03/B05 cập nhật.</x:t>
        </x:is>
      </x:c>
      <x:c r="K55" s="24" t="n"/>
      <x:c r="L55" s="24" t="str">
        <x:f>IF(AND(F55="Đã cập nhật",G55="Có",H55&lt;&gt;"",ISNUMBER(I55),J55&lt;&gt;""),"Hoàn tất","Chưa hoàn tất")</x:f>
        <x:v>Hoàn tất</x:v>
      </x:c>
    </x:row>
    <x:row r="56" ht="85" customHeight="1">
      <x:c r="A56" s="24" t="inlineStr">
        <x:is>
          <x:t xml:space="preserve">CHG-JOB-02</x:t>
        </x:is>
      </x:c>
      <x:c r="B56" s="24" t="inlineStr">
        <x:is>
          <x:t xml:space="preserve">JOB-01; JOB-02</x:t>
        </x:is>
      </x:c>
      <x:c r="C56" s="24" t="inlineStr">
        <x:is>
          <x:t xml:space="preserve">F05</x:t>
        </x:is>
      </x:c>
      <x:c r="D56" s="24" t="inlineStr">
        <x:is>
          <x:t xml:space="preserve">DOC-002</x:t>
        </x:is>
      </x:c>
      <x:c r="E56" s="24" t="inlineStr">
        <x:is>
          <x:t xml:space="preserve">Đồng bộ quy tắc công việc đã chốt</x:t>
        </x:is>
      </x:c>
      <x:c r="F56" s="24" t="inlineStr">
        <x:is>
          <x:t xml:space="preserve">Đã cập nhật</x:t>
        </x:is>
      </x:c>
      <x:c r="G56" s="24" t="inlineStr">
        <x:is>
          <x:t xml:space="preserve">Có</x:t>
        </x:is>
      </x:c>
      <x:c r="H56" s="24" t="inlineStr">
        <x:is>
          <x:t xml:space="preserve">Codex</x:t>
        </x:is>
      </x:c>
      <x:c r="I56" s="29" t="n">
        <x:v>46288</x:v>
      </x:c>
      <x:c r="J56" s="24" t="inlineStr">
        <x:is>
          <x:t xml:space="preserve">Native Docs/FR đọc lại; OpenAPI hợp lệ; nguồn/MD/viewer/ZIP tái tạo. QA-017/019 và B03/B05 cập nhật.</x:t>
        </x:is>
      </x:c>
      <x:c r="K56" s="24" t="n"/>
      <x:c r="L56" s="24" t="str">
        <x:f>IF(AND(F56="Đã cập nhật",G56="Có",H56&lt;&gt;"",ISNUMBER(I56),J56&lt;&gt;""),"Hoàn tất","Chưa hoàn tất")</x:f>
        <x:v>Hoàn tất</x:v>
      </x:c>
    </x:row>
    <x:row r="57" ht="85" customHeight="1">
      <x:c r="A57" s="24" t="inlineStr">
        <x:is>
          <x:t xml:space="preserve">CHG-JOB-02</x:t>
        </x:is>
      </x:c>
      <x:c r="B57" s="24" t="inlineStr">
        <x:is>
          <x:t xml:space="preserve">JOB-01; JOB-02</x:t>
        </x:is>
      </x:c>
      <x:c r="C57" s="24" t="inlineStr">
        <x:is>
          <x:t xml:space="preserve">F05</x:t>
        </x:is>
      </x:c>
      <x:c r="D57" s="24" t="inlineStr">
        <x:is>
          <x:t xml:space="preserve">DOC-003</x:t>
        </x:is>
      </x:c>
      <x:c r="E57" s="24" t="inlineStr">
        <x:is>
          <x:t xml:space="preserve">Đồng bộ quy tắc công việc đã chốt</x:t>
        </x:is>
      </x:c>
      <x:c r="F57" s="24" t="inlineStr">
        <x:is>
          <x:t xml:space="preserve">Đã cập nhật</x:t>
        </x:is>
      </x:c>
      <x:c r="G57" s="24" t="inlineStr">
        <x:is>
          <x:t xml:space="preserve">Có</x:t>
        </x:is>
      </x:c>
      <x:c r="H57" s="24" t="inlineStr">
        <x:is>
          <x:t xml:space="preserve">Codex</x:t>
        </x:is>
      </x:c>
      <x:c r="I57" s="29" t="n">
        <x:v>46288</x:v>
      </x:c>
      <x:c r="J57" s="24" t="inlineStr">
        <x:is>
          <x:t xml:space="preserve">Native Docs/FR đọc lại; OpenAPI hợp lệ; nguồn/MD/viewer/ZIP tái tạo. QA-017/019 và B03/B05 cập nhật.</x:t>
        </x:is>
      </x:c>
      <x:c r="K57" s="24" t="n"/>
      <x:c r="L57" s="24" t="str">
        <x:f>IF(AND(F57="Đã cập nhật",G57="Có",H57&lt;&gt;"",ISNUMBER(I57),J57&lt;&gt;""),"Hoàn tất","Chưa hoàn tất")</x:f>
        <x:v>Hoàn tất</x:v>
      </x:c>
    </x:row>
    <x:row r="58" ht="85" customHeight="1">
      <x:c r="A58" s="24" t="inlineStr">
        <x:is>
          <x:t xml:space="preserve">CHG-JOB-02</x:t>
        </x:is>
      </x:c>
      <x:c r="B58" s="24" t="inlineStr">
        <x:is>
          <x:t xml:space="preserve">JOB-01; JOB-02</x:t>
        </x:is>
      </x:c>
      <x:c r="C58" s="24" t="inlineStr">
        <x:is>
          <x:t xml:space="preserve">F05</x:t>
        </x:is>
      </x:c>
      <x:c r="D58" s="24" t="inlineStr">
        <x:is>
          <x:t xml:space="preserve">DOC-004</x:t>
        </x:is>
      </x:c>
      <x:c r="E58" s="24" t="inlineStr">
        <x:is>
          <x:t xml:space="preserve">Đồng bộ quy tắc công việc đã chốt</x:t>
        </x:is>
      </x:c>
      <x:c r="F58" s="24" t="inlineStr">
        <x:is>
          <x:t xml:space="preserve">Đã cập nhật</x:t>
        </x:is>
      </x:c>
      <x:c r="G58" s="24" t="inlineStr">
        <x:is>
          <x:t xml:space="preserve">Có</x:t>
        </x:is>
      </x:c>
      <x:c r="H58" s="24" t="inlineStr">
        <x:is>
          <x:t xml:space="preserve">Codex</x:t>
        </x:is>
      </x:c>
      <x:c r="I58" s="29" t="n">
        <x:v>46288</x:v>
      </x:c>
      <x:c r="J58" s="24" t="inlineStr">
        <x:is>
          <x:t xml:space="preserve">Native Docs/FR đọc lại; OpenAPI hợp lệ; nguồn/MD/viewer/ZIP tái tạo. QA-017/019 và B03/B05 cập nhật.</x:t>
        </x:is>
      </x:c>
      <x:c r="K58" s="24" t="n"/>
      <x:c r="L58" s="24" t="str">
        <x:f>IF(AND(F58="Đã cập nhật",G58="Có",H58&lt;&gt;"",ISNUMBER(I58),J58&lt;&gt;""),"Hoàn tất","Chưa hoàn tất")</x:f>
        <x:v>Hoàn tất</x:v>
      </x:c>
    </x:row>
    <x:row r="59" ht="85" customHeight="1">
      <x:c r="A59" s="24" t="inlineStr">
        <x:is>
          <x:t xml:space="preserve">CHG-JOB-02</x:t>
        </x:is>
      </x:c>
      <x:c r="B59" s="24" t="inlineStr">
        <x:is>
          <x:t xml:space="preserve">JOB-01; JOB-02</x:t>
        </x:is>
      </x:c>
      <x:c r="C59" s="24" t="inlineStr">
        <x:is>
          <x:t xml:space="preserve">F05</x:t>
        </x:is>
      </x:c>
      <x:c r="D59" s="24" t="inlineStr">
        <x:is>
          <x:t xml:space="preserve">DOC-005</x:t>
        </x:is>
      </x:c>
      <x:c r="E59" s="24" t="inlineStr">
        <x:is>
          <x:t xml:space="preserve">Đồng bộ quy tắc công việc đã chốt</x:t>
        </x:is>
      </x:c>
      <x:c r="F59" s="24" t="inlineStr">
        <x:is>
          <x:t xml:space="preserve">Đã cập nhật</x:t>
        </x:is>
      </x:c>
      <x:c r="G59" s="24" t="inlineStr">
        <x:is>
          <x:t xml:space="preserve">Có</x:t>
        </x:is>
      </x:c>
      <x:c r="H59" s="24" t="inlineStr">
        <x:is>
          <x:t xml:space="preserve">Codex</x:t>
        </x:is>
      </x:c>
      <x:c r="I59" s="29" t="n">
        <x:v>46288</x:v>
      </x:c>
      <x:c r="J59" s="24" t="inlineStr">
        <x:is>
          <x:t xml:space="preserve">Native Docs/FR đọc lại; OpenAPI hợp lệ; nguồn/MD/viewer/ZIP tái tạo. QA-017/019 và B03/B05 cập nhật.</x:t>
        </x:is>
      </x:c>
      <x:c r="K59" s="24" t="n"/>
      <x:c r="L59" s="24" t="str">
        <x:f>IF(AND(F59="Đã cập nhật",G59="Có",H59&lt;&gt;"",ISNUMBER(I59),J59&lt;&gt;""),"Hoàn tất","Chưa hoàn tất")</x:f>
        <x:v>Hoàn tất</x:v>
      </x:c>
    </x:row>
    <x:row r="60" ht="85" customHeight="1">
      <x:c r="A60" s="24" t="inlineStr">
        <x:is>
          <x:t xml:space="preserve">CHG-JOB-02</x:t>
        </x:is>
      </x:c>
      <x:c r="B60" s="24" t="inlineStr">
        <x:is>
          <x:t xml:space="preserve">JOB-01; JOB-02</x:t>
        </x:is>
      </x:c>
      <x:c r="C60" s="24" t="inlineStr">
        <x:is>
          <x:t xml:space="preserve">F05</x:t>
        </x:is>
      </x:c>
      <x:c r="D60" s="24" t="inlineStr">
        <x:is>
          <x:t xml:space="preserve">DOC-006</x:t>
        </x:is>
      </x:c>
      <x:c r="E60" s="24" t="inlineStr">
        <x:is>
          <x:t xml:space="preserve">Đồng bộ quy tắc công việc đã chốt</x:t>
        </x:is>
      </x:c>
      <x:c r="F60" s="24" t="inlineStr">
        <x:is>
          <x:t xml:space="preserve">Đã cập nhật</x:t>
        </x:is>
      </x:c>
      <x:c r="G60" s="24" t="inlineStr">
        <x:is>
          <x:t xml:space="preserve">Có</x:t>
        </x:is>
      </x:c>
      <x:c r="H60" s="24" t="inlineStr">
        <x:is>
          <x:t xml:space="preserve">Codex</x:t>
        </x:is>
      </x:c>
      <x:c r="I60" s="29" t="n">
        <x:v>46288</x:v>
      </x:c>
      <x:c r="J60" s="24" t="inlineStr">
        <x:is>
          <x:t xml:space="preserve">Native Docs/FR đọc lại; OpenAPI hợp lệ; nguồn/MD/viewer/ZIP tái tạo. QA-017/019 và B03/B05 cập nhật.</x:t>
        </x:is>
      </x:c>
      <x:c r="K60" s="24" t="n"/>
      <x:c r="L60" s="24" t="str">
        <x:f>IF(AND(F60="Đã cập nhật",G60="Có",H60&lt;&gt;"",ISNUMBER(I60),J60&lt;&gt;""),"Hoàn tất","Chưa hoàn tất")</x:f>
        <x:v>Hoàn tất</x:v>
      </x:c>
    </x:row>
    <x:row r="61" ht="85" customHeight="1">
      <x:c r="A61" s="24" t="inlineStr">
        <x:is>
          <x:t xml:space="preserve">CHG-JOB-02</x:t>
        </x:is>
      </x:c>
      <x:c r="B61" s="24" t="inlineStr">
        <x:is>
          <x:t xml:space="preserve">JOB-01; JOB-02</x:t>
        </x:is>
      </x:c>
      <x:c r="C61" s="24" t="inlineStr">
        <x:is>
          <x:t xml:space="preserve">F05</x:t>
        </x:is>
      </x:c>
      <x:c r="D61" s="24" t="inlineStr">
        <x:is>
          <x:t xml:space="preserve">DOC-007</x:t>
        </x:is>
      </x:c>
      <x:c r="E61" s="24" t="inlineStr">
        <x:is>
          <x:t xml:space="preserve">Đồng bộ quy tắc công việc đã chốt</x:t>
        </x:is>
      </x:c>
      <x:c r="F61" s="24" t="inlineStr">
        <x:is>
          <x:t xml:space="preserve">Đã cập nhật</x:t>
        </x:is>
      </x:c>
      <x:c r="G61" s="24" t="inlineStr">
        <x:is>
          <x:t xml:space="preserve">Có</x:t>
        </x:is>
      </x:c>
      <x:c r="H61" s="24" t="inlineStr">
        <x:is>
          <x:t xml:space="preserve">Codex</x:t>
        </x:is>
      </x:c>
      <x:c r="I61" s="29" t="n">
        <x:v>46288</x:v>
      </x:c>
      <x:c r="J61" s="24" t="inlineStr">
        <x:is>
          <x:t xml:space="preserve">Native Docs/FR đọc lại; OpenAPI hợp lệ; nguồn/MD/viewer/ZIP tái tạo. QA-017/019 và B03/B05 cập nhật.</x:t>
        </x:is>
      </x:c>
      <x:c r="K61" s="24" t="n"/>
      <x:c r="L61" s="24" t="str">
        <x:f>IF(AND(F61="Đã cập nhật",G61="Có",H61&lt;&gt;"",ISNUMBER(I61),J61&lt;&gt;""),"Hoàn tất","Chưa hoàn tất")</x:f>
        <x:v>Hoàn tất</x:v>
      </x:c>
    </x:row>
    <x:row r="62" ht="85" customHeight="1">
      <x:c r="A62" s="24" t="inlineStr">
        <x:is>
          <x:t xml:space="preserve">CHG-JOB-02</x:t>
        </x:is>
      </x:c>
      <x:c r="B62" s="24" t="inlineStr">
        <x:is>
          <x:t xml:space="preserve">JOB-01; JOB-02</x:t>
        </x:is>
      </x:c>
      <x:c r="C62" s="24" t="inlineStr">
        <x:is>
          <x:t xml:space="preserve">F05</x:t>
        </x:is>
      </x:c>
      <x:c r="D62" s="24" t="inlineStr">
        <x:is>
          <x:t xml:space="preserve">DOC-012</x:t>
        </x:is>
      </x:c>
      <x:c r="E62" s="24" t="inlineStr">
        <x:is>
          <x:t xml:space="preserve">Đồng bộ quy tắc công việc đã chốt</x:t>
        </x:is>
      </x:c>
      <x:c r="F62" s="24" t="inlineStr">
        <x:is>
          <x:t xml:space="preserve">Đã cập nhật</x:t>
        </x:is>
      </x:c>
      <x:c r="G62" s="24" t="inlineStr">
        <x:is>
          <x:t xml:space="preserve">Có</x:t>
        </x:is>
      </x:c>
      <x:c r="H62" s="24" t="inlineStr">
        <x:is>
          <x:t xml:space="preserve">Codex</x:t>
        </x:is>
      </x:c>
      <x:c r="I62" s="29" t="n">
        <x:v>46288</x:v>
      </x:c>
      <x:c r="J62" s="24" t="inlineStr">
        <x:is>
          <x:t xml:space="preserve">Native Docs/FR đọc lại; OpenAPI hợp lệ; nguồn/MD/viewer/ZIP tái tạo. QA-017/019 và B03/B05 cập nhật.</x:t>
        </x:is>
      </x:c>
      <x:c r="K62" s="24" t="n"/>
      <x:c r="L62" s="24" t="str">
        <x:f>IF(AND(F62="Đã cập nhật",G62="Có",H62&lt;&gt;"",ISNUMBER(I62),J62&lt;&gt;""),"Hoàn tất","Chưa hoàn tất")</x:f>
        <x:v>Hoàn tất</x:v>
      </x:c>
    </x:row>
    <x:row r="63" ht="85" customHeight="1">
      <x:c r="A63" s="24" t="inlineStr">
        <x:is>
          <x:t xml:space="preserve">CHG-JOB-02</x:t>
        </x:is>
      </x:c>
      <x:c r="B63" s="24" t="inlineStr">
        <x:is>
          <x:t xml:space="preserve">JOB-01; JOB-02</x:t>
        </x:is>
      </x:c>
      <x:c r="C63" s="24" t="inlineStr">
        <x:is>
          <x:t xml:space="preserve">F05</x:t>
        </x:is>
      </x:c>
      <x:c r="D63" s="24" t="inlineStr">
        <x:is>
          <x:t xml:space="preserve">DOC-013</x:t>
        </x:is>
      </x:c>
      <x:c r="E63" s="24" t="inlineStr">
        <x:is>
          <x:t xml:space="preserve">Đồng bộ quy tắc công việc đã chốt</x:t>
        </x:is>
      </x:c>
      <x:c r="F63" s="24" t="inlineStr">
        <x:is>
          <x:t xml:space="preserve">Đã cập nhật</x:t>
        </x:is>
      </x:c>
      <x:c r="G63" s="24" t="inlineStr">
        <x:is>
          <x:t xml:space="preserve">Có</x:t>
        </x:is>
      </x:c>
      <x:c r="H63" s="24" t="inlineStr">
        <x:is>
          <x:t xml:space="preserve">Codex</x:t>
        </x:is>
      </x:c>
      <x:c r="I63" s="29" t="n">
        <x:v>46288</x:v>
      </x:c>
      <x:c r="J63" s="24" t="inlineStr">
        <x:is>
          <x:t xml:space="preserve">Native Docs/FR đọc lại; OpenAPI hợp lệ; nguồn/MD/viewer/ZIP tái tạo. QA-017/019 và B03/B05 cập nhật.</x:t>
        </x:is>
      </x:c>
      <x:c r="K63" s="24" t="n"/>
      <x:c r="L63" s="24" t="str">
        <x:f>IF(AND(F63="Đã cập nhật",G63="Có",H63&lt;&gt;"",ISNUMBER(I63),J63&lt;&gt;""),"Hoàn tất","Chưa hoàn tất")</x:f>
        <x:v>Hoàn tất</x:v>
      </x:c>
    </x:row>
    <x:row r="64" ht="85" customHeight="1">
      <x:c r="A64" s="24" t="inlineStr">
        <x:is>
          <x:t xml:space="preserve">CHG-JOB-02</x:t>
        </x:is>
      </x:c>
      <x:c r="B64" s="24" t="inlineStr">
        <x:is>
          <x:t xml:space="preserve">JOB-01; JOB-02</x:t>
        </x:is>
      </x:c>
      <x:c r="C64" s="24" t="inlineStr">
        <x:is>
          <x:t xml:space="preserve">F05</x:t>
        </x:is>
      </x:c>
      <x:c r="D64" s="24" t="inlineStr">
        <x:is>
          <x:t xml:space="preserve">DOC-014</x:t>
        </x:is>
      </x:c>
      <x:c r="E64" s="24" t="inlineStr">
        <x:is>
          <x:t xml:space="preserve">Đồng bộ quy tắc công việc đã chốt</x:t>
        </x:is>
      </x:c>
      <x:c r="F64" s="24" t="inlineStr">
        <x:is>
          <x:t xml:space="preserve">Đã cập nhật</x:t>
        </x:is>
      </x:c>
      <x:c r="G64" s="24" t="inlineStr">
        <x:is>
          <x:t xml:space="preserve">Có</x:t>
        </x:is>
      </x:c>
      <x:c r="H64" s="24" t="inlineStr">
        <x:is>
          <x:t xml:space="preserve">Codex</x:t>
        </x:is>
      </x:c>
      <x:c r="I64" s="29" t="n">
        <x:v>46288</x:v>
      </x:c>
      <x:c r="J64" s="24" t="inlineStr">
        <x:is>
          <x:t xml:space="preserve">Native Docs/FR đọc lại; OpenAPI hợp lệ; nguồn/MD/viewer/ZIP tái tạo. QA-017/019 và B03/B05 cập nhật.</x:t>
        </x:is>
      </x:c>
      <x:c r="K64" s="24" t="n"/>
      <x:c r="L64" s="24" t="str">
        <x:f>IF(AND(F64="Đã cập nhật",G64="Có",H64&lt;&gt;"",ISNUMBER(I64),J64&lt;&gt;""),"Hoàn tất","Chưa hoàn tất")</x:f>
        <x:v>Hoàn tất</x:v>
      </x:c>
    </x:row>
    <x:row r="65" ht="85" customHeight="1">
      <x:c r="A65" s="24" t="inlineStr">
        <x:is>
          <x:t xml:space="preserve">CHG-JOB-02</x:t>
        </x:is>
      </x:c>
      <x:c r="B65" s="24" t="inlineStr">
        <x:is>
          <x:t xml:space="preserve">JOB-01; JOB-02</x:t>
        </x:is>
      </x:c>
      <x:c r="C65" s="24" t="inlineStr">
        <x:is>
          <x:t xml:space="preserve">F05</x:t>
        </x:is>
      </x:c>
      <x:c r="D65" s="24" t="inlineStr">
        <x:is>
          <x:t xml:space="preserve">DOC-015</x:t>
        </x:is>
      </x:c>
      <x:c r="E65" s="24" t="inlineStr">
        <x:is>
          <x:t xml:space="preserve">Đồng bộ quy tắc công việc đã chốt</x:t>
        </x:is>
      </x:c>
      <x:c r="F65" s="24" t="inlineStr">
        <x:is>
          <x:t xml:space="preserve">Đã cập nhật</x:t>
        </x:is>
      </x:c>
      <x:c r="G65" s="24" t="inlineStr">
        <x:is>
          <x:t xml:space="preserve">Có</x:t>
        </x:is>
      </x:c>
      <x:c r="H65" s="24" t="inlineStr">
        <x:is>
          <x:t xml:space="preserve">Codex</x:t>
        </x:is>
      </x:c>
      <x:c r="I65" s="29" t="n">
        <x:v>46288</x:v>
      </x:c>
      <x:c r="J65" s="24" t="inlineStr">
        <x:is>
          <x:t xml:space="preserve">Native Docs/FR đọc lại; OpenAPI hợp lệ; nguồn/MD/viewer/ZIP tái tạo. QA-017/019 và B03/B05 cập nhật.</x:t>
        </x:is>
      </x:c>
      <x:c r="K65" s="24" t="n"/>
      <x:c r="L65" s="24" t="str">
        <x:f>IF(AND(F65="Đã cập nhật",G65="Có",H65&lt;&gt;"",ISNUMBER(I65),J65&lt;&gt;""),"Hoàn tất","Chưa hoàn tất")</x:f>
        <x:v>Hoàn tất</x:v>
      </x:c>
    </x:row>
    <x:row r="66" ht="85" customHeight="1">
      <x:c r="A66" s="24" t="inlineStr">
        <x:is>
          <x:t xml:space="preserve">CHG-JOB-02</x:t>
        </x:is>
      </x:c>
      <x:c r="B66" s="24" t="inlineStr">
        <x:is>
          <x:t xml:space="preserve">JOB-01; JOB-02</x:t>
        </x:is>
      </x:c>
      <x:c r="C66" s="24" t="inlineStr">
        <x:is>
          <x:t xml:space="preserve">F05</x:t>
        </x:is>
      </x:c>
      <x:c r="D66" s="24" t="inlineStr">
        <x:is>
          <x:t xml:space="preserve">DOC-016</x:t>
        </x:is>
      </x:c>
      <x:c r="E66" s="24" t="inlineStr">
        <x:is>
          <x:t xml:space="preserve">Đồng bộ quy tắc công việc đã chốt</x:t>
        </x:is>
      </x:c>
      <x:c r="F66" s="24" t="inlineStr">
        <x:is>
          <x:t xml:space="preserve">Đã cập nhật</x:t>
        </x:is>
      </x:c>
      <x:c r="G66" s="24" t="inlineStr">
        <x:is>
          <x:t xml:space="preserve">Có</x:t>
        </x:is>
      </x:c>
      <x:c r="H66" s="24" t="inlineStr">
        <x:is>
          <x:t xml:space="preserve">Codex</x:t>
        </x:is>
      </x:c>
      <x:c r="I66" s="29" t="n">
        <x:v>46288</x:v>
      </x:c>
      <x:c r="J66" s="24" t="inlineStr">
        <x:is>
          <x:t xml:space="preserve">Drive cùng ID cập nhật 23/09 02:08:21 UTC, 67081 bytes; metadata đọc lại khớp local/ZIP.</x:t>
        </x:is>
      </x:c>
      <x:c r="K66" s="24" t="n"/>
      <x:c r="L66" s="24" t="str">
        <x:f>IF(AND(F66="Đã cập nhật",G66="Có",H66&lt;&gt;"",ISNUMBER(I66),J66&lt;&gt;""),"Hoàn tất","Chưa hoàn tất")</x:f>
        <x:v>Hoàn tất</x:v>
      </x:c>
    </x:row>
    <x:row r="67" ht="85" customHeight="1">
      <x:c r="A67" s="24" t="inlineStr">
        <x:is>
          <x:t xml:space="preserve">CHG-JOB-02</x:t>
        </x:is>
      </x:c>
      <x:c r="B67" s="24" t="inlineStr">
        <x:is>
          <x:t xml:space="preserve">JOB-01; JOB-02</x:t>
        </x:is>
      </x:c>
      <x:c r="C67" s="24" t="inlineStr">
        <x:is>
          <x:t xml:space="preserve">F05</x:t>
        </x:is>
      </x:c>
      <x:c r="D67" s="24" t="inlineStr">
        <x:is>
          <x:t xml:space="preserve">DOC-017</x:t>
        </x:is>
      </x:c>
      <x:c r="E67" s="24" t="inlineStr">
        <x:is>
          <x:t xml:space="preserve">Đồng bộ quy tắc công việc đã chốt</x:t>
        </x:is>
      </x:c>
      <x:c r="F67" s="24" t="inlineStr">
        <x:is>
          <x:t xml:space="preserve">Đã cập nhật</x:t>
        </x:is>
      </x:c>
      <x:c r="G67" s="24" t="inlineStr">
        <x:is>
          <x:t xml:space="preserve">Có</x:t>
        </x:is>
      </x:c>
      <x:c r="H67" s="24" t="inlineStr">
        <x:is>
          <x:t xml:space="preserve">Codex</x:t>
        </x:is>
      </x:c>
      <x:c r="I67" s="29" t="n">
        <x:v>46288</x:v>
      </x:c>
      <x:c r="J67" s="24" t="inlineStr">
        <x:is>
          <x:t xml:space="preserve">Native Docs/FR đọc lại; OpenAPI hợp lệ; nguồn/MD/viewer/ZIP tái tạo. QA-017/019 và B03/B05 cập nhật.</x:t>
        </x:is>
      </x:c>
      <x:c r="K67" s="24" t="n"/>
      <x:c r="L67" s="24" t="str">
        <x:f>IF(AND(F67="Đã cập nhật",G67="Có",H67&lt;&gt;"",ISNUMBER(I67),J67&lt;&gt;""),"Hoàn tất","Chưa hoàn tất")</x:f>
        <x:v>Hoàn tất</x:v>
      </x:c>
    </x:row>
    <x:row r="68" ht="85" customHeight="1">
      <x:c r="A68" s="24" t="inlineStr">
        <x:is>
          <x:t xml:space="preserve">CHG-JOB-02</x:t>
        </x:is>
      </x:c>
      <x:c r="B68" s="24" t="inlineStr">
        <x:is>
          <x:t xml:space="preserve">JOB-01; JOB-02</x:t>
        </x:is>
      </x:c>
      <x:c r="C68" s="24" t="inlineStr">
        <x:is>
          <x:t xml:space="preserve">F05</x:t>
        </x:is>
      </x:c>
      <x:c r="D68" s="24" t="inlineStr">
        <x:is>
          <x:t xml:space="preserve">DOC-018</x:t>
        </x:is>
      </x:c>
      <x:c r="E68" s="24" t="inlineStr">
        <x:is>
          <x:t xml:space="preserve">Đồng bộ quy tắc công việc đã chốt</x:t>
        </x:is>
      </x:c>
      <x:c r="F68" s="24" t="inlineStr">
        <x:is>
          <x:t xml:space="preserve">Đã cập nhật</x:t>
        </x:is>
      </x:c>
      <x:c r="G68" s="24" t="inlineStr">
        <x:is>
          <x:t xml:space="preserve">Có</x:t>
        </x:is>
      </x:c>
      <x:c r="H68" s="24" t="inlineStr">
        <x:is>
          <x:t xml:space="preserve">Codex</x:t>
        </x:is>
      </x:c>
      <x:c r="I68" s="29" t="n">
        <x:v>46288</x:v>
      </x:c>
      <x:c r="J68" s="24" t="inlineStr">
        <x:is>
          <x:t xml:space="preserve">Native Docs/FR đọc lại; OpenAPI hợp lệ; nguồn/MD/viewer/ZIP tái tạo. QA-017/019 và B03/B05 cập nhật.</x:t>
        </x:is>
      </x:c>
      <x:c r="K68" s="24" t="n"/>
      <x:c r="L68" s="24" t="str">
        <x:f>IF(AND(F68="Đã cập nhật",G68="Có",H68&lt;&gt;"",ISNUMBER(I68),J68&lt;&gt;""),"Hoàn tất","Chưa hoàn tất")</x:f>
        <x:v>Hoàn tất</x:v>
      </x:c>
    </x:row>
    <x:row r="69" ht="85" customHeight="1">
      <x:c r="A69" s="24" t="inlineStr">
        <x:is>
          <x:t xml:space="preserve">CHG-JOB-02</x:t>
        </x:is>
      </x:c>
      <x:c r="B69" s="24" t="inlineStr">
        <x:is>
          <x:t xml:space="preserve">JOB-01; JOB-02</x:t>
        </x:is>
      </x:c>
      <x:c r="C69" s="24" t="inlineStr">
        <x:is>
          <x:t xml:space="preserve">F05</x:t>
        </x:is>
      </x:c>
      <x:c r="D69" s="24" t="inlineStr">
        <x:is>
          <x:t xml:space="preserve">DOC-025</x:t>
        </x:is>
      </x:c>
      <x:c r="E69" s="24" t="inlineStr">
        <x:is>
          <x:t xml:space="preserve">Đồng bộ quy tắc công việc đã chốt</x:t>
        </x:is>
      </x:c>
      <x:c r="F69" s="24" t="inlineStr">
        <x:is>
          <x:t xml:space="preserve">Đã cập nhật</x:t>
        </x:is>
      </x:c>
      <x:c r="G69" s="24" t="inlineStr">
        <x:is>
          <x:t xml:space="preserve">Có</x:t>
        </x:is>
      </x:c>
      <x:c r="H69" s="24" t="inlineStr">
        <x:is>
          <x:t xml:space="preserve">Codex</x:t>
        </x:is>
      </x:c>
      <x:c r="I69" s="29" t="n">
        <x:v>46288</x:v>
      </x:c>
      <x:c r="J69" s="24" t="inlineStr">
        <x:is>
          <x:t xml:space="preserve">Native Docs/FR đọc lại; OpenAPI hợp lệ; nguồn/MD/viewer/ZIP tái tạo. QA-017/019 và B03/B05 cập nhật.</x:t>
        </x:is>
      </x:c>
      <x:c r="K69" s="24" t="n"/>
      <x:c r="L69" s="24" t="str">
        <x:f>IF(AND(F69="Đã cập nhật",G69="Có",H69&lt;&gt;"",ISNUMBER(I69),J69&lt;&gt;""),"Hoàn tất","Chưa hoàn tất")</x:f>
        <x:v>Hoàn tất</x:v>
      </x:c>
    </x:row>
    <x:row r="70" ht="85" customHeight="1">
      <x:c r="A70" s="24" t="inlineStr">
        <x:is>
          <x:t xml:space="preserve">CHG-JOB-02</x:t>
        </x:is>
      </x:c>
      <x:c r="B70" s="24" t="inlineStr">
        <x:is>
          <x:t xml:space="preserve">JOB-01; JOB-02</x:t>
        </x:is>
      </x:c>
      <x:c r="C70" s="24" t="inlineStr">
        <x:is>
          <x:t xml:space="preserve">F05</x:t>
        </x:is>
      </x:c>
      <x:c r="D70" s="24" t="inlineStr">
        <x:is>
          <x:t xml:space="preserve">DOC-026</x:t>
        </x:is>
      </x:c>
      <x:c r="E70" s="24" t="inlineStr">
        <x:is>
          <x:t xml:space="preserve">Đồng bộ quy tắc công việc đã chốt</x:t>
        </x:is>
      </x:c>
      <x:c r="F70" s="24" t="inlineStr">
        <x:is>
          <x:t xml:space="preserve">Đã cập nhật</x:t>
        </x:is>
      </x:c>
      <x:c r="G70" s="24" t="inlineStr">
        <x:is>
          <x:t xml:space="preserve">Có</x:t>
        </x:is>
      </x:c>
      <x:c r="H70" s="24" t="inlineStr">
        <x:is>
          <x:t xml:space="preserve">Codex</x:t>
        </x:is>
      </x:c>
      <x:c r="I70" s="29" t="n">
        <x:v>46288</x:v>
      </x:c>
      <x:c r="J70" s="24" t="inlineStr">
        <x:is>
          <x:t xml:space="preserve">Native Docs/FR đọc lại; OpenAPI hợp lệ; nguồn/MD/viewer/ZIP tái tạo. QA-017/019 và B03/B05 cập nhật.</x:t>
        </x:is>
      </x:c>
      <x:c r="K70" s="24" t="n"/>
      <x:c r="L70" s="24" t="str">
        <x:f>IF(AND(F70="Đã cập nhật",G70="Có",H70&lt;&gt;"",ISNUMBER(I70),J70&lt;&gt;""),"Hoàn tất","Chưa hoàn tất")</x:f>
        <x:v>Hoàn tất</x:v>
      </x:c>
    </x:row>
    <x:row r="71" ht="85" customHeight="1">
      <x:c r="A71" s="24" t="inlineStr">
        <x:is>
          <x:t xml:space="preserve">CHG-JOB-02</x:t>
        </x:is>
      </x:c>
      <x:c r="B71" s="24" t="inlineStr">
        <x:is>
          <x:t xml:space="preserve">JOB-01; JOB-02</x:t>
        </x:is>
      </x:c>
      <x:c r="C71" s="24" t="inlineStr">
        <x:is>
          <x:t xml:space="preserve">F05</x:t>
        </x:is>
      </x:c>
      <x:c r="D71" s="24" t="inlineStr">
        <x:is>
          <x:t xml:space="preserve">DOC-027</x:t>
        </x:is>
      </x:c>
      <x:c r="E71" s="24" t="inlineStr">
        <x:is>
          <x:t xml:space="preserve">Đồng bộ quy tắc công việc đã chốt</x:t>
        </x:is>
      </x:c>
      <x:c r="F71" s="24" t="inlineStr">
        <x:is>
          <x:t xml:space="preserve">Đã cập nhật</x:t>
        </x:is>
      </x:c>
      <x:c r="G71" s="24" t="inlineStr">
        <x:is>
          <x:t xml:space="preserve">Có</x:t>
        </x:is>
      </x:c>
      <x:c r="H71" s="24" t="inlineStr">
        <x:is>
          <x:t xml:space="preserve">Codex</x:t>
        </x:is>
      </x:c>
      <x:c r="I71" s="29" t="n">
        <x:v>46288</x:v>
      </x:c>
      <x:c r="J71" s="24" t="inlineStr">
        <x:is>
          <x:t xml:space="preserve">Native Docs/FR đọc lại; OpenAPI hợp lệ; nguồn/MD/viewer/ZIP tái tạo. QA-017/019 và B03/B05 cập nhật.</x:t>
        </x:is>
      </x:c>
      <x:c r="K71" s="24" t="n"/>
      <x:c r="L71" s="24" t="str">
        <x:f>IF(AND(F71="Đã cập nhật",G71="Có",H71&lt;&gt;"",ISNUMBER(I71),J71&lt;&gt;""),"Hoàn tất","Chưa hoàn tất")</x:f>
        <x:v>Hoàn tất</x:v>
      </x:c>
    </x:row>
    <x:row r="72" ht="85" customHeight="1">
      <x:c r="A72" s="24" t="inlineStr">
        <x:is>
          <x:t xml:space="preserve">CHG-JOB-02</x:t>
        </x:is>
      </x:c>
      <x:c r="B72" s="24" t="inlineStr">
        <x:is>
          <x:t xml:space="preserve">JOB-01; JOB-02</x:t>
        </x:is>
      </x:c>
      <x:c r="C72" s="24" t="inlineStr">
        <x:is>
          <x:t xml:space="preserve">F05</x:t>
        </x:is>
      </x:c>
      <x:c r="D72" s="24" t="inlineStr">
        <x:is>
          <x:t xml:space="preserve">DOC-028</x:t>
        </x:is>
      </x:c>
      <x:c r="E72" s="24" t="inlineStr">
        <x:is>
          <x:t xml:space="preserve">Đồng bộ quy tắc công việc đã chốt</x:t>
        </x:is>
      </x:c>
      <x:c r="F72" s="24" t="inlineStr">
        <x:is>
          <x:t xml:space="preserve">Đã cập nhật</x:t>
        </x:is>
      </x:c>
      <x:c r="G72" s="24" t="inlineStr">
        <x:is>
          <x:t xml:space="preserve">Có</x:t>
        </x:is>
      </x:c>
      <x:c r="H72" s="24" t="inlineStr">
        <x:is>
          <x:t xml:space="preserve">Codex</x:t>
        </x:is>
      </x:c>
      <x:c r="I72" s="29" t="n">
        <x:v>46288</x:v>
      </x:c>
      <x:c r="J72" s="24" t="inlineStr">
        <x:is>
          <x:t xml:space="preserve">Native Docs/FR đọc lại; OpenAPI hợp lệ; nguồn/MD/viewer/ZIP tái tạo. QA-017/019 và B03/B05 cập nhật.</x:t>
        </x:is>
      </x:c>
      <x:c r="K72" s="24" t="n"/>
      <x:c r="L72" s="24" t="str">
        <x:f>IF(AND(F72="Đã cập nhật",G72="Có",H72&lt;&gt;"",ISNUMBER(I72),J72&lt;&gt;""),"Hoàn tất","Chưa hoàn tất")</x:f>
        <x:v>Hoàn tất</x:v>
      </x:c>
    </x:row>
    <x:row r="73" ht="85" customHeight="1">
      <x:c r="A73" s="24" t="inlineStr">
        <x:is>
          <x:t xml:space="preserve">CHG-JOB-02</x:t>
        </x:is>
      </x:c>
      <x:c r="B73" s="24" t="inlineStr">
        <x:is>
          <x:t xml:space="preserve">JOB-01; JOB-02</x:t>
        </x:is>
      </x:c>
      <x:c r="C73" s="24" t="inlineStr">
        <x:is>
          <x:t xml:space="preserve">F05</x:t>
        </x:is>
      </x:c>
      <x:c r="D73" s="24" t="inlineStr">
        <x:is>
          <x:t xml:space="preserve">DOC-029</x:t>
        </x:is>
      </x:c>
      <x:c r="E73" s="24" t="inlineStr">
        <x:is>
          <x:t xml:space="preserve">Đồng bộ quy tắc công việc đã chốt</x:t>
        </x:is>
      </x:c>
      <x:c r="F73" s="24" t="inlineStr">
        <x:is>
          <x:t xml:space="preserve">Đã cập nhật</x:t>
        </x:is>
      </x:c>
      <x:c r="G73" s="24" t="inlineStr">
        <x:is>
          <x:t xml:space="preserve">Có</x:t>
        </x:is>
      </x:c>
      <x:c r="H73" s="24" t="inlineStr">
        <x:is>
          <x:t xml:space="preserve">Codex</x:t>
        </x:is>
      </x:c>
      <x:c r="I73" s="29" t="n">
        <x:v>46288</x:v>
      </x:c>
      <x:c r="J73" s="24" t="inlineStr">
        <x:is>
          <x:t xml:space="preserve">Native Docs/FR đọc lại; OpenAPI hợp lệ; nguồn/MD/viewer/ZIP tái tạo. QA-017/019 và B03/B05 cập nhật.</x:t>
        </x:is>
      </x:c>
      <x:c r="K73" s="24" t="n"/>
      <x:c r="L73" s="24" t="str">
        <x:f>IF(AND(F73="Đã cập nhật",G73="Có",H73&lt;&gt;"",ISNUMBER(I73),J73&lt;&gt;""),"Hoàn tất","Chưa hoàn tất")</x:f>
        <x:v>Hoàn tất</x:v>
      </x:c>
    </x:row>
    <x:row r="74" ht="85" customHeight="1">
      <x:c r="A74" s="24" t="inlineStr">
        <x:is>
          <x:t xml:space="preserve">CHG-JOB-02</x:t>
        </x:is>
      </x:c>
      <x:c r="B74" s="24" t="inlineStr">
        <x:is>
          <x:t xml:space="preserve">JOB-01; JOB-02</x:t>
        </x:is>
      </x:c>
      <x:c r="C74" s="24" t="inlineStr">
        <x:is>
          <x:t xml:space="preserve">F05</x:t>
        </x:is>
      </x:c>
      <x:c r="D74" s="24" t="inlineStr">
        <x:is>
          <x:t xml:space="preserve">DOC-030</x:t>
        </x:is>
      </x:c>
      <x:c r="E74" s="24" t="inlineStr">
        <x:is>
          <x:t xml:space="preserve">Đồng bộ quy tắc công việc đã chốt</x:t>
        </x:is>
      </x:c>
      <x:c r="F74" s="24" t="inlineStr">
        <x:is>
          <x:t xml:space="preserve">Đã cập nhật</x:t>
        </x:is>
      </x:c>
      <x:c r="G74" s="24" t="inlineStr">
        <x:is>
          <x:t xml:space="preserve">Có</x:t>
        </x:is>
      </x:c>
      <x:c r="H74" s="24" t="inlineStr">
        <x:is>
          <x:t xml:space="preserve">Codex</x:t>
        </x:is>
      </x:c>
      <x:c r="I74" s="29" t="n">
        <x:v>46288</x:v>
      </x:c>
      <x:c r="J74" s="24" t="inlineStr">
        <x:is>
          <x:t xml:space="preserve">Native Docs/FR đọc lại; OpenAPI hợp lệ; nguồn/MD/viewer/ZIP tái tạo. QA-017/019 và B03/B05 cập nhật.</x:t>
        </x:is>
      </x:c>
      <x:c r="K74" s="24" t="n"/>
      <x:c r="L74" s="24" t="str">
        <x:f>IF(AND(F74="Đã cập nhật",G74="Có",H74&lt;&gt;"",ISNUMBER(I74),J74&lt;&gt;""),"Hoàn tất","Chưa hoàn tất")</x:f>
        <x:v>Hoàn tất</x:v>
      </x:c>
    </x:row>
    <x:row r="75" ht="85" customHeight="1">
      <x:c r="A75" s="24" t="inlineStr">
        <x:is>
          <x:t xml:space="preserve">CHG-JOB-02</x:t>
        </x:is>
      </x:c>
      <x:c r="B75" s="24" t="inlineStr">
        <x:is>
          <x:t xml:space="preserve">JOB-01; JOB-02</x:t>
        </x:is>
      </x:c>
      <x:c r="C75" s="24" t="inlineStr">
        <x:is>
          <x:t xml:space="preserve">F05</x:t>
        </x:is>
      </x:c>
      <x:c r="D75" s="24" t="inlineStr">
        <x:is>
          <x:t xml:space="preserve">DOC-031</x:t>
        </x:is>
      </x:c>
      <x:c r="E75" s="24" t="inlineStr">
        <x:is>
          <x:t xml:space="preserve">Đồng bộ quy tắc công việc đã chốt</x:t>
        </x:is>
      </x:c>
      <x:c r="F75" s="24" t="inlineStr">
        <x:is>
          <x:t xml:space="preserve">Đã cập nhật</x:t>
        </x:is>
      </x:c>
      <x:c r="G75" s="24" t="inlineStr">
        <x:is>
          <x:t xml:space="preserve">Có</x:t>
        </x:is>
      </x:c>
      <x:c r="H75" s="24" t="inlineStr">
        <x:is>
          <x:t xml:space="preserve">Codex</x:t>
        </x:is>
      </x:c>
      <x:c r="I75" s="29" t="n">
        <x:v>46288</x:v>
      </x:c>
      <x:c r="J75" s="24" t="inlineStr">
        <x:is>
          <x:t xml:space="preserve">Native Docs/FR đọc lại; OpenAPI hợp lệ; nguồn/MD/viewer/ZIP tái tạo. QA-017/019 và B03/B05 cập nhật.</x:t>
        </x:is>
      </x:c>
      <x:c r="K75" s="24" t="n"/>
      <x:c r="L75" s="24" t="str">
        <x:f>IF(AND(F75="Đã cập nhật",G75="Có",H75&lt;&gt;"",ISNUMBER(I75),J75&lt;&gt;""),"Hoàn tất","Chưa hoàn tất")</x:f>
        <x:v>Hoàn tất</x:v>
      </x:c>
    </x:row>
    <x:row r="76" ht="85" customHeight="1">
      <x:c r="A76" s="24" t="inlineStr">
        <x:is>
          <x:t xml:space="preserve">CHG-JOB-02</x:t>
        </x:is>
      </x:c>
      <x:c r="B76" s="24" t="inlineStr">
        <x:is>
          <x:t xml:space="preserve">JOB-01; JOB-02</x:t>
        </x:is>
      </x:c>
      <x:c r="C76" s="24" t="inlineStr">
        <x:is>
          <x:t xml:space="preserve">F05</x:t>
        </x:is>
      </x:c>
      <x:c r="D76" s="24" t="inlineStr">
        <x:is>
          <x:t xml:space="preserve">DOC-032</x:t>
        </x:is>
      </x:c>
      <x:c r="E76" s="24" t="inlineStr">
        <x:is>
          <x:t xml:space="preserve">Đồng bộ quy tắc công việc đã chốt</x:t>
        </x:is>
      </x:c>
      <x:c r="F76" s="24" t="inlineStr">
        <x:is>
          <x:t xml:space="preserve">Đã cập nhật</x:t>
        </x:is>
      </x:c>
      <x:c r="G76" s="24" t="inlineStr">
        <x:is>
          <x:t xml:space="preserve">Có</x:t>
        </x:is>
      </x:c>
      <x:c r="H76" s="24" t="inlineStr">
        <x:is>
          <x:t xml:space="preserve">Codex</x:t>
        </x:is>
      </x:c>
      <x:c r="I76" s="29" t="n">
        <x:v>46288</x:v>
      </x:c>
      <x:c r="J76" s="24" t="inlineStr">
        <x:is>
          <x:t xml:space="preserve">Native Docs/FR đọc lại; OpenAPI hợp lệ; nguồn/MD/viewer/ZIP tái tạo. QA-017/019 và B03/B05 cập nhật.</x:t>
        </x:is>
      </x:c>
      <x:c r="K76" s="24" t="n"/>
      <x:c r="L76" s="24" t="str">
        <x:f>IF(AND(F76="Đã cập nhật",G76="Có",H76&lt;&gt;"",ISNUMBER(I76),J76&lt;&gt;""),"Hoàn tất","Chưa hoàn tất")</x:f>
        <x:v>Hoàn tất</x:v>
      </x:c>
    </x:row>
    <x:row r="77" ht="85" customHeight="1">
      <x:c r="A77" s="24" t="inlineStr">
        <x:is>
          <x:t xml:space="preserve">CHG-JOB-02</x:t>
        </x:is>
      </x:c>
      <x:c r="B77" s="24" t="inlineStr">
        <x:is>
          <x:t xml:space="preserve">JOB-01; JOB-02</x:t>
        </x:is>
      </x:c>
      <x:c r="C77" s="24" t="inlineStr">
        <x:is>
          <x:t xml:space="preserve">F05</x:t>
        </x:is>
      </x:c>
      <x:c r="D77" s="24" t="inlineStr">
        <x:is>
          <x:t xml:space="preserve">DOC-033</x:t>
        </x:is>
      </x:c>
      <x:c r="E77" s="24" t="inlineStr">
        <x:is>
          <x:t xml:space="preserve">Đồng bộ quy tắc công việc đã chốt</x:t>
        </x:is>
      </x:c>
      <x:c r="F77" s="24" t="inlineStr">
        <x:is>
          <x:t xml:space="preserve">Đã cập nhật</x:t>
        </x:is>
      </x:c>
      <x:c r="G77" s="24" t="inlineStr">
        <x:is>
          <x:t xml:space="preserve">Có</x:t>
        </x:is>
      </x:c>
      <x:c r="H77" s="24" t="inlineStr">
        <x:is>
          <x:t xml:space="preserve">Codex</x:t>
        </x:is>
      </x:c>
      <x:c r="I77" s="29" t="n">
        <x:v>46288</x:v>
      </x:c>
      <x:c r="J77" s="24" t="inlineStr">
        <x:is>
          <x:t xml:space="preserve">Native Docs/FR đọc lại; OpenAPI hợp lệ; nguồn/MD/viewer/ZIP tái tạo. QA-017/019 và B03/B05 cập nhật.</x:t>
        </x:is>
      </x:c>
      <x:c r="K77" s="24" t="n"/>
      <x:c r="L77" s="24" t="str">
        <x:f>IF(AND(F77="Đã cập nhật",G77="Có",H77&lt;&gt;"",ISNUMBER(I77),J77&lt;&gt;""),"Hoàn tất","Chưa hoàn tất")</x:f>
        <x:v>Hoàn tất</x:v>
      </x:c>
    </x:row>
    <x:row r="78" ht="85" customHeight="1">
      <x:c r="A78" s="24" t="inlineStr">
        <x:is>
          <x:t xml:space="preserve">CHG-JOB-02</x:t>
        </x:is>
      </x:c>
      <x:c r="B78" s="24" t="inlineStr">
        <x:is>
          <x:t xml:space="preserve">JOB-01; JOB-02</x:t>
        </x:is>
      </x:c>
      <x:c r="C78" s="24" t="inlineStr">
        <x:is>
          <x:t xml:space="preserve">F05</x:t>
        </x:is>
      </x:c>
      <x:c r="D78" s="24" t="inlineStr">
        <x:is>
          <x:t xml:space="preserve">DOC-034</x:t>
        </x:is>
      </x:c>
      <x:c r="E78" s="24" t="inlineStr">
        <x:is>
          <x:t xml:space="preserve">Đồng bộ quy tắc công việc đã chốt</x:t>
        </x:is>
      </x:c>
      <x:c r="F78" s="24" t="inlineStr">
        <x:is>
          <x:t xml:space="preserve">Đã cập nhật</x:t>
        </x:is>
      </x:c>
      <x:c r="G78" s="24" t="inlineStr">
        <x:is>
          <x:t xml:space="preserve">Có</x:t>
        </x:is>
      </x:c>
      <x:c r="H78" s="24" t="inlineStr">
        <x:is>
          <x:t xml:space="preserve">Codex</x:t>
        </x:is>
      </x:c>
      <x:c r="I78" s="29" t="n">
        <x:v>46288</x:v>
      </x:c>
      <x:c r="J78" s="24" t="inlineStr">
        <x:is>
          <x:t xml:space="preserve">Native Docs/FR đọc lại; OpenAPI hợp lệ; nguồn/MD/viewer/ZIP tái tạo. QA-017/019 và B03/B05 cập nhật.</x:t>
        </x:is>
      </x:c>
      <x:c r="K78" s="24" t="n"/>
      <x:c r="L78" s="24" t="str">
        <x:f>IF(AND(F78="Đã cập nhật",G78="Có",H78&lt;&gt;"",ISNUMBER(I78),J78&lt;&gt;""),"Hoàn tất","Chưa hoàn tất")</x:f>
        <x:v>Hoàn tất</x:v>
      </x:c>
    </x:row>
    <x:row r="79" ht="85" customHeight="1">
      <x:c r="A79" s="24" t="inlineStr">
        <x:is>
          <x:t xml:space="preserve">CHG-JOB-02</x:t>
        </x:is>
      </x:c>
      <x:c r="B79" s="24" t="inlineStr">
        <x:is>
          <x:t xml:space="preserve">JOB-01; JOB-02</x:t>
        </x:is>
      </x:c>
      <x:c r="C79" s="24" t="inlineStr">
        <x:is>
          <x:t xml:space="preserve">F05</x:t>
        </x:is>
      </x:c>
      <x:c r="D79" s="24" t="inlineStr">
        <x:is>
          <x:t xml:space="preserve">PLAN-001</x:t>
        </x:is>
      </x:c>
      <x:c r="E79" s="24" t="inlineStr">
        <x:is>
          <x:t xml:space="preserve">Đồng bộ quy tắc công việc đã chốt</x:t>
        </x:is>
      </x:c>
      <x:c r="F79" s="24" t="inlineStr">
        <x:is>
          <x:t xml:space="preserve">Đã cập nhật</x:t>
        </x:is>
      </x:c>
      <x:c r="G79" s="24" t="inlineStr">
        <x:is>
          <x:t xml:space="preserve">Có</x:t>
        </x:is>
      </x:c>
      <x:c r="H79" s="24" t="inlineStr">
        <x:is>
          <x:t xml:space="preserve">Codex</x:t>
        </x:is>
      </x:c>
      <x:c r="I79" s="29" t="n">
        <x:v>46288</x:v>
      </x:c>
      <x:c r="J79" s="24" t="inlineStr">
        <x:is>
          <x:t xml:space="preserve">Native Docs/FR đọc lại; OpenAPI hợp lệ; nguồn/MD/viewer/ZIP tái tạo. QA-017/019 và B03/B05 cập nhật.</x:t>
        </x:is>
      </x:c>
      <x:c r="K79" s="24" t="n"/>
      <x:c r="L79" s="24" t="str">
        <x:f>IF(AND(F79="Đã cập nhật",G79="Có",H79&lt;&gt;"",ISNUMBER(I79),J79&lt;&gt;""),"Hoàn tất","Chưa hoàn tất")</x:f>
        <x:v>Hoàn tất</x:v>
      </x:c>
    </x:row>
    <x:row r="80" ht="85" customHeight="1">
      <x:c r="A80" s="24" t="inlineStr">
        <x:is>
          <x:t xml:space="preserve">CHG-JOB-02</x:t>
        </x:is>
      </x:c>
      <x:c r="B80" s="24" t="inlineStr">
        <x:is>
          <x:t xml:space="preserve">JOB-01; JOB-02</x:t>
        </x:is>
      </x:c>
      <x:c r="C80" s="24" t="inlineStr">
        <x:is>
          <x:t xml:space="preserve">F05</x:t>
        </x:is>
      </x:c>
      <x:c r="D80" s="24" t="inlineStr">
        <x:is>
          <x:t xml:space="preserve">PLAN-002</x:t>
        </x:is>
      </x:c>
      <x:c r="E80" s="24" t="inlineStr">
        <x:is>
          <x:t xml:space="preserve">Đồng bộ quy tắc công việc đã chốt</x:t>
        </x:is>
      </x:c>
      <x:c r="F80" s="24" t="inlineStr">
        <x:is>
          <x:t xml:space="preserve">Đã cập nhật</x:t>
        </x:is>
      </x:c>
      <x:c r="G80" s="24" t="inlineStr">
        <x:is>
          <x:t xml:space="preserve">Có</x:t>
        </x:is>
      </x:c>
      <x:c r="H80" s="24" t="inlineStr">
        <x:is>
          <x:t xml:space="preserve">Codex</x:t>
        </x:is>
      </x:c>
      <x:c r="I80" s="29" t="n">
        <x:v>46288</x:v>
      </x:c>
      <x:c r="J80" s="24" t="inlineStr">
        <x:is>
          <x:t xml:space="preserve">Native Docs/FR đọc lại; OpenAPI hợp lệ; nguồn/MD/viewer/ZIP tái tạo. QA-017/019 và B03/B05 cập nhật.</x:t>
        </x:is>
      </x:c>
      <x:c r="K80" s="24" t="n"/>
      <x:c r="L80" s="24" t="str">
        <x:f>IF(AND(F80="Đã cập nhật",G80="Có",H80&lt;&gt;"",ISNUMBER(I80),J80&lt;&gt;""),"Hoàn tất","Chưa hoàn tất")</x:f>
        <x:v>Hoàn tất</x:v>
      </x:c>
    </x:row>
    <x:row r="81" ht="85" customHeight="1">
      <x:c r="A81" s="24" t="inlineStr">
        <x:is>
          <x:t xml:space="preserve">CHG-JOB-02</x:t>
        </x:is>
      </x:c>
      <x:c r="B81" s="24" t="inlineStr">
        <x:is>
          <x:t xml:space="preserve">JOB-01; JOB-02</x:t>
        </x:is>
      </x:c>
      <x:c r="C81" s="24" t="inlineStr">
        <x:is>
          <x:t xml:space="preserve">F05</x:t>
        </x:is>
      </x:c>
      <x:c r="D81" s="24" t="inlineStr">
        <x:is>
          <x:t xml:space="preserve">PLAN-003</x:t>
        </x:is>
      </x:c>
      <x:c r="E81" s="24" t="inlineStr">
        <x:is>
          <x:t xml:space="preserve">Đồng bộ quy tắc công việc đã chốt</x:t>
        </x:is>
      </x:c>
      <x:c r="F81" s="24" t="inlineStr">
        <x:is>
          <x:t xml:space="preserve">Đã cập nhật</x:t>
        </x:is>
      </x:c>
      <x:c r="G81" s="24" t="inlineStr">
        <x:is>
          <x:t xml:space="preserve">Có</x:t>
        </x:is>
      </x:c>
      <x:c r="H81" s="24" t="inlineStr">
        <x:is>
          <x:t xml:space="preserve">Codex</x:t>
        </x:is>
      </x:c>
      <x:c r="I81" s="29" t="n">
        <x:v>46288</x:v>
      </x:c>
      <x:c r="J81" s="24" t="inlineStr">
        <x:is>
          <x:t xml:space="preserve">Native Docs/FR đọc lại; OpenAPI hợp lệ; nguồn/MD/viewer/ZIP tái tạo. QA-017/019 và B03/B05 cập nhật.</x:t>
        </x:is>
      </x:c>
      <x:c r="K81" s="24" t="n"/>
      <x:c r="L81" s="24" t="str">
        <x:f>IF(AND(F81="Đã cập nhật",G81="Có",H81&lt;&gt;"",ISNUMBER(I81),J81&lt;&gt;""),"Hoàn tất","Chưa hoàn tất")</x:f>
        <x:v>Hoàn tất</x:v>
      </x:c>
    </x:row>
    <x:row r="82" ht="85" customHeight="1">
      <x:c r="A82" s="24" t="inlineStr">
        <x:is>
          <x:t xml:space="preserve">CHG-JOB-02</x:t>
        </x:is>
      </x:c>
      <x:c r="B82" s="24" t="inlineStr">
        <x:is>
          <x:t xml:space="preserve">JOB-01; JOB-02</x:t>
        </x:is>
      </x:c>
      <x:c r="C82" s="24" t="inlineStr">
        <x:is>
          <x:t xml:space="preserve">F05</x:t>
        </x:is>
      </x:c>
      <x:c r="D82" s="24" t="inlineStr">
        <x:is>
          <x:t xml:space="preserve">PLAN-008</x:t>
        </x:is>
      </x:c>
      <x:c r="E82" s="24" t="inlineStr">
        <x:is>
          <x:t xml:space="preserve">Đồng bộ quy tắc công việc đã chốt</x:t>
        </x:is>
      </x:c>
      <x:c r="F82" s="24" t="inlineStr">
        <x:is>
          <x:t xml:space="preserve">Đã cập nhật</x:t>
        </x:is>
      </x:c>
      <x:c r="G82" s="24" t="inlineStr">
        <x:is>
          <x:t xml:space="preserve">Có</x:t>
        </x:is>
      </x:c>
      <x:c r="H82" s="24" t="inlineStr">
        <x:is>
          <x:t xml:space="preserve">Codex</x:t>
        </x:is>
      </x:c>
      <x:c r="I82" s="29" t="n">
        <x:v>46288</x:v>
      </x:c>
      <x:c r="J82" s="24" t="inlineStr">
        <x:is>
          <x:t xml:space="preserve">Native Docs/FR đọc lại; OpenAPI hợp lệ; nguồn/MD/viewer/ZIP tái tạo. QA-017/019 và B03/B05 cập nhật.</x:t>
        </x:is>
      </x:c>
      <x:c r="K82" s="24" t="n"/>
      <x:c r="L82" s="24" t="str">
        <x:f>IF(AND(F82="Đã cập nhật",G82="Có",H82&lt;&gt;"",ISNUMBER(I82),J82&lt;&gt;""),"Hoàn tất","Chưa hoàn tất")</x:f>
        <x:v>Hoàn tất</x:v>
      </x:c>
    </x:row>
    <x:row r="83" ht="85" customHeight="1">
      <x:c r="A83" s="24" t="inlineStr">
        <x:is>
          <x:t xml:space="preserve">CHG-JOB-02</x:t>
        </x:is>
      </x:c>
      <x:c r="B83" s="24" t="inlineStr">
        <x:is>
          <x:t xml:space="preserve">JOB-01; JOB-02</x:t>
        </x:is>
      </x:c>
      <x:c r="C83" s="24" t="inlineStr">
        <x:is>
          <x:t xml:space="preserve">F05</x:t>
        </x:is>
      </x:c>
      <x:c r="D83" s="24" t="inlineStr">
        <x:is>
          <x:t xml:space="preserve">DOC-037</x:t>
        </x:is>
      </x:c>
      <x:c r="E83" s="24" t="inlineStr">
        <x:is>
          <x:t xml:space="preserve">Đồng bộ quy tắc công việc đã chốt</x:t>
        </x:is>
      </x:c>
      <x:c r="F83" s="24" t="inlineStr">
        <x:is>
          <x:t xml:space="preserve">Đã cập nhật</x:t>
        </x:is>
      </x:c>
      <x:c r="G83" s="24" t="inlineStr">
        <x:is>
          <x:t xml:space="preserve">Có</x:t>
        </x:is>
      </x:c>
      <x:c r="H83" s="24" t="inlineStr">
        <x:is>
          <x:t xml:space="preserve">Codex</x:t>
        </x:is>
      </x:c>
      <x:c r="I83" s="29" t="n">
        <x:v>46288</x:v>
      </x:c>
      <x:c r="J83" s="24" t="inlineStr">
        <x:is>
          <x:t xml:space="preserve">Drive cùng ID cập nhật 23/09 02:08:31 UTC, 176529 bytes; metadata đọc lại khớp local/ZIP.</x:t>
        </x:is>
      </x:c>
      <x:c r="K83" s="24" t="n"/>
      <x:c r="L83" s="24" t="str">
        <x:f>IF(AND(F83="Đã cập nhật",G83="Có",H83&lt;&gt;"",ISNUMBER(I83),J83&lt;&gt;""),"Hoàn tất","Chưa hoàn tất")</x:f>
        <x:v>Hoàn tất</x:v>
      </x:c>
    </x:row>
    <x:row r="84" ht="85" customHeight="1">
      <x:c r="A84" s="24" t="inlineStr">
        <x:is>
          <x:t xml:space="preserve">CHG-JOB-02</x:t>
        </x:is>
      </x:c>
      <x:c r="B84" s="24" t="inlineStr">
        <x:is>
          <x:t xml:space="preserve">JOB-01; JOB-02</x:t>
        </x:is>
      </x:c>
      <x:c r="C84" s="24" t="inlineStr">
        <x:is>
          <x:t xml:space="preserve">F05</x:t>
        </x:is>
      </x:c>
      <x:c r="D84" s="24" t="inlineStr">
        <x:is>
          <x:t xml:space="preserve">DOC-039</x:t>
        </x:is>
      </x:c>
      <x:c r="E84" s="24" t="inlineStr">
        <x:is>
          <x:t xml:space="preserve">Đồng bộ quy tắc công việc đã chốt</x:t>
        </x:is>
      </x:c>
      <x:c r="F84" s="24" t="inlineStr">
        <x:is>
          <x:t xml:space="preserve">Đã cập nhật</x:t>
        </x:is>
      </x:c>
      <x:c r="G84" s="24" t="inlineStr">
        <x:is>
          <x:t xml:space="preserve">Có</x:t>
        </x:is>
      </x:c>
      <x:c r="H84" s="24" t="inlineStr">
        <x:is>
          <x:t xml:space="preserve">Codex</x:t>
        </x:is>
      </x:c>
      <x:c r="I84" s="29" t="n">
        <x:v>46288</x:v>
      </x:c>
      <x:c r="J84" s="24" t="inlineStr">
        <x:is>
          <x:t xml:space="preserve">Native Docs/FR đọc lại; OpenAPI hợp lệ; nguồn/MD/viewer/ZIP tái tạo. QA-017/019 và B03/B05 cập nhật.</x:t>
        </x:is>
      </x:c>
      <x:c r="K84" s="24" t="n"/>
      <x:c r="L84" s="24" t="str">
        <x:f>IF(AND(F84="Đã cập nhật",G84="Có",H84&lt;&gt;"",ISNUMBER(I84),J84&lt;&gt;""),"Hoàn tất","Chưa hoàn tất")</x:f>
        <x:v>Hoàn tất</x:v>
      </x:c>
    </x:row>
    <x:row r="85" ht="85" customHeight="1">
      <x:c r="A85" s="24" t="inlineStr">
        <x:is>
          <x:t xml:space="preserve">CHG-JOB-02</x:t>
        </x:is>
      </x:c>
      <x:c r="B85" s="24" t="inlineStr">
        <x:is>
          <x:t xml:space="preserve">JOB-01; JOB-02</x:t>
        </x:is>
      </x:c>
      <x:c r="C85" s="24" t="inlineStr">
        <x:is>
          <x:t xml:space="preserve">F05</x:t>
        </x:is>
      </x:c>
      <x:c r="D85" s="24" t="inlineStr">
        <x:is>
          <x:t xml:space="preserve">DOC-040</x:t>
        </x:is>
      </x:c>
      <x:c r="E85" s="24" t="inlineStr">
        <x:is>
          <x:t xml:space="preserve">Đồng bộ quy tắc công việc đã chốt</x:t>
        </x:is>
      </x:c>
      <x:c r="F85" s="24" t="inlineStr">
        <x:is>
          <x:t xml:space="preserve">Đã cập nhật</x:t>
        </x:is>
      </x:c>
      <x:c r="G85" s="24" t="inlineStr">
        <x:is>
          <x:t xml:space="preserve">Có</x:t>
        </x:is>
      </x:c>
      <x:c r="H85" s="24" t="inlineStr">
        <x:is>
          <x:t xml:space="preserve">Codex</x:t>
        </x:is>
      </x:c>
      <x:c r="I85" s="29" t="n">
        <x:v>46288</x:v>
      </x:c>
      <x:c r="J85" s="24" t="inlineStr">
        <x:is>
          <x:t xml:space="preserve">Native Docs/FR đọc lại; OpenAPI hợp lệ; nguồn/MD/viewer/ZIP tái tạo. QA-017/019 và B03/B05 cập nhật.</x:t>
        </x:is>
      </x:c>
      <x:c r="K85" s="24" t="n"/>
      <x:c r="L85" s="24" t="str">
        <x:f>IF(AND(F85="Đã cập nhật",G85="Có",H85&lt;&gt;"",ISNUMBER(I85),J85&lt;&gt;""),"Hoàn tất","Chưa hoàn tất")</x:f>
        <x:v>Hoàn tất</x:v>
      </x:c>
    </x:row>
    <x:row r="86" ht="85" customHeight="1">
      <x:c r="A86" s="24" t="inlineStr">
        <x:is>
          <x:t xml:space="preserve">CHG-JOB-02</x:t>
        </x:is>
      </x:c>
      <x:c r="B86" s="24" t="inlineStr">
        <x:is>
          <x:t xml:space="preserve">JOB-01; JOB-02</x:t>
        </x:is>
      </x:c>
      <x:c r="C86" s="24" t="inlineStr">
        <x:is>
          <x:t xml:space="preserve">F05</x:t>
        </x:is>
      </x:c>
      <x:c r="D86" s="24" t="inlineStr">
        <x:is>
          <x:t xml:space="preserve">DOC-041</x:t>
        </x:is>
      </x:c>
      <x:c r="E86" s="24" t="inlineStr">
        <x:is>
          <x:t xml:space="preserve">Đồng bộ quy tắc công việc đã chốt</x:t>
        </x:is>
      </x:c>
      <x:c r="F86" s="24" t="inlineStr">
        <x:is>
          <x:t xml:space="preserve">Đã cập nhật</x:t>
        </x:is>
      </x:c>
      <x:c r="G86" s="24" t="inlineStr">
        <x:is>
          <x:t xml:space="preserve">Có</x:t>
        </x:is>
      </x:c>
      <x:c r="H86" s="24" t="inlineStr">
        <x:is>
          <x:t xml:space="preserve">Codex</x:t>
        </x:is>
      </x:c>
      <x:c r="I86" s="29" t="n">
        <x:v>46288</x:v>
      </x:c>
      <x:c r="J86" s="24" t="inlineStr">
        <x:is>
          <x:t xml:space="preserve">Native Docs/FR đọc lại; OpenAPI hợp lệ; nguồn/MD/viewer/ZIP tái tạo. QA-017/019 và B03/B05 cập nhật.</x:t>
        </x:is>
      </x:c>
      <x:c r="K86" s="24" t="n"/>
      <x:c r="L86" s="24" t="str">
        <x:f>IF(AND(F86="Đã cập nhật",G86="Có",H86&lt;&gt;"",ISNUMBER(I86),J86&lt;&gt;""),"Hoàn tất","Chưa hoàn tất")</x:f>
        <x:v>Hoàn tất</x:v>
      </x:c>
    </x:row>
    <x:row r="87" ht="85" customHeight="1">
      <x:c r="A87" s="24" t="inlineStr">
        <x:is>
          <x:t xml:space="preserve">CHG-JOB-02</x:t>
        </x:is>
      </x:c>
      <x:c r="B87" s="24" t="inlineStr">
        <x:is>
          <x:t xml:space="preserve">JOB-01; JOB-02</x:t>
        </x:is>
      </x:c>
      <x:c r="C87" s="24" t="inlineStr">
        <x:is>
          <x:t xml:space="preserve">F05</x:t>
        </x:is>
      </x:c>
      <x:c r="D87" s="24" t="inlineStr">
        <x:is>
          <x:t xml:space="preserve">DOC-043</x:t>
        </x:is>
      </x:c>
      <x:c r="E87" s="24" t="inlineStr">
        <x:is>
          <x:t xml:space="preserve">Đồng bộ quy tắc công việc đã chốt</x:t>
        </x:is>
      </x:c>
      <x:c r="F87" s="24" t="inlineStr">
        <x:is>
          <x:t xml:space="preserve">Đã cập nhật</x:t>
        </x:is>
      </x:c>
      <x:c r="G87" s="24" t="inlineStr">
        <x:is>
          <x:t xml:space="preserve">Có</x:t>
        </x:is>
      </x:c>
      <x:c r="H87" s="24" t="inlineStr">
        <x:is>
          <x:t xml:space="preserve">Codex</x:t>
        </x:is>
      </x:c>
      <x:c r="I87" s="29" t="n">
        <x:v>46288</x:v>
      </x:c>
      <x:c r="J87" s="24" t="inlineStr">
        <x:is>
          <x:t xml:space="preserve">Native Docs/FR đọc lại; OpenAPI hợp lệ; nguồn/MD/viewer/ZIP tái tạo. QA-017/019 và B03/B05 cập nhật.</x:t>
        </x:is>
      </x:c>
      <x:c r="K87" s="24" t="n"/>
      <x:c r="L87" s="24" t="str">
        <x:f>IF(AND(F87="Đã cập nhật",G87="Có",H87&lt;&gt;"",ISNUMBER(I87),J87&lt;&gt;""),"Hoàn tất","Chưa hoàn tất")</x:f>
        <x:v>Hoàn tất</x:v>
      </x:c>
    </x:row>
    <x:row r="88" ht="85" customHeight="1">
      <x:c r="A88" s="24" t="inlineStr">
        <x:is>
          <x:t xml:space="preserve">CHG-JOB-02</x:t>
        </x:is>
      </x:c>
      <x:c r="B88" s="24" t="inlineStr">
        <x:is>
          <x:t xml:space="preserve">JOB-01; JOB-02</x:t>
        </x:is>
      </x:c>
      <x:c r="C88" s="24" t="inlineStr">
        <x:is>
          <x:t xml:space="preserve">F05</x:t>
        </x:is>
      </x:c>
      <x:c r="D88" s="24" t="inlineStr">
        <x:is>
          <x:t xml:space="preserve">DOC-045</x:t>
        </x:is>
      </x:c>
      <x:c r="E88" s="24" t="inlineStr">
        <x:is>
          <x:t xml:space="preserve">Đồng bộ quy tắc công việc đã chốt</x:t>
        </x:is>
      </x:c>
      <x:c r="F88" s="24" t="inlineStr">
        <x:is>
          <x:t xml:space="preserve">Đã cập nhật</x:t>
        </x:is>
      </x:c>
      <x:c r="G88" s="24" t="inlineStr">
        <x:is>
          <x:t xml:space="preserve">Có</x:t>
        </x:is>
      </x:c>
      <x:c r="H88" s="24" t="inlineStr">
        <x:is>
          <x:t xml:space="preserve">Codex</x:t>
        </x:is>
      </x:c>
      <x:c r="I88" s="29" t="n">
        <x:v>46288</x:v>
      </x:c>
      <x:c r="J88" s="24" t="inlineStr">
        <x:is>
          <x:t xml:space="preserve">Native Docs/FR đọc lại; OpenAPI hợp lệ; nguồn/MD/viewer/ZIP tái tạo. QA-017/019 và B03/B05 cập nhật.</x:t>
        </x:is>
      </x:c>
      <x:c r="K88" s="24" t="n"/>
      <x:c r="L88" s="24" t="str">
        <x:f>IF(AND(F88="Đã cập nhật",G88="Có",H88&lt;&gt;"",ISNUMBER(I88),J88&lt;&gt;""),"Hoàn tất","Chưa hoàn tất")</x:f>
        <x:v>Hoàn tất</x:v>
      </x:c>
    </x:row>
    <x:row r="89" ht="85" customHeight="1">
      <x:c r="A89" s="24" t="inlineStr">
        <x:is>
          <x:t xml:space="preserve">CHG-JOB-02</x:t>
        </x:is>
      </x:c>
      <x:c r="B89" s="24" t="inlineStr">
        <x:is>
          <x:t xml:space="preserve">JOB-01; JOB-02</x:t>
        </x:is>
      </x:c>
      <x:c r="C89" s="24" t="inlineStr">
        <x:is>
          <x:t xml:space="preserve">F05</x:t>
        </x:is>
      </x:c>
      <x:c r="D89" s="24" t="inlineStr">
        <x:is>
          <x:t xml:space="preserve">DOC-046</x:t>
        </x:is>
      </x:c>
      <x:c r="E89" s="24" t="inlineStr">
        <x:is>
          <x:t xml:space="preserve">Đồng bộ quy tắc công việc đã chốt</x:t>
        </x:is>
      </x:c>
      <x:c r="F89" s="24" t="inlineStr">
        <x:is>
          <x:t xml:space="preserve">Đã cập nhật</x:t>
        </x:is>
      </x:c>
      <x:c r="G89" s="24" t="inlineStr">
        <x:is>
          <x:t xml:space="preserve">Có</x:t>
        </x:is>
      </x:c>
      <x:c r="H89" s="24" t="inlineStr">
        <x:is>
          <x:t xml:space="preserve">Codex</x:t>
        </x:is>
      </x:c>
      <x:c r="I89" s="29" t="n">
        <x:v>46288</x:v>
      </x:c>
      <x:c r="J89" s="24" t="inlineStr">
        <x:is>
          <x:t xml:space="preserve">Native Docs/FR đọc lại; OpenAPI hợp lệ; nguồn/MD/viewer/ZIP tái tạo. QA-017/019 và B03/B05 cập nhật.</x:t>
        </x:is>
      </x:c>
      <x:c r="K89" s="24" t="n"/>
      <x:c r="L89" s="24" t="str">
        <x:f>IF(AND(F89="Đã cập nhật",G89="Có",H89&lt;&gt;"",ISNUMBER(I89),J89&lt;&gt;""),"Hoàn tất","Chưa hoàn tất")</x:f>
        <x:v>Hoàn tất</x:v>
      </x:c>
    </x:row>
    <x:row r="90" ht="85" customHeight="1">
      <x:c r="A90" s="24" t="inlineStr">
        <x:is>
          <x:t xml:space="preserve">CHG-JOB-02</x:t>
        </x:is>
      </x:c>
      <x:c r="B90" s="24" t="inlineStr">
        <x:is>
          <x:t xml:space="preserve">JOB-01; JOB-02</x:t>
        </x:is>
      </x:c>
      <x:c r="C90" s="24" t="inlineStr">
        <x:is>
          <x:t xml:space="preserve">F05</x:t>
        </x:is>
      </x:c>
      <x:c r="D90" s="24" t="inlineStr">
        <x:is>
          <x:t xml:space="preserve">DOC-048</x:t>
        </x:is>
      </x:c>
      <x:c r="E90" s="24" t="inlineStr">
        <x:is>
          <x:t xml:space="preserve">Đồng bộ quy tắc công việc đã chốt</x:t>
        </x:is>
      </x:c>
      <x:c r="F90" s="24" t="inlineStr">
        <x:is>
          <x:t xml:space="preserve">Đã cập nhật</x:t>
        </x:is>
      </x:c>
      <x:c r="G90" s="24" t="inlineStr">
        <x:is>
          <x:t xml:space="preserve">Có</x:t>
        </x:is>
      </x:c>
      <x:c r="H90" s="24" t="inlineStr">
        <x:is>
          <x:t xml:space="preserve">Codex</x:t>
        </x:is>
      </x:c>
      <x:c r="I90" s="29" t="n">
        <x:v>46288</x:v>
      </x:c>
      <x:c r="J90" s="24" t="inlineStr">
        <x:is>
          <x:t xml:space="preserve">Native Docs/FR đọc lại; OpenAPI hợp lệ; nguồn/MD/viewer/ZIP tái tạo. QA-017/019 và B03/B05 cập nhật.</x:t>
        </x:is>
      </x:c>
      <x:c r="K90" s="24" t="n"/>
      <x:c r="L90" s="24" t="str">
        <x:f>IF(AND(F90="Đã cập nhật",G90="Có",H90&lt;&gt;"",ISNUMBER(I90),J90&lt;&gt;""),"Hoàn tất","Chưa hoàn tất")</x:f>
        <x:v>Hoàn tất</x:v>
      </x:c>
    </x:row>
    <x:row r="91" ht="100" customHeight="1">
      <x:c r="A91" s="24" t="inlineStr">
        <x:is>
          <x:t xml:space="preserve">UI-20260923</x:t>
        </x:is>
      </x:c>
      <x:c r="B91" s="24" t="inlineStr">
        <x:is>
          <x:t xml:space="preserve">UI-01</x:t>
        </x:is>
      </x:c>
      <x:c r="C91" s="24" t="inlineStr">
        <x:is>
          <x:t xml:space="preserve">F04/F05/F06/F10/F16/F17</x:t>
        </x:is>
      </x:c>
      <x:c r="D91" s="24" t="inlineStr">
        <x:is>
          <x:t xml:space="preserve">DOC-049</x:t>
        </x:is>
      </x:c>
      <x:c r="E91" s="24" t="inlineStr">
        <x:is>
          <x:t xml:space="preserve">Tạo và đăng ký brainstorm Figma</x:t>
        </x:is>
      </x:c>
      <x:c r="F91" s="24" t="inlineStr">
        <x:is>
          <x:t xml:space="preserve">Đã tạo</x:t>
        </x:is>
      </x:c>
      <x:c r="G91" s="24" t="inlineStr">
        <x:is>
          <x:t xml:space="preserve">Chưa</x:t>
        </x:is>
      </x:c>
      <x:c r="H91" s="24" t="inlineStr">
        <x:is>
          <x:t xml:space="preserve">Codex</x:t>
        </x:is>
      </x:c>
      <x:c r="I91" s="29" t="n">
        <x:v>46288</x:v>
      </x:c>
      <x:c r="J91" s="24" t="inlineStr">
        <x:is>
          <x:t xml:space="preserve">Figma file cgFBrVCTbmYZHzVHA1fI1O; boards 8:2, 9:3, 9:26, 10:3, 10:37</x:t>
        </x:is>
      </x:c>
      <x:c r="K91" s="24" t="inlineStr">
        <x:is>
          <x:t xml:space="preserve">Giới hạn MCP Starter chặn kiểm tra screenshot cuối; chưa phê duyệt hướng UI</x:t>
        </x:is>
      </x:c>
      <x:c r="L91" s="24" t="str">
        <x:f>IF(AND(F91="Đã cập nhật",G91="Có",H91&lt;&gt;"",ISNUMBER(I91),J91&lt;&gt;""),"Hoàn tất","Chưa hoàn tất")</x:f>
        <x:v>Chưa hoàn tất</x:v>
      </x:c>
    </x:row>
    <x:row r="92" ht="100" customHeight="1">
      <x:c r="A92" s="24" t="inlineStr">
        <x:is>
          <x:t xml:space="preserve">UI-20260923-B</x:t>
        </x:is>
      </x:c>
      <x:c r="B92" s="24" t="inlineStr">
        <x:is>
          <x:t xml:space="preserve">UI-02</x:t>
        </x:is>
      </x:c>
      <x:c r="C92" s="24" t="inlineStr">
        <x:is>
          <x:t xml:space="preserve">F04/F09/F17/F20</x:t>
        </x:is>
      </x:c>
      <x:c r="D92" s="24" t="inlineStr">
        <x:is>
          <x:t xml:space="preserve">DOC-050</x:t>
        </x:is>
      </x:c>
      <x:c r="E92" s="24" t="inlineStr">
        <x:is>
          <x:t xml:space="preserve">Tạo và đăng ký bản thử / khảo sát</x:t>
        </x:is>
      </x:c>
      <x:c r="F92" s="24" t="inlineStr">
        <x:is>
          <x:t xml:space="preserve">Đã cập nhật</x:t>
        </x:is>
      </x:c>
      <x:c r="G92" s="24" t="inlineStr">
        <x:is>
          <x:t xml:space="preserve">Có</x:t>
        </x:is>
      </x:c>
      <x:c r="H92" s="24" t="inlineStr">
        <x:is>
          <x:t xml:space="preserve">Codex</x:t>
        </x:is>
      </x:c>
      <x:c r="I92" s="29" t="n">
        <x:v>46288</x:v>
      </x:c>
      <x:c r="J92" s="24" t="inlineStr">
        <x:is>
          <x:t xml:space="preserve">Vite/Storybook build; kiểm browser bộ lọc/chat/rỗng/mobile; README nêu giới hạn</x:t>
        </x:is>
      </x:c>
      <x:c r="K92" s="24" t="inlineStr">
        <x:is>
          <x:t xml:space="preserve">Không thay đổi nghiệp vụ đã chốt</x:t>
        </x:is>
      </x:c>
      <x:c r="L92" s="24" t="str">
        <x:f>IF(AND(F92="Đã cập nhật",G92="Có",H92&lt;&gt;"",ISNUMBER(I92),J92&lt;&gt;""),"Hoàn tất","Chưa hoàn tất")</x:f>
        <x:v>Hoàn tất</x:v>
      </x:c>
    </x:row>
    <x:row r="93" ht="100" customHeight="1">
      <x:c r="A93" s="24" t="inlineStr">
        <x:is>
          <x:t xml:space="preserve">UI-20260923-B</x:t>
        </x:is>
      </x:c>
      <x:c r="B93" s="24" t="inlineStr">
        <x:is>
          <x:t xml:space="preserve">UI-02</x:t>
        </x:is>
      </x:c>
      <x:c r="C93" s="24" t="inlineStr">
        <x:is>
          <x:t xml:space="preserve">F04/F09/F17/F20</x:t>
        </x:is>
      </x:c>
      <x:c r="D93" s="24" t="inlineStr">
        <x:is>
          <x:t xml:space="preserve">DOC-051</x:t>
        </x:is>
      </x:c>
      <x:c r="E93" s="24" t="inlineStr">
        <x:is>
          <x:t xml:space="preserve">Tạo và đăng ký bản thử / khảo sát</x:t>
        </x:is>
      </x:c>
      <x:c r="F93" s="24" t="inlineStr">
        <x:is>
          <x:t xml:space="preserve">Đã cập nhật</x:t>
        </x:is>
      </x:c>
      <x:c r="G93" s="24" t="inlineStr">
        <x:is>
          <x:t xml:space="preserve">Có</x:t>
        </x:is>
      </x:c>
      <x:c r="H93" s="24" t="inlineStr">
        <x:is>
          <x:t xml:space="preserve">Codex</x:t>
        </x:is>
      </x:c>
      <x:c r="I93" s="29" t="n">
        <x:v>46288</x:v>
      </x:c>
      <x:c r="J93" s="24" t="inlineStr">
        <x:is>
          <x:t xml:space="preserve">Penpot Saved; 2 nhóm SVG; đã xem layer và screenshot; chưa native DS</x:t>
        </x:is>
      </x:c>
      <x:c r="K93" s="24" t="inlineStr">
        <x:is>
          <x:t xml:space="preserve">Không thay đổi nghiệp vụ đã chốt</x:t>
        </x:is>
      </x:c>
      <x:c r="L93" s="24" t="str">
        <x:f>IF(AND(F93="Đã cập nhật",G93="Có",H93&lt;&gt;"",ISNUMBER(I93),J93&lt;&gt;""),"Hoàn tất","Chưa hoàn tất")</x:f>
        <x:v>Hoàn tất</x:v>
      </x:c>
    </x:row>
    <x:row r="94" ht="100" customHeight="1">
      <x:c r="A94" s="24" t="inlineStr">
        <x:is>
          <x:t xml:space="preserve">UI-20260923-B</x:t>
        </x:is>
      </x:c>
      <x:c r="B94" s="24" t="inlineStr">
        <x:is>
          <x:t xml:space="preserve">UI-02</x:t>
        </x:is>
      </x:c>
      <x:c r="C94" s="24" t="inlineStr">
        <x:is>
          <x:t xml:space="preserve">F04/F09/F17/F20</x:t>
        </x:is>
      </x:c>
      <x:c r="D94" s="24" t="inlineStr">
        <x:is>
          <x:t xml:space="preserve">DOC-052</x:t>
        </x:is>
      </x:c>
      <x:c r="E94" s="24" t="inlineStr">
        <x:is>
          <x:t xml:space="preserve">Tạo và đăng ký bản thử / khảo sát</x:t>
        </x:is>
      </x:c>
      <x:c r="F94" s="24" t="inlineStr">
        <x:is>
          <x:t xml:space="preserve">Đã cập nhật</x:t>
        </x:is>
      </x:c>
      <x:c r="G94" s="24" t="inlineStr">
        <x:is>
          <x:t xml:space="preserve">Có</x:t>
        </x:is>
      </x:c>
      <x:c r="H94" s="24" t="inlineStr">
        <x:is>
          <x:t xml:space="preserve">Codex</x:t>
        </x:is>
      </x:c>
      <x:c r="I94" s="29" t="n">
        <x:v>46288</x:v>
      </x:c>
      <x:c r="J94" s="24" t="inlineStr">
        <x:is>
          <x:t xml:space="preserve">research.md có nguồn chính thức; ZIP 1Unjr9ELcli6zcOb-4U2z62EDZo8Q5iE7</x:t>
        </x:is>
      </x:c>
      <x:c r="K94" s="24" t="inlineStr">
        <x:is>
          <x:t xml:space="preserve">Không thay đổi nghiệp vụ đã chốt</x:t>
        </x:is>
      </x:c>
      <x:c r="L94" s="24" t="str">
        <x:f>IF(AND(F94="Đã cập nhật",G94="Có",H94&lt;&gt;"",ISNUMBER(I94),J94&lt;&gt;""),"Hoàn tất","Chưa hoàn tất")</x:f>
        <x:v>Hoàn tất</x:v>
      </x:c>
    </x:row>
    <x:row r="95">
      <x:c r="A95" t="inlineStr">
        <x:is>
          <x:t xml:space="preserve">MOVE-20260923</x:t>
        </x:is>
      </x:c>
      <x:c r="B95" t="inlineStr">
        <x:is>
          <x:t xml:space="preserve">UI-03; UI-04</x:t>
        </x:is>
      </x:c>
      <x:c r="C95" t="inlineStr">
        <x:is>
          <x:t xml:space="preserve">F17/F20</x:t>
        </x:is>
      </x:c>
      <x:c r="D95" t="inlineStr">
        <x:is>
          <x:t xml:space="preserve">DOC-000</x:t>
        </x:is>
      </x:c>
      <x:c r="E95" t="inlineStr">
        <x:is>
          <x:t xml:space="preserve">Chuyển đường dẫn local</x:t>
        </x:is>
      </x:c>
      <x:c r="F95" t="inlineStr">
        <x:is>
          <x:t xml:space="preserve">Đã cập nhật</x:t>
        </x:is>
      </x:c>
      <x:c r="G95" t="inlineStr">
        <x:is>
          <x:t xml:space="preserve">Có</x:t>
        </x:is>
      </x:c>
      <x:c r="H95" t="inlineStr">
        <x:is>
          <x:t xml:space="preserve">Codex</x:t>
        </x:is>
      </x:c>
      <x:c r="I95" s="30" t="n">
        <x:v>46288</x:v>
      </x:c>
      <x:c r="J95" t="inlineStr">
        <x:is>
          <x:t xml:space="preserve">Di chuyển nguyên thư mục; symlink cũ; kiểm tồn tại đường dẫn mới. Nội dung nghiệp vụ không đổi.</x:t>
        </x:is>
      </x:c>
      <x:c r="K95" t="inlineStr">
        <x:is>
          <x:t xml:space="preserve">BRD/SRS/API không đổi nghiệp vụ; lịch sử giữ nguyên</x:t>
        </x:is>
      </x:c>
      <x:c r="L95" t="str">
        <x:f>IF(AND(F95="Đã cập nhật",G95="Có",H95&lt;&gt;"",ISNUMBER(I95),J95&lt;&gt;""),"Hoàn tất","Chưa hoàn tất")</x:f>
        <x:v>Hoàn tất</x:v>
      </x:c>
    </x:row>
    <x:row r="96">
      <x:c r="A96" t="inlineStr">
        <x:is>
          <x:t xml:space="preserve">MOVE-20260923</x:t>
        </x:is>
      </x:c>
      <x:c r="B96" t="inlineStr">
        <x:is>
          <x:t xml:space="preserve">UI-03; UI-04</x:t>
        </x:is>
      </x:c>
      <x:c r="C96" t="inlineStr">
        <x:is>
          <x:t xml:space="preserve">F17/F20</x:t>
        </x:is>
      </x:c>
      <x:c r="D96" t="inlineStr">
        <x:is>
          <x:t xml:space="preserve">DOC-007</x:t>
        </x:is>
      </x:c>
      <x:c r="E96" t="inlineStr">
        <x:is>
          <x:t xml:space="preserve">Chuyển đường dẫn local</x:t>
        </x:is>
      </x:c>
      <x:c r="F96" t="inlineStr">
        <x:is>
          <x:t xml:space="preserve">Đã cập nhật</x:t>
        </x:is>
      </x:c>
      <x:c r="G96" t="inlineStr">
        <x:is>
          <x:t xml:space="preserve">Có</x:t>
        </x:is>
      </x:c>
      <x:c r="H96" t="inlineStr">
        <x:is>
          <x:t xml:space="preserve">Codex</x:t>
        </x:is>
      </x:c>
      <x:c r="I96" s="30" t="n">
        <x:v>46288</x:v>
      </x:c>
      <x:c r="J96" t="inlineStr">
        <x:is>
          <x:t xml:space="preserve">Di chuyển nguyên thư mục; symlink cũ; kiểm tồn tại đường dẫn mới. Nội dung nghiệp vụ không đổi.</x:t>
        </x:is>
      </x:c>
      <x:c r="K96" t="inlineStr">
        <x:is>
          <x:t xml:space="preserve">BRD/SRS/API không đổi nghiệp vụ; lịch sử giữ nguyên</x:t>
        </x:is>
      </x:c>
      <x:c r="L96" t="str">
        <x:f>IF(AND(F96="Đã cập nhật",G96="Có",H96&lt;&gt;"",ISNUMBER(I96),J96&lt;&gt;""),"Hoàn tất","Chưa hoàn tất")</x:f>
        <x:v>Hoàn tất</x:v>
      </x:c>
    </x:row>
    <x:row r="97">
      <x:c r="A97" t="inlineStr">
        <x:is>
          <x:t xml:space="preserve">MOVE-20260923</x:t>
        </x:is>
      </x:c>
      <x:c r="B97" t="inlineStr">
        <x:is>
          <x:t xml:space="preserve">UI-03; UI-04</x:t>
        </x:is>
      </x:c>
      <x:c r="C97" t="inlineStr">
        <x:is>
          <x:t xml:space="preserve">F17/F20</x:t>
        </x:is>
      </x:c>
      <x:c r="D97" t="inlineStr">
        <x:is>
          <x:t xml:space="preserve">DOC-008</x:t>
        </x:is>
      </x:c>
      <x:c r="E97" t="inlineStr">
        <x:is>
          <x:t xml:space="preserve">Chuyển đường dẫn local</x:t>
        </x:is>
      </x:c>
      <x:c r="F97" t="inlineStr">
        <x:is>
          <x:t xml:space="preserve">Đã cập nhật</x:t>
        </x:is>
      </x:c>
      <x:c r="G97" t="inlineStr">
        <x:is>
          <x:t xml:space="preserve">Có</x:t>
        </x:is>
      </x:c>
      <x:c r="H97" t="inlineStr">
        <x:is>
          <x:t xml:space="preserve">Codex</x:t>
        </x:is>
      </x:c>
      <x:c r="I97" s="30" t="n">
        <x:v>46288</x:v>
      </x:c>
      <x:c r="J97" t="inlineStr">
        <x:is>
          <x:t xml:space="preserve">Di chuyển nguyên thư mục; symlink cũ; kiểm tồn tại đường dẫn mới. Nội dung nghiệp vụ không đổi.</x:t>
        </x:is>
      </x:c>
      <x:c r="K97" t="inlineStr">
        <x:is>
          <x:t xml:space="preserve">BRD/SRS/API không đổi nghiệp vụ; lịch sử giữ nguyên</x:t>
        </x:is>
      </x:c>
      <x:c r="L97" t="str">
        <x:f>IF(AND(F97="Đã cập nhật",G97="Có",H97&lt;&gt;"",ISNUMBER(I97),J97&lt;&gt;""),"Hoàn tất","Chưa hoàn tất")</x:f>
        <x:v>Hoàn tất</x:v>
      </x:c>
    </x:row>
    <x:row r="98">
      <x:c r="A98" t="inlineStr">
        <x:is>
          <x:t xml:space="preserve">MOVE-20260923</x:t>
        </x:is>
      </x:c>
      <x:c r="B98" t="inlineStr">
        <x:is>
          <x:t xml:space="preserve">UI-03; UI-04</x:t>
        </x:is>
      </x:c>
      <x:c r="C98" t="inlineStr">
        <x:is>
          <x:t xml:space="preserve">F17/F20</x:t>
        </x:is>
      </x:c>
      <x:c r="D98" t="inlineStr">
        <x:is>
          <x:t xml:space="preserve">DOC-009</x:t>
        </x:is>
      </x:c>
      <x:c r="E98" t="inlineStr">
        <x:is>
          <x:t xml:space="preserve">Chuyển đường dẫn local</x:t>
        </x:is>
      </x:c>
      <x:c r="F98" t="inlineStr">
        <x:is>
          <x:t xml:space="preserve">Đã cập nhật</x:t>
        </x:is>
      </x:c>
      <x:c r="G98" t="inlineStr">
        <x:is>
          <x:t xml:space="preserve">Có</x:t>
        </x:is>
      </x:c>
      <x:c r="H98" t="inlineStr">
        <x:is>
          <x:t xml:space="preserve">Codex</x:t>
        </x:is>
      </x:c>
      <x:c r="I98" s="30" t="n">
        <x:v>46288</x:v>
      </x:c>
      <x:c r="J98" t="inlineStr">
        <x:is>
          <x:t xml:space="preserve">Di chuyển nguyên thư mục; symlink cũ; kiểm tồn tại đường dẫn mới. Nội dung nghiệp vụ không đổi.</x:t>
        </x:is>
      </x:c>
      <x:c r="K98" t="inlineStr">
        <x:is>
          <x:t xml:space="preserve">BRD/SRS/API không đổi nghiệp vụ; lịch sử giữ nguyên</x:t>
        </x:is>
      </x:c>
      <x:c r="L98" t="str">
        <x:f>IF(AND(F98="Đã cập nhật",G98="Có",H98&lt;&gt;"",ISNUMBER(I98),J98&lt;&gt;""),"Hoàn tất","Chưa hoàn tất")</x:f>
        <x:v>Hoàn tất</x:v>
      </x:c>
    </x:row>
    <x:row r="99">
      <x:c r="A99" t="inlineStr">
        <x:is>
          <x:t xml:space="preserve">MOVE-20260923</x:t>
        </x:is>
      </x:c>
      <x:c r="B99" t="inlineStr">
        <x:is>
          <x:t xml:space="preserve">UI-03; UI-04</x:t>
        </x:is>
      </x:c>
      <x:c r="C99" t="inlineStr">
        <x:is>
          <x:t xml:space="preserve">F17/F20</x:t>
        </x:is>
      </x:c>
      <x:c r="D99" t="inlineStr">
        <x:is>
          <x:t xml:space="preserve">DOC-010</x:t>
        </x:is>
      </x:c>
      <x:c r="E99" t="inlineStr">
        <x:is>
          <x:t xml:space="preserve">Chuyển đường dẫn local</x:t>
        </x:is>
      </x:c>
      <x:c r="F99" t="inlineStr">
        <x:is>
          <x:t xml:space="preserve">Đã cập nhật</x:t>
        </x:is>
      </x:c>
      <x:c r="G99" t="inlineStr">
        <x:is>
          <x:t xml:space="preserve">Có</x:t>
        </x:is>
      </x:c>
      <x:c r="H99" t="inlineStr">
        <x:is>
          <x:t xml:space="preserve">Codex</x:t>
        </x:is>
      </x:c>
      <x:c r="I99" s="30" t="n">
        <x:v>46288</x:v>
      </x:c>
      <x:c r="J99" t="inlineStr">
        <x:is>
          <x:t xml:space="preserve">Di chuyển nguyên thư mục; symlink cũ; kiểm tồn tại đường dẫn mới. Nội dung nghiệp vụ không đổi.</x:t>
        </x:is>
      </x:c>
      <x:c r="K99" t="inlineStr">
        <x:is>
          <x:t xml:space="preserve">BRD/SRS/API không đổi nghiệp vụ; lịch sử giữ nguyên</x:t>
        </x:is>
      </x:c>
      <x:c r="L99" t="str">
        <x:f>IF(AND(F99="Đã cập nhật",G99="Có",H99&lt;&gt;"",ISNUMBER(I99),J99&lt;&gt;""),"Hoàn tất","Chưa hoàn tất")</x:f>
        <x:v>Hoàn tất</x:v>
      </x:c>
    </x:row>
    <x:row r="100">
      <x:c r="A100" t="inlineStr">
        <x:is>
          <x:t xml:space="preserve">MOVE-20260923</x:t>
        </x:is>
      </x:c>
      <x:c r="B100" t="inlineStr">
        <x:is>
          <x:t xml:space="preserve">UI-03; UI-04</x:t>
        </x:is>
      </x:c>
      <x:c r="C100" t="inlineStr">
        <x:is>
          <x:t xml:space="preserve">F17/F20</x:t>
        </x:is>
      </x:c>
      <x:c r="D100" t="inlineStr">
        <x:is>
          <x:t xml:space="preserve">DOC-011</x:t>
        </x:is>
      </x:c>
      <x:c r="E100" t="inlineStr">
        <x:is>
          <x:t xml:space="preserve">Chuyển đường dẫn local</x:t>
        </x:is>
      </x:c>
      <x:c r="F100" t="inlineStr">
        <x:is>
          <x:t xml:space="preserve">Đã cập nhật</x:t>
        </x:is>
      </x:c>
      <x:c r="G100" t="inlineStr">
        <x:is>
          <x:t xml:space="preserve">Có</x:t>
        </x:is>
      </x:c>
      <x:c r="H100" t="inlineStr">
        <x:is>
          <x:t xml:space="preserve">Codex</x:t>
        </x:is>
      </x:c>
      <x:c r="I100" s="30" t="n">
        <x:v>46288</x:v>
      </x:c>
      <x:c r="J100" t="inlineStr">
        <x:is>
          <x:t xml:space="preserve">Di chuyển nguyên thư mục; symlink cũ; kiểm tồn tại đường dẫn mới. Nội dung nghiệp vụ không đổi.</x:t>
        </x:is>
      </x:c>
      <x:c r="K100" t="inlineStr">
        <x:is>
          <x:t xml:space="preserve">BRD/SRS/API không đổi nghiệp vụ; lịch sử giữ nguyên</x:t>
        </x:is>
      </x:c>
      <x:c r="L100" t="str">
        <x:f>IF(AND(F100="Đã cập nhật",G100="Có",H100&lt;&gt;"",ISNUMBER(I100),J100&lt;&gt;""),"Hoàn tất","Chưa hoàn tất")</x:f>
        <x:v>Hoàn tất</x:v>
      </x:c>
    </x:row>
    <x:row r="101">
      <x:c r="A101" t="inlineStr">
        <x:is>
          <x:t xml:space="preserve">MOVE-20260923</x:t>
        </x:is>
      </x:c>
      <x:c r="B101" t="inlineStr">
        <x:is>
          <x:t xml:space="preserve">UI-03; UI-04</x:t>
        </x:is>
      </x:c>
      <x:c r="C101" t="inlineStr">
        <x:is>
          <x:t xml:space="preserve">F17/F20</x:t>
        </x:is>
      </x:c>
      <x:c r="D101" t="inlineStr">
        <x:is>
          <x:t xml:space="preserve">DOC-012</x:t>
        </x:is>
      </x:c>
      <x:c r="E101" t="inlineStr">
        <x:is>
          <x:t xml:space="preserve">Chuyển đường dẫn local</x:t>
        </x:is>
      </x:c>
      <x:c r="F101" t="inlineStr">
        <x:is>
          <x:t xml:space="preserve">Đã cập nhật</x:t>
        </x:is>
      </x:c>
      <x:c r="G101" t="inlineStr">
        <x:is>
          <x:t xml:space="preserve">Có</x:t>
        </x:is>
      </x:c>
      <x:c r="H101" t="inlineStr">
        <x:is>
          <x:t xml:space="preserve">Codex</x:t>
        </x:is>
      </x:c>
      <x:c r="I101" s="30" t="n">
        <x:v>46288</x:v>
      </x:c>
      <x:c r="J101" t="inlineStr">
        <x:is>
          <x:t xml:space="preserve">Di chuyển nguyên thư mục; symlink cũ; kiểm tồn tại đường dẫn mới. Nội dung nghiệp vụ không đổi.</x:t>
        </x:is>
      </x:c>
      <x:c r="K101" t="inlineStr">
        <x:is>
          <x:t xml:space="preserve">BRD/SRS/API không đổi nghiệp vụ; lịch sử giữ nguyên</x:t>
        </x:is>
      </x:c>
      <x:c r="L101" t="str">
        <x:f>IF(AND(F101="Đã cập nhật",G101="Có",H101&lt;&gt;"",ISNUMBER(I101),J101&lt;&gt;""),"Hoàn tất","Chưa hoàn tất")</x:f>
        <x:v>Hoàn tất</x:v>
      </x:c>
    </x:row>
    <x:row r="102">
      <x:c r="A102" t="inlineStr">
        <x:is>
          <x:t xml:space="preserve">MOVE-20260923</x:t>
        </x:is>
      </x:c>
      <x:c r="B102" t="inlineStr">
        <x:is>
          <x:t xml:space="preserve">UI-03; UI-04</x:t>
        </x:is>
      </x:c>
      <x:c r="C102" t="inlineStr">
        <x:is>
          <x:t xml:space="preserve">F17/F20</x:t>
        </x:is>
      </x:c>
      <x:c r="D102" t="inlineStr">
        <x:is>
          <x:t xml:space="preserve">DOC-013</x:t>
        </x:is>
      </x:c>
      <x:c r="E102" t="inlineStr">
        <x:is>
          <x:t xml:space="preserve">Chuyển đường dẫn local</x:t>
        </x:is>
      </x:c>
      <x:c r="F102" t="inlineStr">
        <x:is>
          <x:t xml:space="preserve">Đã cập nhật</x:t>
        </x:is>
      </x:c>
      <x:c r="G102" t="inlineStr">
        <x:is>
          <x:t xml:space="preserve">Có</x:t>
        </x:is>
      </x:c>
      <x:c r="H102" t="inlineStr">
        <x:is>
          <x:t xml:space="preserve">Codex</x:t>
        </x:is>
      </x:c>
      <x:c r="I102" s="30" t="n">
        <x:v>46288</x:v>
      </x:c>
      <x:c r="J102" t="inlineStr">
        <x:is>
          <x:t xml:space="preserve">Di chuyển nguyên thư mục; symlink cũ; kiểm tồn tại đường dẫn mới. Nội dung nghiệp vụ không đổi.</x:t>
        </x:is>
      </x:c>
      <x:c r="K102" t="inlineStr">
        <x:is>
          <x:t xml:space="preserve">BRD/SRS/API không đổi nghiệp vụ; lịch sử giữ nguyên</x:t>
        </x:is>
      </x:c>
      <x:c r="L102" t="str">
        <x:f>IF(AND(F102="Đã cập nhật",G102="Có",H102&lt;&gt;"",ISNUMBER(I102),J102&lt;&gt;""),"Hoàn tất","Chưa hoàn tất")</x:f>
        <x:v>Hoàn tất</x:v>
      </x:c>
    </x:row>
    <x:row r="103">
      <x:c r="A103" t="inlineStr">
        <x:is>
          <x:t xml:space="preserve">MOVE-20260923</x:t>
        </x:is>
      </x:c>
      <x:c r="B103" t="inlineStr">
        <x:is>
          <x:t xml:space="preserve">UI-03; UI-04</x:t>
        </x:is>
      </x:c>
      <x:c r="C103" t="inlineStr">
        <x:is>
          <x:t xml:space="preserve">F17/F20</x:t>
        </x:is>
      </x:c>
      <x:c r="D103" t="inlineStr">
        <x:is>
          <x:t xml:space="preserve">DOC-014</x:t>
        </x:is>
      </x:c>
      <x:c r="E103" t="inlineStr">
        <x:is>
          <x:t xml:space="preserve">Chuyển đường dẫn local</x:t>
        </x:is>
      </x:c>
      <x:c r="F103" t="inlineStr">
        <x:is>
          <x:t xml:space="preserve">Đã cập nhật</x:t>
        </x:is>
      </x:c>
      <x:c r="G103" t="inlineStr">
        <x:is>
          <x:t xml:space="preserve">Có</x:t>
        </x:is>
      </x:c>
      <x:c r="H103" t="inlineStr">
        <x:is>
          <x:t xml:space="preserve">Codex</x:t>
        </x:is>
      </x:c>
      <x:c r="I103" s="30" t="n">
        <x:v>46288</x:v>
      </x:c>
      <x:c r="J103" t="inlineStr">
        <x:is>
          <x:t xml:space="preserve">Di chuyển nguyên thư mục; symlink cũ; kiểm tồn tại đường dẫn mới. Nội dung nghiệp vụ không đổi.</x:t>
        </x:is>
      </x:c>
      <x:c r="K103" t="inlineStr">
        <x:is>
          <x:t xml:space="preserve">BRD/SRS/API không đổi nghiệp vụ; lịch sử giữ nguyên</x:t>
        </x:is>
      </x:c>
      <x:c r="L103" t="str">
        <x:f>IF(AND(F103="Đã cập nhật",G103="Có",H103&lt;&gt;"",ISNUMBER(I103),J103&lt;&gt;""),"Hoàn tất","Chưa hoàn tất")</x:f>
        <x:v>Hoàn tất</x:v>
      </x:c>
    </x:row>
    <x:row r="104">
      <x:c r="A104" t="inlineStr">
        <x:is>
          <x:t xml:space="preserve">MOVE-20260923</x:t>
        </x:is>
      </x:c>
      <x:c r="B104" t="inlineStr">
        <x:is>
          <x:t xml:space="preserve">UI-03; UI-04</x:t>
        </x:is>
      </x:c>
      <x:c r="C104" t="inlineStr">
        <x:is>
          <x:t xml:space="preserve">F17/F20</x:t>
        </x:is>
      </x:c>
      <x:c r="D104" t="inlineStr">
        <x:is>
          <x:t xml:space="preserve">DOC-015</x:t>
        </x:is>
      </x:c>
      <x:c r="E104" t="inlineStr">
        <x:is>
          <x:t xml:space="preserve">Chuyển đường dẫn local</x:t>
        </x:is>
      </x:c>
      <x:c r="F104" t="inlineStr">
        <x:is>
          <x:t xml:space="preserve">Đã cập nhật</x:t>
        </x:is>
      </x:c>
      <x:c r="G104" t="inlineStr">
        <x:is>
          <x:t xml:space="preserve">Có</x:t>
        </x:is>
      </x:c>
      <x:c r="H104" t="inlineStr">
        <x:is>
          <x:t xml:space="preserve">Codex</x:t>
        </x:is>
      </x:c>
      <x:c r="I104" s="30" t="n">
        <x:v>46288</x:v>
      </x:c>
      <x:c r="J104" t="inlineStr">
        <x:is>
          <x:t xml:space="preserve">Di chuyển nguyên thư mục; symlink cũ; kiểm tồn tại đường dẫn mới. Nội dung nghiệp vụ không đổi.</x:t>
        </x:is>
      </x:c>
      <x:c r="K104" t="inlineStr">
        <x:is>
          <x:t xml:space="preserve">BRD/SRS/API không đổi nghiệp vụ; lịch sử giữ nguyên</x:t>
        </x:is>
      </x:c>
      <x:c r="L104" t="str">
        <x:f>IF(AND(F104="Đã cập nhật",G104="Có",H104&lt;&gt;"",ISNUMBER(I104),J104&lt;&gt;""),"Hoàn tất","Chưa hoàn tất")</x:f>
        <x:v>Hoàn tất</x:v>
      </x:c>
    </x:row>
    <x:row r="105">
      <x:c r="A105" t="inlineStr">
        <x:is>
          <x:t xml:space="preserve">MOVE-20260923</x:t>
        </x:is>
      </x:c>
      <x:c r="B105" t="inlineStr">
        <x:is>
          <x:t xml:space="preserve">UI-03; UI-04</x:t>
        </x:is>
      </x:c>
      <x:c r="C105" t="inlineStr">
        <x:is>
          <x:t xml:space="preserve">F17/F20</x:t>
        </x:is>
      </x:c>
      <x:c r="D105" t="inlineStr">
        <x:is>
          <x:t xml:space="preserve">DOC-016</x:t>
        </x:is>
      </x:c>
      <x:c r="E105" t="inlineStr">
        <x:is>
          <x:t xml:space="preserve">Chuyển đường dẫn local</x:t>
        </x:is>
      </x:c>
      <x:c r="F105" t="inlineStr">
        <x:is>
          <x:t xml:space="preserve">Đã cập nhật</x:t>
        </x:is>
      </x:c>
      <x:c r="G105" t="inlineStr">
        <x:is>
          <x:t xml:space="preserve">Có</x:t>
        </x:is>
      </x:c>
      <x:c r="H105" t="inlineStr">
        <x:is>
          <x:t xml:space="preserve">Codex</x:t>
        </x:is>
      </x:c>
      <x:c r="I105" s="30" t="n">
        <x:v>46288</x:v>
      </x:c>
      <x:c r="J105" t="inlineStr">
        <x:is>
          <x:t xml:space="preserve">Di chuyển nguyên thư mục; symlink cũ; kiểm tồn tại đường dẫn mới. Nội dung nghiệp vụ không đổi.</x:t>
        </x:is>
      </x:c>
      <x:c r="K105" t="inlineStr">
        <x:is>
          <x:t xml:space="preserve">BRD/SRS/API không đổi nghiệp vụ; lịch sử giữ nguyên</x:t>
        </x:is>
      </x:c>
      <x:c r="L105" t="str">
        <x:f>IF(AND(F105="Đã cập nhật",G105="Có",H105&lt;&gt;"",ISNUMBER(I105),J105&lt;&gt;""),"Hoàn tất","Chưa hoàn tất")</x:f>
        <x:v>Hoàn tất</x:v>
      </x:c>
    </x:row>
    <x:row r="106">
      <x:c r="A106" t="inlineStr">
        <x:is>
          <x:t xml:space="preserve">MOVE-20260923</x:t>
        </x:is>
      </x:c>
      <x:c r="B106" t="inlineStr">
        <x:is>
          <x:t xml:space="preserve">UI-03; UI-04</x:t>
        </x:is>
      </x:c>
      <x:c r="C106" t="inlineStr">
        <x:is>
          <x:t xml:space="preserve">F17/F20</x:t>
        </x:is>
      </x:c>
      <x:c r="D106" t="inlineStr">
        <x:is>
          <x:t xml:space="preserve">DOC-017</x:t>
        </x:is>
      </x:c>
      <x:c r="E106" t="inlineStr">
        <x:is>
          <x:t xml:space="preserve">Chuyển đường dẫn local</x:t>
        </x:is>
      </x:c>
      <x:c r="F106" t="inlineStr">
        <x:is>
          <x:t xml:space="preserve">Đã cập nhật</x:t>
        </x:is>
      </x:c>
      <x:c r="G106" t="inlineStr">
        <x:is>
          <x:t xml:space="preserve">Có</x:t>
        </x:is>
      </x:c>
      <x:c r="H106" t="inlineStr">
        <x:is>
          <x:t xml:space="preserve">Codex</x:t>
        </x:is>
      </x:c>
      <x:c r="I106" s="30" t="n">
        <x:v>46288</x:v>
      </x:c>
      <x:c r="J106" t="inlineStr">
        <x:is>
          <x:t xml:space="preserve">Di chuyển nguyên thư mục; symlink cũ; kiểm tồn tại đường dẫn mới. Nội dung nghiệp vụ không đổi.</x:t>
        </x:is>
      </x:c>
      <x:c r="K106" t="inlineStr">
        <x:is>
          <x:t xml:space="preserve">BRD/SRS/API không đổi nghiệp vụ; lịch sử giữ nguyên</x:t>
        </x:is>
      </x:c>
      <x:c r="L106" t="str">
        <x:f>IF(AND(F106="Đã cập nhật",G106="Có",H106&lt;&gt;"",ISNUMBER(I106),J106&lt;&gt;""),"Hoàn tất","Chưa hoàn tất")</x:f>
        <x:v>Hoàn tất</x:v>
      </x:c>
    </x:row>
    <x:row r="107">
      <x:c r="A107" t="inlineStr">
        <x:is>
          <x:t xml:space="preserve">MOVE-20260923</x:t>
        </x:is>
      </x:c>
      <x:c r="B107" t="inlineStr">
        <x:is>
          <x:t xml:space="preserve">UI-03; UI-04</x:t>
        </x:is>
      </x:c>
      <x:c r="C107" t="inlineStr">
        <x:is>
          <x:t xml:space="preserve">F17/F20</x:t>
        </x:is>
      </x:c>
      <x:c r="D107" t="inlineStr">
        <x:is>
          <x:t xml:space="preserve">DOC-018</x:t>
        </x:is>
      </x:c>
      <x:c r="E107" t="inlineStr">
        <x:is>
          <x:t xml:space="preserve">Chuyển đường dẫn local</x:t>
        </x:is>
      </x:c>
      <x:c r="F107" t="inlineStr">
        <x:is>
          <x:t xml:space="preserve">Đã cập nhật</x:t>
        </x:is>
      </x:c>
      <x:c r="G107" t="inlineStr">
        <x:is>
          <x:t xml:space="preserve">Có</x:t>
        </x:is>
      </x:c>
      <x:c r="H107" t="inlineStr">
        <x:is>
          <x:t xml:space="preserve">Codex</x:t>
        </x:is>
      </x:c>
      <x:c r="I107" s="30" t="n">
        <x:v>46288</x:v>
      </x:c>
      <x:c r="J107" t="inlineStr">
        <x:is>
          <x:t xml:space="preserve">Di chuyển nguyên thư mục; symlink cũ; kiểm tồn tại đường dẫn mới. Nội dung nghiệp vụ không đổi.</x:t>
        </x:is>
      </x:c>
      <x:c r="K107" t="inlineStr">
        <x:is>
          <x:t xml:space="preserve">BRD/SRS/API không đổi nghiệp vụ; lịch sử giữ nguyên</x:t>
        </x:is>
      </x:c>
      <x:c r="L107" t="str">
        <x:f>IF(AND(F107="Đã cập nhật",G107="Có",H107&lt;&gt;"",ISNUMBER(I107),J107&lt;&gt;""),"Hoàn tất","Chưa hoàn tất")</x:f>
        <x:v>Hoàn tất</x:v>
      </x:c>
    </x:row>
    <x:row r="108">
      <x:c r="A108" t="inlineStr">
        <x:is>
          <x:t xml:space="preserve">MOVE-20260923</x:t>
        </x:is>
      </x:c>
      <x:c r="B108" t="inlineStr">
        <x:is>
          <x:t xml:space="preserve">UI-03; UI-04</x:t>
        </x:is>
      </x:c>
      <x:c r="C108" t="inlineStr">
        <x:is>
          <x:t xml:space="preserve">F17/F20</x:t>
        </x:is>
      </x:c>
      <x:c r="D108" t="inlineStr">
        <x:is>
          <x:t xml:space="preserve">DOC-019</x:t>
        </x:is>
      </x:c>
      <x:c r="E108" t="inlineStr">
        <x:is>
          <x:t xml:space="preserve">Chuyển đường dẫn local</x:t>
        </x:is>
      </x:c>
      <x:c r="F108" t="inlineStr">
        <x:is>
          <x:t xml:space="preserve">Đã cập nhật</x:t>
        </x:is>
      </x:c>
      <x:c r="G108" t="inlineStr">
        <x:is>
          <x:t xml:space="preserve">Có</x:t>
        </x:is>
      </x:c>
      <x:c r="H108" t="inlineStr">
        <x:is>
          <x:t xml:space="preserve">Codex</x:t>
        </x:is>
      </x:c>
      <x:c r="I108" s="30" t="n">
        <x:v>46288</x:v>
      </x:c>
      <x:c r="J108" t="inlineStr">
        <x:is>
          <x:t xml:space="preserve">Di chuyển nguyên thư mục; symlink cũ; kiểm tồn tại đường dẫn mới. Nội dung nghiệp vụ không đổi.</x:t>
        </x:is>
      </x:c>
      <x:c r="K108" t="inlineStr">
        <x:is>
          <x:t xml:space="preserve">BRD/SRS/API không đổi nghiệp vụ; lịch sử giữ nguyên</x:t>
        </x:is>
      </x:c>
      <x:c r="L108" t="str">
        <x:f>IF(AND(F108="Đã cập nhật",G108="Có",H108&lt;&gt;"",ISNUMBER(I108),J108&lt;&gt;""),"Hoàn tất","Chưa hoàn tất")</x:f>
        <x:v>Hoàn tất</x:v>
      </x:c>
    </x:row>
    <x:row r="109">
      <x:c r="A109" t="inlineStr">
        <x:is>
          <x:t xml:space="preserve">MOVE-20260923</x:t>
        </x:is>
      </x:c>
      <x:c r="B109" t="inlineStr">
        <x:is>
          <x:t xml:space="preserve">UI-03; UI-04</x:t>
        </x:is>
      </x:c>
      <x:c r="C109" t="inlineStr">
        <x:is>
          <x:t xml:space="preserve">F17/F20</x:t>
        </x:is>
      </x:c>
      <x:c r="D109" t="inlineStr">
        <x:is>
          <x:t xml:space="preserve">DOC-020</x:t>
        </x:is>
      </x:c>
      <x:c r="E109" t="inlineStr">
        <x:is>
          <x:t xml:space="preserve">Chuyển đường dẫn local</x:t>
        </x:is>
      </x:c>
      <x:c r="F109" t="inlineStr">
        <x:is>
          <x:t xml:space="preserve">Đã cập nhật</x:t>
        </x:is>
      </x:c>
      <x:c r="G109" t="inlineStr">
        <x:is>
          <x:t xml:space="preserve">Có</x:t>
        </x:is>
      </x:c>
      <x:c r="H109" t="inlineStr">
        <x:is>
          <x:t xml:space="preserve">Codex</x:t>
        </x:is>
      </x:c>
      <x:c r="I109" s="30" t="n">
        <x:v>46288</x:v>
      </x:c>
      <x:c r="J109" t="inlineStr">
        <x:is>
          <x:t xml:space="preserve">Di chuyển nguyên thư mục; symlink cũ; kiểm tồn tại đường dẫn mới. Nội dung nghiệp vụ không đổi.</x:t>
        </x:is>
      </x:c>
      <x:c r="K109" t="inlineStr">
        <x:is>
          <x:t xml:space="preserve">BRD/SRS/API không đổi nghiệp vụ; lịch sử giữ nguyên</x:t>
        </x:is>
      </x:c>
      <x:c r="L109" t="str">
        <x:f>IF(AND(F109="Đã cập nhật",G109="Có",H109&lt;&gt;"",ISNUMBER(I109),J109&lt;&gt;""),"Hoàn tất","Chưa hoàn tất")</x:f>
        <x:v>Hoàn tất</x:v>
      </x:c>
    </x:row>
    <x:row r="110">
      <x:c r="A110" t="inlineStr">
        <x:is>
          <x:t xml:space="preserve">MOVE-20260923</x:t>
        </x:is>
      </x:c>
      <x:c r="B110" t="inlineStr">
        <x:is>
          <x:t xml:space="preserve">UI-03; UI-04</x:t>
        </x:is>
      </x:c>
      <x:c r="C110" t="inlineStr">
        <x:is>
          <x:t xml:space="preserve">F17/F20</x:t>
        </x:is>
      </x:c>
      <x:c r="D110" t="inlineStr">
        <x:is>
          <x:t xml:space="preserve">DOC-021</x:t>
        </x:is>
      </x:c>
      <x:c r="E110" t="inlineStr">
        <x:is>
          <x:t xml:space="preserve">Chuyển đường dẫn local</x:t>
        </x:is>
      </x:c>
      <x:c r="F110" t="inlineStr">
        <x:is>
          <x:t xml:space="preserve">Đã cập nhật</x:t>
        </x:is>
      </x:c>
      <x:c r="G110" t="inlineStr">
        <x:is>
          <x:t xml:space="preserve">Có</x:t>
        </x:is>
      </x:c>
      <x:c r="H110" t="inlineStr">
        <x:is>
          <x:t xml:space="preserve">Codex</x:t>
        </x:is>
      </x:c>
      <x:c r="I110" s="30" t="n">
        <x:v>46288</x:v>
      </x:c>
      <x:c r="J110" t="inlineStr">
        <x:is>
          <x:t xml:space="preserve">Di chuyển nguyên thư mục; symlink cũ; kiểm tồn tại đường dẫn mới. Nội dung nghiệp vụ không đổi.</x:t>
        </x:is>
      </x:c>
      <x:c r="K110" t="inlineStr">
        <x:is>
          <x:t xml:space="preserve">BRD/SRS/API không đổi nghiệp vụ; lịch sử giữ nguyên</x:t>
        </x:is>
      </x:c>
      <x:c r="L110" t="str">
        <x:f>IF(AND(F110="Đã cập nhật",G110="Có",H110&lt;&gt;"",ISNUMBER(I110),J110&lt;&gt;""),"Hoàn tất","Chưa hoàn tất")</x:f>
        <x:v>Hoàn tất</x:v>
      </x:c>
    </x:row>
    <x:row r="111">
      <x:c r="A111" t="inlineStr">
        <x:is>
          <x:t xml:space="preserve">MOVE-20260923</x:t>
        </x:is>
      </x:c>
      <x:c r="B111" t="inlineStr">
        <x:is>
          <x:t xml:space="preserve">UI-03; UI-04</x:t>
        </x:is>
      </x:c>
      <x:c r="C111" t="inlineStr">
        <x:is>
          <x:t xml:space="preserve">F17/F20</x:t>
        </x:is>
      </x:c>
      <x:c r="D111" t="inlineStr">
        <x:is>
          <x:t xml:space="preserve">DOC-022</x:t>
        </x:is>
      </x:c>
      <x:c r="E111" t="inlineStr">
        <x:is>
          <x:t xml:space="preserve">Chuyển đường dẫn local</x:t>
        </x:is>
      </x:c>
      <x:c r="F111" t="inlineStr">
        <x:is>
          <x:t xml:space="preserve">Đã cập nhật</x:t>
        </x:is>
      </x:c>
      <x:c r="G111" t="inlineStr">
        <x:is>
          <x:t xml:space="preserve">Có</x:t>
        </x:is>
      </x:c>
      <x:c r="H111" t="inlineStr">
        <x:is>
          <x:t xml:space="preserve">Codex</x:t>
        </x:is>
      </x:c>
      <x:c r="I111" s="30" t="n">
        <x:v>46288</x:v>
      </x:c>
      <x:c r="J111" t="inlineStr">
        <x:is>
          <x:t xml:space="preserve">Di chuyển nguyên thư mục; symlink cũ; kiểm tồn tại đường dẫn mới. Nội dung nghiệp vụ không đổi.</x:t>
        </x:is>
      </x:c>
      <x:c r="K111" t="inlineStr">
        <x:is>
          <x:t xml:space="preserve">BRD/SRS/API không đổi nghiệp vụ; lịch sử giữ nguyên</x:t>
        </x:is>
      </x:c>
      <x:c r="L111" t="str">
        <x:f>IF(AND(F111="Đã cập nhật",G111="Có",H111&lt;&gt;"",ISNUMBER(I111),J111&lt;&gt;""),"Hoàn tất","Chưa hoàn tất")</x:f>
        <x:v>Hoàn tất</x:v>
      </x:c>
    </x:row>
    <x:row r="112">
      <x:c r="A112" t="inlineStr">
        <x:is>
          <x:t xml:space="preserve">MOVE-20260923</x:t>
        </x:is>
      </x:c>
      <x:c r="B112" t="inlineStr">
        <x:is>
          <x:t xml:space="preserve">UI-03; UI-04</x:t>
        </x:is>
      </x:c>
      <x:c r="C112" t="inlineStr">
        <x:is>
          <x:t xml:space="preserve">F17/F20</x:t>
        </x:is>
      </x:c>
      <x:c r="D112" t="inlineStr">
        <x:is>
          <x:t xml:space="preserve">DOC-023</x:t>
        </x:is>
      </x:c>
      <x:c r="E112" t="inlineStr">
        <x:is>
          <x:t xml:space="preserve">Chuyển đường dẫn local</x:t>
        </x:is>
      </x:c>
      <x:c r="F112" t="inlineStr">
        <x:is>
          <x:t xml:space="preserve">Đã cập nhật</x:t>
        </x:is>
      </x:c>
      <x:c r="G112" t="inlineStr">
        <x:is>
          <x:t xml:space="preserve">Có</x:t>
        </x:is>
      </x:c>
      <x:c r="H112" t="inlineStr">
        <x:is>
          <x:t xml:space="preserve">Codex</x:t>
        </x:is>
      </x:c>
      <x:c r="I112" s="30" t="n">
        <x:v>46288</x:v>
      </x:c>
      <x:c r="J112" t="inlineStr">
        <x:is>
          <x:t xml:space="preserve">Di chuyển nguyên thư mục; symlink cũ; kiểm tồn tại đường dẫn mới. Nội dung nghiệp vụ không đổi.</x:t>
        </x:is>
      </x:c>
      <x:c r="K112" t="inlineStr">
        <x:is>
          <x:t xml:space="preserve">BRD/SRS/API không đổi nghiệp vụ; lịch sử giữ nguyên</x:t>
        </x:is>
      </x:c>
      <x:c r="L112" t="str">
        <x:f>IF(AND(F112="Đã cập nhật",G112="Có",H112&lt;&gt;"",ISNUMBER(I112),J112&lt;&gt;""),"Hoàn tất","Chưa hoàn tất")</x:f>
        <x:v>Hoàn tất</x:v>
      </x:c>
    </x:row>
    <x:row r="113">
      <x:c r="A113" t="inlineStr">
        <x:is>
          <x:t xml:space="preserve">MOVE-20260923</x:t>
        </x:is>
      </x:c>
      <x:c r="B113" t="inlineStr">
        <x:is>
          <x:t xml:space="preserve">UI-03; UI-04</x:t>
        </x:is>
      </x:c>
      <x:c r="C113" t="inlineStr">
        <x:is>
          <x:t xml:space="preserve">F17/F20</x:t>
        </x:is>
      </x:c>
      <x:c r="D113" t="inlineStr">
        <x:is>
          <x:t xml:space="preserve">DOC-024</x:t>
        </x:is>
      </x:c>
      <x:c r="E113" t="inlineStr">
        <x:is>
          <x:t xml:space="preserve">Chuyển đường dẫn local</x:t>
        </x:is>
      </x:c>
      <x:c r="F113" t="inlineStr">
        <x:is>
          <x:t xml:space="preserve">Đã cập nhật</x:t>
        </x:is>
      </x:c>
      <x:c r="G113" t="inlineStr">
        <x:is>
          <x:t xml:space="preserve">Có</x:t>
        </x:is>
      </x:c>
      <x:c r="H113" t="inlineStr">
        <x:is>
          <x:t xml:space="preserve">Codex</x:t>
        </x:is>
      </x:c>
      <x:c r="I113" s="30" t="n">
        <x:v>46288</x:v>
      </x:c>
      <x:c r="J113" t="inlineStr">
        <x:is>
          <x:t xml:space="preserve">Di chuyển nguyên thư mục; symlink cũ; kiểm tồn tại đường dẫn mới. Nội dung nghiệp vụ không đổi.</x:t>
        </x:is>
      </x:c>
      <x:c r="K113" t="inlineStr">
        <x:is>
          <x:t xml:space="preserve">BRD/SRS/API không đổi nghiệp vụ; lịch sử giữ nguyên</x:t>
        </x:is>
      </x:c>
      <x:c r="L113" t="str">
        <x:f>IF(AND(F113="Đã cập nhật",G113="Có",H113&lt;&gt;"",ISNUMBER(I113),J113&lt;&gt;""),"Hoàn tất","Chưa hoàn tất")</x:f>
        <x:v>Hoàn tất</x:v>
      </x:c>
    </x:row>
    <x:row r="114">
      <x:c r="A114" t="inlineStr">
        <x:is>
          <x:t xml:space="preserve">MOVE-20260923</x:t>
        </x:is>
      </x:c>
      <x:c r="B114" t="inlineStr">
        <x:is>
          <x:t xml:space="preserve">UI-03; UI-04</x:t>
        </x:is>
      </x:c>
      <x:c r="C114" t="inlineStr">
        <x:is>
          <x:t xml:space="preserve">F17/F20</x:t>
        </x:is>
      </x:c>
      <x:c r="D114" t="inlineStr">
        <x:is>
          <x:t xml:space="preserve">DOC-025</x:t>
        </x:is>
      </x:c>
      <x:c r="E114" t="inlineStr">
        <x:is>
          <x:t xml:space="preserve">Chuyển đường dẫn local</x:t>
        </x:is>
      </x:c>
      <x:c r="F114" t="inlineStr">
        <x:is>
          <x:t xml:space="preserve">Đã cập nhật</x:t>
        </x:is>
      </x:c>
      <x:c r="G114" t="inlineStr">
        <x:is>
          <x:t xml:space="preserve">Có</x:t>
        </x:is>
      </x:c>
      <x:c r="H114" t="inlineStr">
        <x:is>
          <x:t xml:space="preserve">Codex</x:t>
        </x:is>
      </x:c>
      <x:c r="I114" s="30" t="n">
        <x:v>46288</x:v>
      </x:c>
      <x:c r="J114" t="inlineStr">
        <x:is>
          <x:t xml:space="preserve">Di chuyển nguyên thư mục; symlink cũ; kiểm tồn tại đường dẫn mới. Nội dung nghiệp vụ không đổi.</x:t>
        </x:is>
      </x:c>
      <x:c r="K114" t="inlineStr">
        <x:is>
          <x:t xml:space="preserve">BRD/SRS/API không đổi nghiệp vụ; lịch sử giữ nguyên</x:t>
        </x:is>
      </x:c>
      <x:c r="L114" t="str">
        <x:f>IF(AND(F114="Đã cập nhật",G114="Có",H114&lt;&gt;"",ISNUMBER(I114),J114&lt;&gt;""),"Hoàn tất","Chưa hoàn tất")</x:f>
        <x:v>Hoàn tất</x:v>
      </x:c>
    </x:row>
    <x:row r="115">
      <x:c r="A115" t="inlineStr">
        <x:is>
          <x:t xml:space="preserve">MOVE-20260923</x:t>
        </x:is>
      </x:c>
      <x:c r="B115" t="inlineStr">
        <x:is>
          <x:t xml:space="preserve">UI-03; UI-04</x:t>
        </x:is>
      </x:c>
      <x:c r="C115" t="inlineStr">
        <x:is>
          <x:t xml:space="preserve">F17/F20</x:t>
        </x:is>
      </x:c>
      <x:c r="D115" t="inlineStr">
        <x:is>
          <x:t xml:space="preserve">DOC-026</x:t>
        </x:is>
      </x:c>
      <x:c r="E115" t="inlineStr">
        <x:is>
          <x:t xml:space="preserve">Chuyển đường dẫn local</x:t>
        </x:is>
      </x:c>
      <x:c r="F115" t="inlineStr">
        <x:is>
          <x:t xml:space="preserve">Đã cập nhật</x:t>
        </x:is>
      </x:c>
      <x:c r="G115" t="inlineStr">
        <x:is>
          <x:t xml:space="preserve">Có</x:t>
        </x:is>
      </x:c>
      <x:c r="H115" t="inlineStr">
        <x:is>
          <x:t xml:space="preserve">Codex</x:t>
        </x:is>
      </x:c>
      <x:c r="I115" s="30" t="n">
        <x:v>46288</x:v>
      </x:c>
      <x:c r="J115" t="inlineStr">
        <x:is>
          <x:t xml:space="preserve">Di chuyển nguyên thư mục; symlink cũ; kiểm tồn tại đường dẫn mới. Nội dung nghiệp vụ không đổi.</x:t>
        </x:is>
      </x:c>
      <x:c r="K115" t="inlineStr">
        <x:is>
          <x:t xml:space="preserve">BRD/SRS/API không đổi nghiệp vụ; lịch sử giữ nguyên</x:t>
        </x:is>
      </x:c>
      <x:c r="L115" t="str">
        <x:f>IF(AND(F115="Đã cập nhật",G115="Có",H115&lt;&gt;"",ISNUMBER(I115),J115&lt;&gt;""),"Hoàn tất","Chưa hoàn tất")</x:f>
        <x:v>Hoàn tất</x:v>
      </x:c>
    </x:row>
    <x:row r="116">
      <x:c r="A116" t="inlineStr">
        <x:is>
          <x:t xml:space="preserve">MOVE-20260923</x:t>
        </x:is>
      </x:c>
      <x:c r="B116" t="inlineStr">
        <x:is>
          <x:t xml:space="preserve">UI-03; UI-04</x:t>
        </x:is>
      </x:c>
      <x:c r="C116" t="inlineStr">
        <x:is>
          <x:t xml:space="preserve">F17/F20</x:t>
        </x:is>
      </x:c>
      <x:c r="D116" t="inlineStr">
        <x:is>
          <x:t xml:space="preserve">DOC-027</x:t>
        </x:is>
      </x:c>
      <x:c r="E116" t="inlineStr">
        <x:is>
          <x:t xml:space="preserve">Chuyển đường dẫn local</x:t>
        </x:is>
      </x:c>
      <x:c r="F116" t="inlineStr">
        <x:is>
          <x:t xml:space="preserve">Đã cập nhật</x:t>
        </x:is>
      </x:c>
      <x:c r="G116" t="inlineStr">
        <x:is>
          <x:t xml:space="preserve">Có</x:t>
        </x:is>
      </x:c>
      <x:c r="H116" t="inlineStr">
        <x:is>
          <x:t xml:space="preserve">Codex</x:t>
        </x:is>
      </x:c>
      <x:c r="I116" s="30" t="n">
        <x:v>46288</x:v>
      </x:c>
      <x:c r="J116" t="inlineStr">
        <x:is>
          <x:t xml:space="preserve">Di chuyển nguyên thư mục; symlink cũ; kiểm tồn tại đường dẫn mới. Nội dung nghiệp vụ không đổi.</x:t>
        </x:is>
      </x:c>
      <x:c r="K116" t="inlineStr">
        <x:is>
          <x:t xml:space="preserve">BRD/SRS/API không đổi nghiệp vụ; lịch sử giữ nguyên</x:t>
        </x:is>
      </x:c>
      <x:c r="L116" t="str">
        <x:f>IF(AND(F116="Đã cập nhật",G116="Có",H116&lt;&gt;"",ISNUMBER(I116),J116&lt;&gt;""),"Hoàn tất","Chưa hoàn tất")</x:f>
        <x:v>Hoàn tất</x:v>
      </x:c>
    </x:row>
    <x:row r="117">
      <x:c r="A117" t="inlineStr">
        <x:is>
          <x:t xml:space="preserve">MOVE-20260923</x:t>
        </x:is>
      </x:c>
      <x:c r="B117" t="inlineStr">
        <x:is>
          <x:t xml:space="preserve">UI-03; UI-04</x:t>
        </x:is>
      </x:c>
      <x:c r="C117" t="inlineStr">
        <x:is>
          <x:t xml:space="preserve">F17/F20</x:t>
        </x:is>
      </x:c>
      <x:c r="D117" t="inlineStr">
        <x:is>
          <x:t xml:space="preserve">DOC-028</x:t>
        </x:is>
      </x:c>
      <x:c r="E117" t="inlineStr">
        <x:is>
          <x:t xml:space="preserve">Chuyển đường dẫn local</x:t>
        </x:is>
      </x:c>
      <x:c r="F117" t="inlineStr">
        <x:is>
          <x:t xml:space="preserve">Đã cập nhật</x:t>
        </x:is>
      </x:c>
      <x:c r="G117" t="inlineStr">
        <x:is>
          <x:t xml:space="preserve">Có</x:t>
        </x:is>
      </x:c>
      <x:c r="H117" t="inlineStr">
        <x:is>
          <x:t xml:space="preserve">Codex</x:t>
        </x:is>
      </x:c>
      <x:c r="I117" s="30" t="n">
        <x:v>46288</x:v>
      </x:c>
      <x:c r="J117" t="inlineStr">
        <x:is>
          <x:t xml:space="preserve">Di chuyển nguyên thư mục; symlink cũ; kiểm tồn tại đường dẫn mới. Nội dung nghiệp vụ không đổi.</x:t>
        </x:is>
      </x:c>
      <x:c r="K117" t="inlineStr">
        <x:is>
          <x:t xml:space="preserve">BRD/SRS/API không đổi nghiệp vụ; lịch sử giữ nguyên</x:t>
        </x:is>
      </x:c>
      <x:c r="L117" t="str">
        <x:f>IF(AND(F117="Đã cập nhật",G117="Có",H117&lt;&gt;"",ISNUMBER(I117),J117&lt;&gt;""),"Hoàn tất","Chưa hoàn tất")</x:f>
        <x:v>Hoàn tất</x:v>
      </x:c>
    </x:row>
    <x:row r="118">
      <x:c r="A118" t="inlineStr">
        <x:is>
          <x:t xml:space="preserve">MOVE-20260923</x:t>
        </x:is>
      </x:c>
      <x:c r="B118" t="inlineStr">
        <x:is>
          <x:t xml:space="preserve">UI-03; UI-04</x:t>
        </x:is>
      </x:c>
      <x:c r="C118" t="inlineStr">
        <x:is>
          <x:t xml:space="preserve">F17/F20</x:t>
        </x:is>
      </x:c>
      <x:c r="D118" t="inlineStr">
        <x:is>
          <x:t xml:space="preserve">DOC-029</x:t>
        </x:is>
      </x:c>
      <x:c r="E118" t="inlineStr">
        <x:is>
          <x:t xml:space="preserve">Chuyển đường dẫn local</x:t>
        </x:is>
      </x:c>
      <x:c r="F118" t="inlineStr">
        <x:is>
          <x:t xml:space="preserve">Đã cập nhật</x:t>
        </x:is>
      </x:c>
      <x:c r="G118" t="inlineStr">
        <x:is>
          <x:t xml:space="preserve">Có</x:t>
        </x:is>
      </x:c>
      <x:c r="H118" t="inlineStr">
        <x:is>
          <x:t xml:space="preserve">Codex</x:t>
        </x:is>
      </x:c>
      <x:c r="I118" s="30" t="n">
        <x:v>46288</x:v>
      </x:c>
      <x:c r="J118" t="inlineStr">
        <x:is>
          <x:t xml:space="preserve">Di chuyển nguyên thư mục; symlink cũ; kiểm tồn tại đường dẫn mới. Nội dung nghiệp vụ không đổi.</x:t>
        </x:is>
      </x:c>
      <x:c r="K118" t="inlineStr">
        <x:is>
          <x:t xml:space="preserve">BRD/SRS/API không đổi nghiệp vụ; lịch sử giữ nguyên</x:t>
        </x:is>
      </x:c>
      <x:c r="L118" t="str">
        <x:f>IF(AND(F118="Đã cập nhật",G118="Có",H118&lt;&gt;"",ISNUMBER(I118),J118&lt;&gt;""),"Hoàn tất","Chưa hoàn tất")</x:f>
        <x:v>Hoàn tất</x:v>
      </x:c>
    </x:row>
    <x:row r="119">
      <x:c r="A119" t="inlineStr">
        <x:is>
          <x:t xml:space="preserve">MOVE-20260923</x:t>
        </x:is>
      </x:c>
      <x:c r="B119" t="inlineStr">
        <x:is>
          <x:t xml:space="preserve">UI-03; UI-04</x:t>
        </x:is>
      </x:c>
      <x:c r="C119" t="inlineStr">
        <x:is>
          <x:t xml:space="preserve">F17/F20</x:t>
        </x:is>
      </x:c>
      <x:c r="D119" t="inlineStr">
        <x:is>
          <x:t xml:space="preserve">DOC-030</x:t>
        </x:is>
      </x:c>
      <x:c r="E119" t="inlineStr">
        <x:is>
          <x:t xml:space="preserve">Chuyển đường dẫn local</x:t>
        </x:is>
      </x:c>
      <x:c r="F119" t="inlineStr">
        <x:is>
          <x:t xml:space="preserve">Đã cập nhật</x:t>
        </x:is>
      </x:c>
      <x:c r="G119" t="inlineStr">
        <x:is>
          <x:t xml:space="preserve">Có</x:t>
        </x:is>
      </x:c>
      <x:c r="H119" t="inlineStr">
        <x:is>
          <x:t xml:space="preserve">Codex</x:t>
        </x:is>
      </x:c>
      <x:c r="I119" s="30" t="n">
        <x:v>46288</x:v>
      </x:c>
      <x:c r="J119" t="inlineStr">
        <x:is>
          <x:t xml:space="preserve">Di chuyển nguyên thư mục; symlink cũ; kiểm tồn tại đường dẫn mới. Nội dung nghiệp vụ không đổi.</x:t>
        </x:is>
      </x:c>
      <x:c r="K119" t="inlineStr">
        <x:is>
          <x:t xml:space="preserve">BRD/SRS/API không đổi nghiệp vụ; lịch sử giữ nguyên</x:t>
        </x:is>
      </x:c>
      <x:c r="L119" t="str">
        <x:f>IF(AND(F119="Đã cập nhật",G119="Có",H119&lt;&gt;"",ISNUMBER(I119),J119&lt;&gt;""),"Hoàn tất","Chưa hoàn tất")</x:f>
        <x:v>Hoàn tất</x:v>
      </x:c>
    </x:row>
    <x:row r="120">
      <x:c r="A120" t="inlineStr">
        <x:is>
          <x:t xml:space="preserve">MOVE-20260923</x:t>
        </x:is>
      </x:c>
      <x:c r="B120" t="inlineStr">
        <x:is>
          <x:t xml:space="preserve">UI-03; UI-04</x:t>
        </x:is>
      </x:c>
      <x:c r="C120" t="inlineStr">
        <x:is>
          <x:t xml:space="preserve">F17/F20</x:t>
        </x:is>
      </x:c>
      <x:c r="D120" t="inlineStr">
        <x:is>
          <x:t xml:space="preserve">DOC-031</x:t>
        </x:is>
      </x:c>
      <x:c r="E120" t="inlineStr">
        <x:is>
          <x:t xml:space="preserve">Chuyển đường dẫn local</x:t>
        </x:is>
      </x:c>
      <x:c r="F120" t="inlineStr">
        <x:is>
          <x:t xml:space="preserve">Đã cập nhật</x:t>
        </x:is>
      </x:c>
      <x:c r="G120" t="inlineStr">
        <x:is>
          <x:t xml:space="preserve">Có</x:t>
        </x:is>
      </x:c>
      <x:c r="H120" t="inlineStr">
        <x:is>
          <x:t xml:space="preserve">Codex</x:t>
        </x:is>
      </x:c>
      <x:c r="I120" s="30" t="n">
        <x:v>46288</x:v>
      </x:c>
      <x:c r="J120" t="inlineStr">
        <x:is>
          <x:t xml:space="preserve">Di chuyển nguyên thư mục; symlink cũ; kiểm tồn tại đường dẫn mới. Nội dung nghiệp vụ không đổi.</x:t>
        </x:is>
      </x:c>
      <x:c r="K120" t="inlineStr">
        <x:is>
          <x:t xml:space="preserve">BRD/SRS/API không đổi nghiệp vụ; lịch sử giữ nguyên</x:t>
        </x:is>
      </x:c>
      <x:c r="L120" t="str">
        <x:f>IF(AND(F120="Đã cập nhật",G120="Có",H120&lt;&gt;"",ISNUMBER(I120),J120&lt;&gt;""),"Hoàn tất","Chưa hoàn tất")</x:f>
        <x:v>Hoàn tất</x:v>
      </x:c>
    </x:row>
    <x:row r="121">
      <x:c r="A121" t="inlineStr">
        <x:is>
          <x:t xml:space="preserve">MOVE-20260923</x:t>
        </x:is>
      </x:c>
      <x:c r="B121" t="inlineStr">
        <x:is>
          <x:t xml:space="preserve">UI-03; UI-04</x:t>
        </x:is>
      </x:c>
      <x:c r="C121" t="inlineStr">
        <x:is>
          <x:t xml:space="preserve">F17/F20</x:t>
        </x:is>
      </x:c>
      <x:c r="D121" t="inlineStr">
        <x:is>
          <x:t xml:space="preserve">DOC-032</x:t>
        </x:is>
      </x:c>
      <x:c r="E121" t="inlineStr">
        <x:is>
          <x:t xml:space="preserve">Chuyển đường dẫn local</x:t>
        </x:is>
      </x:c>
      <x:c r="F121" t="inlineStr">
        <x:is>
          <x:t xml:space="preserve">Đã cập nhật</x:t>
        </x:is>
      </x:c>
      <x:c r="G121" t="inlineStr">
        <x:is>
          <x:t xml:space="preserve">Có</x:t>
        </x:is>
      </x:c>
      <x:c r="H121" t="inlineStr">
        <x:is>
          <x:t xml:space="preserve">Codex</x:t>
        </x:is>
      </x:c>
      <x:c r="I121" s="30" t="n">
        <x:v>46288</x:v>
      </x:c>
      <x:c r="J121" t="inlineStr">
        <x:is>
          <x:t xml:space="preserve">Di chuyển nguyên thư mục; symlink cũ; kiểm tồn tại đường dẫn mới. Nội dung nghiệp vụ không đổi.</x:t>
        </x:is>
      </x:c>
      <x:c r="K121" t="inlineStr">
        <x:is>
          <x:t xml:space="preserve">BRD/SRS/API không đổi nghiệp vụ; lịch sử giữ nguyên</x:t>
        </x:is>
      </x:c>
      <x:c r="L121" t="str">
        <x:f>IF(AND(F121="Đã cập nhật",G121="Có",H121&lt;&gt;"",ISNUMBER(I121),J121&lt;&gt;""),"Hoàn tất","Chưa hoàn tất")</x:f>
        <x:v>Hoàn tất</x:v>
      </x:c>
    </x:row>
    <x:row r="122">
      <x:c r="A122" t="inlineStr">
        <x:is>
          <x:t xml:space="preserve">MOVE-20260923</x:t>
        </x:is>
      </x:c>
      <x:c r="B122" t="inlineStr">
        <x:is>
          <x:t xml:space="preserve">UI-03; UI-04</x:t>
        </x:is>
      </x:c>
      <x:c r="C122" t="inlineStr">
        <x:is>
          <x:t xml:space="preserve">F17/F20</x:t>
        </x:is>
      </x:c>
      <x:c r="D122" t="inlineStr">
        <x:is>
          <x:t xml:space="preserve">DOC-033</x:t>
        </x:is>
      </x:c>
      <x:c r="E122" t="inlineStr">
        <x:is>
          <x:t xml:space="preserve">Chuyển đường dẫn local</x:t>
        </x:is>
      </x:c>
      <x:c r="F122" t="inlineStr">
        <x:is>
          <x:t xml:space="preserve">Đã cập nhật</x:t>
        </x:is>
      </x:c>
      <x:c r="G122" t="inlineStr">
        <x:is>
          <x:t xml:space="preserve">Có</x:t>
        </x:is>
      </x:c>
      <x:c r="H122" t="inlineStr">
        <x:is>
          <x:t xml:space="preserve">Codex</x:t>
        </x:is>
      </x:c>
      <x:c r="I122" s="30" t="n">
        <x:v>46288</x:v>
      </x:c>
      <x:c r="J122" t="inlineStr">
        <x:is>
          <x:t xml:space="preserve">Di chuyển nguyên thư mục; symlink cũ; kiểm tồn tại đường dẫn mới. Nội dung nghiệp vụ không đổi.</x:t>
        </x:is>
      </x:c>
      <x:c r="K122" t="inlineStr">
        <x:is>
          <x:t xml:space="preserve">BRD/SRS/API không đổi nghiệp vụ; lịch sử giữ nguyên</x:t>
        </x:is>
      </x:c>
      <x:c r="L122" t="str">
        <x:f>IF(AND(F122="Đã cập nhật",G122="Có",H122&lt;&gt;"",ISNUMBER(I122),J122&lt;&gt;""),"Hoàn tất","Chưa hoàn tất")</x:f>
        <x:v>Hoàn tất</x:v>
      </x:c>
    </x:row>
    <x:row r="123">
      <x:c r="A123" t="inlineStr">
        <x:is>
          <x:t xml:space="preserve">MOVE-20260923</x:t>
        </x:is>
      </x:c>
      <x:c r="B123" t="inlineStr">
        <x:is>
          <x:t xml:space="preserve">UI-03; UI-04</x:t>
        </x:is>
      </x:c>
      <x:c r="C123" t="inlineStr">
        <x:is>
          <x:t xml:space="preserve">F17/F20</x:t>
        </x:is>
      </x:c>
      <x:c r="D123" t="inlineStr">
        <x:is>
          <x:t xml:space="preserve">DOC-034</x:t>
        </x:is>
      </x:c>
      <x:c r="E123" t="inlineStr">
        <x:is>
          <x:t xml:space="preserve">Chuyển đường dẫn local</x:t>
        </x:is>
      </x:c>
      <x:c r="F123" t="inlineStr">
        <x:is>
          <x:t xml:space="preserve">Đã cập nhật</x:t>
        </x:is>
      </x:c>
      <x:c r="G123" t="inlineStr">
        <x:is>
          <x:t xml:space="preserve">Có</x:t>
        </x:is>
      </x:c>
      <x:c r="H123" t="inlineStr">
        <x:is>
          <x:t xml:space="preserve">Codex</x:t>
        </x:is>
      </x:c>
      <x:c r="I123" s="30" t="n">
        <x:v>46288</x:v>
      </x:c>
      <x:c r="J123" t="inlineStr">
        <x:is>
          <x:t xml:space="preserve">Di chuyển nguyên thư mục; symlink cũ; kiểm tồn tại đường dẫn mới. Nội dung nghiệp vụ không đổi.</x:t>
        </x:is>
      </x:c>
      <x:c r="K123" t="inlineStr">
        <x:is>
          <x:t xml:space="preserve">BRD/SRS/API không đổi nghiệp vụ; lịch sử giữ nguyên</x:t>
        </x:is>
      </x:c>
      <x:c r="L123" t="str">
        <x:f>IF(AND(F123="Đã cập nhật",G123="Có",H123&lt;&gt;"",ISNUMBER(I123),J123&lt;&gt;""),"Hoàn tất","Chưa hoàn tất")</x:f>
        <x:v>Hoàn tất</x:v>
      </x:c>
    </x:row>
    <x:row r="124">
      <x:c r="A124" t="inlineStr">
        <x:is>
          <x:t xml:space="preserve">MOVE-20260923</x:t>
        </x:is>
      </x:c>
      <x:c r="B124" t="inlineStr">
        <x:is>
          <x:t xml:space="preserve">UI-03; UI-04</x:t>
        </x:is>
      </x:c>
      <x:c r="C124" t="inlineStr">
        <x:is>
          <x:t xml:space="preserve">F17/F20</x:t>
        </x:is>
      </x:c>
      <x:c r="D124" t="inlineStr">
        <x:is>
          <x:t xml:space="preserve">DOC-035</x:t>
        </x:is>
      </x:c>
      <x:c r="E124" t="inlineStr">
        <x:is>
          <x:t xml:space="preserve">Chuyển đường dẫn local</x:t>
        </x:is>
      </x:c>
      <x:c r="F124" t="inlineStr">
        <x:is>
          <x:t xml:space="preserve">Đã cập nhật</x:t>
        </x:is>
      </x:c>
      <x:c r="G124" t="inlineStr">
        <x:is>
          <x:t xml:space="preserve">Có</x:t>
        </x:is>
      </x:c>
      <x:c r="H124" t="inlineStr">
        <x:is>
          <x:t xml:space="preserve">Codex</x:t>
        </x:is>
      </x:c>
      <x:c r="I124" s="30" t="n">
        <x:v>46288</x:v>
      </x:c>
      <x:c r="J124" t="inlineStr">
        <x:is>
          <x:t xml:space="preserve">Di chuyển nguyên thư mục; symlink cũ; kiểm tồn tại đường dẫn mới. Nội dung nghiệp vụ không đổi.</x:t>
        </x:is>
      </x:c>
      <x:c r="K124" t="inlineStr">
        <x:is>
          <x:t xml:space="preserve">BRD/SRS/API không đổi nghiệp vụ; lịch sử giữ nguyên</x:t>
        </x:is>
      </x:c>
      <x:c r="L124" t="str">
        <x:f>IF(AND(F124="Đã cập nhật",G124="Có",H124&lt;&gt;"",ISNUMBER(I124),J124&lt;&gt;""),"Hoàn tất","Chưa hoàn tất")</x:f>
        <x:v>Hoàn tất</x:v>
      </x:c>
    </x:row>
    <x:row r="125">
      <x:c r="A125" t="inlineStr">
        <x:is>
          <x:t xml:space="preserve">MOVE-20260923</x:t>
        </x:is>
      </x:c>
      <x:c r="B125" t="inlineStr">
        <x:is>
          <x:t xml:space="preserve">UI-03; UI-04</x:t>
        </x:is>
      </x:c>
      <x:c r="C125" t="inlineStr">
        <x:is>
          <x:t xml:space="preserve">F17/F20</x:t>
        </x:is>
      </x:c>
      <x:c r="D125" t="inlineStr">
        <x:is>
          <x:t xml:space="preserve">DOC-036</x:t>
        </x:is>
      </x:c>
      <x:c r="E125" t="inlineStr">
        <x:is>
          <x:t xml:space="preserve">Chuyển đường dẫn local</x:t>
        </x:is>
      </x:c>
      <x:c r="F125" t="inlineStr">
        <x:is>
          <x:t xml:space="preserve">Đã cập nhật</x:t>
        </x:is>
      </x:c>
      <x:c r="G125" t="inlineStr">
        <x:is>
          <x:t xml:space="preserve">Có</x:t>
        </x:is>
      </x:c>
      <x:c r="H125" t="inlineStr">
        <x:is>
          <x:t xml:space="preserve">Codex</x:t>
        </x:is>
      </x:c>
      <x:c r="I125" s="30" t="n">
        <x:v>46288</x:v>
      </x:c>
      <x:c r="J125" t="inlineStr">
        <x:is>
          <x:t xml:space="preserve">Di chuyển nguyên thư mục; symlink cũ; kiểm tồn tại đường dẫn mới. Nội dung nghiệp vụ không đổi.</x:t>
        </x:is>
      </x:c>
      <x:c r="K125" t="inlineStr">
        <x:is>
          <x:t xml:space="preserve">BRD/SRS/API không đổi nghiệp vụ; lịch sử giữ nguyên</x:t>
        </x:is>
      </x:c>
      <x:c r="L125" t="str">
        <x:f>IF(AND(F125="Đã cập nhật",G125="Có",H125&lt;&gt;"",ISNUMBER(I125),J125&lt;&gt;""),"Hoàn tất","Chưa hoàn tất")</x:f>
        <x:v>Hoàn tất</x:v>
      </x:c>
    </x:row>
    <x:row r="126">
      <x:c r="A126" t="inlineStr">
        <x:is>
          <x:t xml:space="preserve">MOVE-20260923</x:t>
        </x:is>
      </x:c>
      <x:c r="B126" t="inlineStr">
        <x:is>
          <x:t xml:space="preserve">UI-03; UI-04</x:t>
        </x:is>
      </x:c>
      <x:c r="C126" t="inlineStr">
        <x:is>
          <x:t xml:space="preserve">F17/F20</x:t>
        </x:is>
      </x:c>
      <x:c r="D126" t="inlineStr">
        <x:is>
          <x:t xml:space="preserve">PLAN-001</x:t>
        </x:is>
      </x:c>
      <x:c r="E126" t="inlineStr">
        <x:is>
          <x:t xml:space="preserve">Chuyển đường dẫn local</x:t>
        </x:is>
      </x:c>
      <x:c r="F126" t="inlineStr">
        <x:is>
          <x:t xml:space="preserve">Đã cập nhật</x:t>
        </x:is>
      </x:c>
      <x:c r="G126" t="inlineStr">
        <x:is>
          <x:t xml:space="preserve">Có</x:t>
        </x:is>
      </x:c>
      <x:c r="H126" t="inlineStr">
        <x:is>
          <x:t xml:space="preserve">Codex</x:t>
        </x:is>
      </x:c>
      <x:c r="I126" s="30" t="n">
        <x:v>46288</x:v>
      </x:c>
      <x:c r="J126" t="inlineStr">
        <x:is>
          <x:t xml:space="preserve">Di chuyển nguyên thư mục; symlink cũ; kiểm tồn tại đường dẫn mới. Nội dung nghiệp vụ không đổi.</x:t>
        </x:is>
      </x:c>
      <x:c r="K126" t="inlineStr">
        <x:is>
          <x:t xml:space="preserve">BRD/SRS/API không đổi nghiệp vụ; lịch sử giữ nguyên</x:t>
        </x:is>
      </x:c>
      <x:c r="L126" t="str">
        <x:f>IF(AND(F126="Đã cập nhật",G126="Có",H126&lt;&gt;"",ISNUMBER(I126),J126&lt;&gt;""),"Hoàn tất","Chưa hoàn tất")</x:f>
        <x:v>Hoàn tất</x:v>
      </x:c>
    </x:row>
    <x:row r="127">
      <x:c r="A127" t="inlineStr">
        <x:is>
          <x:t xml:space="preserve">MOVE-20260923</x:t>
        </x:is>
      </x:c>
      <x:c r="B127" t="inlineStr">
        <x:is>
          <x:t xml:space="preserve">UI-03; UI-04</x:t>
        </x:is>
      </x:c>
      <x:c r="C127" t="inlineStr">
        <x:is>
          <x:t xml:space="preserve">F17/F20</x:t>
        </x:is>
      </x:c>
      <x:c r="D127" t="inlineStr">
        <x:is>
          <x:t xml:space="preserve">PLAN-002</x:t>
        </x:is>
      </x:c>
      <x:c r="E127" t="inlineStr">
        <x:is>
          <x:t xml:space="preserve">Chuyển đường dẫn local</x:t>
        </x:is>
      </x:c>
      <x:c r="F127" t="inlineStr">
        <x:is>
          <x:t xml:space="preserve">Đã cập nhật</x:t>
        </x:is>
      </x:c>
      <x:c r="G127" t="inlineStr">
        <x:is>
          <x:t xml:space="preserve">Có</x:t>
        </x:is>
      </x:c>
      <x:c r="H127" t="inlineStr">
        <x:is>
          <x:t xml:space="preserve">Codex</x:t>
        </x:is>
      </x:c>
      <x:c r="I127" s="30" t="n">
        <x:v>46288</x:v>
      </x:c>
      <x:c r="J127" t="inlineStr">
        <x:is>
          <x:t xml:space="preserve">Di chuyển nguyên thư mục; symlink cũ; kiểm tồn tại đường dẫn mới. Nội dung nghiệp vụ không đổi.</x:t>
        </x:is>
      </x:c>
      <x:c r="K127" t="inlineStr">
        <x:is>
          <x:t xml:space="preserve">BRD/SRS/API không đổi nghiệp vụ; lịch sử giữ nguyên</x:t>
        </x:is>
      </x:c>
      <x:c r="L127" t="str">
        <x:f>IF(AND(F127="Đã cập nhật",G127="Có",H127&lt;&gt;"",ISNUMBER(I127),J127&lt;&gt;""),"Hoàn tất","Chưa hoàn tất")</x:f>
        <x:v>Hoàn tất</x:v>
      </x:c>
    </x:row>
    <x:row r="128">
      <x:c r="A128" t="inlineStr">
        <x:is>
          <x:t xml:space="preserve">MOVE-20260923</x:t>
        </x:is>
      </x:c>
      <x:c r="B128" t="inlineStr">
        <x:is>
          <x:t xml:space="preserve">UI-03; UI-04</x:t>
        </x:is>
      </x:c>
      <x:c r="C128" t="inlineStr">
        <x:is>
          <x:t xml:space="preserve">F17/F20</x:t>
        </x:is>
      </x:c>
      <x:c r="D128" t="inlineStr">
        <x:is>
          <x:t xml:space="preserve">PLAN-003</x:t>
        </x:is>
      </x:c>
      <x:c r="E128" t="inlineStr">
        <x:is>
          <x:t xml:space="preserve">Chuyển đường dẫn local</x:t>
        </x:is>
      </x:c>
      <x:c r="F128" t="inlineStr">
        <x:is>
          <x:t xml:space="preserve">Đã cập nhật</x:t>
        </x:is>
      </x:c>
      <x:c r="G128" t="inlineStr">
        <x:is>
          <x:t xml:space="preserve">Có</x:t>
        </x:is>
      </x:c>
      <x:c r="H128" t="inlineStr">
        <x:is>
          <x:t xml:space="preserve">Codex</x:t>
        </x:is>
      </x:c>
      <x:c r="I128" s="30" t="n">
        <x:v>46288</x:v>
      </x:c>
      <x:c r="J128" t="inlineStr">
        <x:is>
          <x:t xml:space="preserve">Di chuyển nguyên thư mục; symlink cũ; kiểm tồn tại đường dẫn mới. Nội dung nghiệp vụ không đổi.</x:t>
        </x:is>
      </x:c>
      <x:c r="K128" t="inlineStr">
        <x:is>
          <x:t xml:space="preserve">BRD/SRS/API không đổi nghiệp vụ; lịch sử giữ nguyên</x:t>
        </x:is>
      </x:c>
      <x:c r="L128" t="str">
        <x:f>IF(AND(F128="Đã cập nhật",G128="Có",H128&lt;&gt;"",ISNUMBER(I128),J128&lt;&gt;""),"Hoàn tất","Chưa hoàn tất")</x:f>
        <x:v>Hoàn tất</x:v>
      </x:c>
    </x:row>
    <x:row r="129">
      <x:c r="A129" t="inlineStr">
        <x:is>
          <x:t xml:space="preserve">MOVE-20260923</x:t>
        </x:is>
      </x:c>
      <x:c r="B129" t="inlineStr">
        <x:is>
          <x:t xml:space="preserve">UI-03; UI-04</x:t>
        </x:is>
      </x:c>
      <x:c r="C129" t="inlineStr">
        <x:is>
          <x:t xml:space="preserve">F17/F20</x:t>
        </x:is>
      </x:c>
      <x:c r="D129" t="inlineStr">
        <x:is>
          <x:t xml:space="preserve">PLAN-008</x:t>
        </x:is>
      </x:c>
      <x:c r="E129" t="inlineStr">
        <x:is>
          <x:t xml:space="preserve">Chuyển đường dẫn local</x:t>
        </x:is>
      </x:c>
      <x:c r="F129" t="inlineStr">
        <x:is>
          <x:t xml:space="preserve">Đã cập nhật</x:t>
        </x:is>
      </x:c>
      <x:c r="G129" t="inlineStr">
        <x:is>
          <x:t xml:space="preserve">Có</x:t>
        </x:is>
      </x:c>
      <x:c r="H129" t="inlineStr">
        <x:is>
          <x:t xml:space="preserve">Codex</x:t>
        </x:is>
      </x:c>
      <x:c r="I129" s="30" t="n">
        <x:v>46288</x:v>
      </x:c>
      <x:c r="J129" t="inlineStr">
        <x:is>
          <x:t xml:space="preserve">Di chuyển nguyên thư mục; symlink cũ; kiểm tồn tại đường dẫn mới. Nội dung nghiệp vụ không đổi.</x:t>
        </x:is>
      </x:c>
      <x:c r="K129" t="inlineStr">
        <x:is>
          <x:t xml:space="preserve">BRD/SRS/API không đổi nghiệp vụ; lịch sử giữ nguyên</x:t>
        </x:is>
      </x:c>
      <x:c r="L129" t="str">
        <x:f>IF(AND(F129="Đã cập nhật",G129="Có",H129&lt;&gt;"",ISNUMBER(I129),J129&lt;&gt;""),"Hoàn tất","Chưa hoàn tất")</x:f>
        <x:v>Hoàn tất</x:v>
      </x:c>
    </x:row>
    <x:row r="130">
      <x:c r="A130" t="inlineStr">
        <x:is>
          <x:t xml:space="preserve">MOVE-20260923</x:t>
        </x:is>
      </x:c>
      <x:c r="B130" t="inlineStr">
        <x:is>
          <x:t xml:space="preserve">UI-03; UI-04</x:t>
        </x:is>
      </x:c>
      <x:c r="C130" t="inlineStr">
        <x:is>
          <x:t xml:space="preserve">F17/F20</x:t>
        </x:is>
      </x:c>
      <x:c r="D130" t="inlineStr">
        <x:is>
          <x:t xml:space="preserve">RULE-001</x:t>
        </x:is>
      </x:c>
      <x:c r="E130" t="inlineStr">
        <x:is>
          <x:t xml:space="preserve">Chuyển đường dẫn local</x:t>
        </x:is>
      </x:c>
      <x:c r="F130" t="inlineStr">
        <x:is>
          <x:t xml:space="preserve">Đã cập nhật</x:t>
        </x:is>
      </x:c>
      <x:c r="G130" t="inlineStr">
        <x:is>
          <x:t xml:space="preserve">Có</x:t>
        </x:is>
      </x:c>
      <x:c r="H130" t="inlineStr">
        <x:is>
          <x:t xml:space="preserve">Codex</x:t>
        </x:is>
      </x:c>
      <x:c r="I130" s="30" t="n">
        <x:v>46288</x:v>
      </x:c>
      <x:c r="J130" t="inlineStr">
        <x:is>
          <x:t xml:space="preserve">Di chuyển nguyên thư mục; symlink cũ; kiểm tồn tại đường dẫn mới. Nội dung nghiệp vụ không đổi.</x:t>
        </x:is>
      </x:c>
      <x:c r="K130" t="inlineStr">
        <x:is>
          <x:t xml:space="preserve">BRD/SRS/API không đổi nghiệp vụ; lịch sử giữ nguyên</x:t>
        </x:is>
      </x:c>
      <x:c r="L130" t="str">
        <x:f>IF(AND(F130="Đã cập nhật",G130="Có",H130&lt;&gt;"",ISNUMBER(I130),J130&lt;&gt;""),"Hoàn tất","Chưa hoàn tất")</x:f>
        <x:v>Hoàn tất</x:v>
      </x:c>
    </x:row>
    <x:row r="131">
      <x:c r="A131" t="inlineStr">
        <x:is>
          <x:t xml:space="preserve">MOVE-20260923</x:t>
        </x:is>
      </x:c>
      <x:c r="B131" t="inlineStr">
        <x:is>
          <x:t xml:space="preserve">UI-03; UI-04</x:t>
        </x:is>
      </x:c>
      <x:c r="C131" t="inlineStr">
        <x:is>
          <x:t xml:space="preserve">F17/F20</x:t>
        </x:is>
      </x:c>
      <x:c r="D131" t="inlineStr">
        <x:is>
          <x:t xml:space="preserve">DOC-037</x:t>
        </x:is>
      </x:c>
      <x:c r="E131" t="inlineStr">
        <x:is>
          <x:t xml:space="preserve">Chuyển đường dẫn local</x:t>
        </x:is>
      </x:c>
      <x:c r="F131" t="inlineStr">
        <x:is>
          <x:t xml:space="preserve">Đã cập nhật</x:t>
        </x:is>
      </x:c>
      <x:c r="G131" t="inlineStr">
        <x:is>
          <x:t xml:space="preserve">Có</x:t>
        </x:is>
      </x:c>
      <x:c r="H131" t="inlineStr">
        <x:is>
          <x:t xml:space="preserve">Codex</x:t>
        </x:is>
      </x:c>
      <x:c r="I131" s="30" t="n">
        <x:v>46288</x:v>
      </x:c>
      <x:c r="J131" t="inlineStr">
        <x:is>
          <x:t xml:space="preserve">Di chuyển nguyên thư mục; symlink cũ; kiểm tồn tại đường dẫn mới. Nội dung nghiệp vụ không đổi.</x:t>
        </x:is>
      </x:c>
      <x:c r="K131" t="inlineStr">
        <x:is>
          <x:t xml:space="preserve">BRD/SRS/API không đổi nghiệp vụ; lịch sử giữ nguyên</x:t>
        </x:is>
      </x:c>
      <x:c r="L131" t="str">
        <x:f>IF(AND(F131="Đã cập nhật",G131="Có",H131&lt;&gt;"",ISNUMBER(I131),J131&lt;&gt;""),"Hoàn tất","Chưa hoàn tất")</x:f>
        <x:v>Hoàn tất</x:v>
      </x:c>
    </x:row>
    <x:row r="132">
      <x:c r="A132" t="inlineStr">
        <x:is>
          <x:t xml:space="preserve">MOVE-20260923</x:t>
        </x:is>
      </x:c>
      <x:c r="B132" t="inlineStr">
        <x:is>
          <x:t xml:space="preserve">UI-03; UI-04</x:t>
        </x:is>
      </x:c>
      <x:c r="C132" t="inlineStr">
        <x:is>
          <x:t xml:space="preserve">F17/F20</x:t>
        </x:is>
      </x:c>
      <x:c r="D132" t="inlineStr">
        <x:is>
          <x:t xml:space="preserve">DOC-038</x:t>
        </x:is>
      </x:c>
      <x:c r="E132" t="inlineStr">
        <x:is>
          <x:t xml:space="preserve">Chuyển đường dẫn local</x:t>
        </x:is>
      </x:c>
      <x:c r="F132" t="inlineStr">
        <x:is>
          <x:t xml:space="preserve">Đã cập nhật</x:t>
        </x:is>
      </x:c>
      <x:c r="G132" t="inlineStr">
        <x:is>
          <x:t xml:space="preserve">Có</x:t>
        </x:is>
      </x:c>
      <x:c r="H132" t="inlineStr">
        <x:is>
          <x:t xml:space="preserve">Codex</x:t>
        </x:is>
      </x:c>
      <x:c r="I132" s="30" t="n">
        <x:v>46288</x:v>
      </x:c>
      <x:c r="J132" t="inlineStr">
        <x:is>
          <x:t xml:space="preserve">Di chuyển nguyên thư mục; symlink cũ; kiểm tồn tại đường dẫn mới. Nội dung nghiệp vụ không đổi.</x:t>
        </x:is>
      </x:c>
      <x:c r="K132" t="inlineStr">
        <x:is>
          <x:t xml:space="preserve">BRD/SRS/API không đổi nghiệp vụ; lịch sử giữ nguyên</x:t>
        </x:is>
      </x:c>
      <x:c r="L132" t="str">
        <x:f>IF(AND(F132="Đã cập nhật",G132="Có",H132&lt;&gt;"",ISNUMBER(I132),J132&lt;&gt;""),"Hoàn tất","Chưa hoàn tất")</x:f>
        <x:v>Hoàn tất</x:v>
      </x:c>
    </x:row>
    <x:row r="133">
      <x:c r="A133" t="inlineStr">
        <x:is>
          <x:t xml:space="preserve">MOVE-20260923</x:t>
        </x:is>
      </x:c>
      <x:c r="B133" t="inlineStr">
        <x:is>
          <x:t xml:space="preserve">UI-03; UI-04</x:t>
        </x:is>
      </x:c>
      <x:c r="C133" t="inlineStr">
        <x:is>
          <x:t xml:space="preserve">F17/F20</x:t>
        </x:is>
      </x:c>
      <x:c r="D133" t="inlineStr">
        <x:is>
          <x:t xml:space="preserve">DOC-039</x:t>
        </x:is>
      </x:c>
      <x:c r="E133" t="inlineStr">
        <x:is>
          <x:t xml:space="preserve">Chuyển đường dẫn local</x:t>
        </x:is>
      </x:c>
      <x:c r="F133" t="inlineStr">
        <x:is>
          <x:t xml:space="preserve">Đã cập nhật</x:t>
        </x:is>
      </x:c>
      <x:c r="G133" t="inlineStr">
        <x:is>
          <x:t xml:space="preserve">Có</x:t>
        </x:is>
      </x:c>
      <x:c r="H133" t="inlineStr">
        <x:is>
          <x:t xml:space="preserve">Codex</x:t>
        </x:is>
      </x:c>
      <x:c r="I133" s="30" t="n">
        <x:v>46288</x:v>
      </x:c>
      <x:c r="J133" t="inlineStr">
        <x:is>
          <x:t xml:space="preserve">Di chuyển nguyên thư mục; symlink cũ; kiểm tồn tại đường dẫn mới. Nội dung nghiệp vụ không đổi.</x:t>
        </x:is>
      </x:c>
      <x:c r="K133" t="inlineStr">
        <x:is>
          <x:t xml:space="preserve">BRD/SRS/API không đổi nghiệp vụ; lịch sử giữ nguyên</x:t>
        </x:is>
      </x:c>
      <x:c r="L133" t="str">
        <x:f>IF(AND(F133="Đã cập nhật",G133="Có",H133&lt;&gt;"",ISNUMBER(I133),J133&lt;&gt;""),"Hoàn tất","Chưa hoàn tất")</x:f>
        <x:v>Hoàn tất</x:v>
      </x:c>
    </x:row>
    <x:row r="134">
      <x:c r="A134" t="inlineStr">
        <x:is>
          <x:t xml:space="preserve">MOVE-20260923</x:t>
        </x:is>
      </x:c>
      <x:c r="B134" t="inlineStr">
        <x:is>
          <x:t xml:space="preserve">UI-03; UI-04</x:t>
        </x:is>
      </x:c>
      <x:c r="C134" t="inlineStr">
        <x:is>
          <x:t xml:space="preserve">F17/F20</x:t>
        </x:is>
      </x:c>
      <x:c r="D134" t="inlineStr">
        <x:is>
          <x:t xml:space="preserve">DOC-040</x:t>
        </x:is>
      </x:c>
      <x:c r="E134" t="inlineStr">
        <x:is>
          <x:t xml:space="preserve">Chuyển đường dẫn local</x:t>
        </x:is>
      </x:c>
      <x:c r="F134" t="inlineStr">
        <x:is>
          <x:t xml:space="preserve">Đã cập nhật</x:t>
        </x:is>
      </x:c>
      <x:c r="G134" t="inlineStr">
        <x:is>
          <x:t xml:space="preserve">Có</x:t>
        </x:is>
      </x:c>
      <x:c r="H134" t="inlineStr">
        <x:is>
          <x:t xml:space="preserve">Codex</x:t>
        </x:is>
      </x:c>
      <x:c r="I134" s="30" t="n">
        <x:v>46288</x:v>
      </x:c>
      <x:c r="J134" t="inlineStr">
        <x:is>
          <x:t xml:space="preserve">Di chuyển nguyên thư mục; symlink cũ; kiểm tồn tại đường dẫn mới. Nội dung nghiệp vụ không đổi.</x:t>
        </x:is>
      </x:c>
      <x:c r="K134" t="inlineStr">
        <x:is>
          <x:t xml:space="preserve">BRD/SRS/API không đổi nghiệp vụ; lịch sử giữ nguyên</x:t>
        </x:is>
      </x:c>
      <x:c r="L134" t="str">
        <x:f>IF(AND(F134="Đã cập nhật",G134="Có",H134&lt;&gt;"",ISNUMBER(I134),J134&lt;&gt;""),"Hoàn tất","Chưa hoàn tất")</x:f>
        <x:v>Hoàn tất</x:v>
      </x:c>
    </x:row>
    <x:row r="135">
      <x:c r="A135" t="inlineStr">
        <x:is>
          <x:t xml:space="preserve">MOVE-20260923</x:t>
        </x:is>
      </x:c>
      <x:c r="B135" t="inlineStr">
        <x:is>
          <x:t xml:space="preserve">UI-03; UI-04</x:t>
        </x:is>
      </x:c>
      <x:c r="C135" t="inlineStr">
        <x:is>
          <x:t xml:space="preserve">F17/F20</x:t>
        </x:is>
      </x:c>
      <x:c r="D135" t="inlineStr">
        <x:is>
          <x:t xml:space="preserve">DOC-041</x:t>
        </x:is>
      </x:c>
      <x:c r="E135" t="inlineStr">
        <x:is>
          <x:t xml:space="preserve">Chuyển đường dẫn local</x:t>
        </x:is>
      </x:c>
      <x:c r="F135" t="inlineStr">
        <x:is>
          <x:t xml:space="preserve">Đã cập nhật</x:t>
        </x:is>
      </x:c>
      <x:c r="G135" t="inlineStr">
        <x:is>
          <x:t xml:space="preserve">Có</x:t>
        </x:is>
      </x:c>
      <x:c r="H135" t="inlineStr">
        <x:is>
          <x:t xml:space="preserve">Codex</x:t>
        </x:is>
      </x:c>
      <x:c r="I135" s="30" t="n">
        <x:v>46288</x:v>
      </x:c>
      <x:c r="J135" t="inlineStr">
        <x:is>
          <x:t xml:space="preserve">Di chuyển nguyên thư mục; symlink cũ; kiểm tồn tại đường dẫn mới. Nội dung nghiệp vụ không đổi.</x:t>
        </x:is>
      </x:c>
      <x:c r="K135" t="inlineStr">
        <x:is>
          <x:t xml:space="preserve">BRD/SRS/API không đổi nghiệp vụ; lịch sử giữ nguyên</x:t>
        </x:is>
      </x:c>
      <x:c r="L135" t="str">
        <x:f>IF(AND(F135="Đã cập nhật",G135="Có",H135&lt;&gt;"",ISNUMBER(I135),J135&lt;&gt;""),"Hoàn tất","Chưa hoàn tất")</x:f>
        <x:v>Hoàn tất</x:v>
      </x:c>
    </x:row>
    <x:row r="136">
      <x:c r="A136" t="inlineStr">
        <x:is>
          <x:t xml:space="preserve">MOVE-20260923</x:t>
        </x:is>
      </x:c>
      <x:c r="B136" t="inlineStr">
        <x:is>
          <x:t xml:space="preserve">UI-03; UI-04</x:t>
        </x:is>
      </x:c>
      <x:c r="C136" t="inlineStr">
        <x:is>
          <x:t xml:space="preserve">F17/F20</x:t>
        </x:is>
      </x:c>
      <x:c r="D136" t="inlineStr">
        <x:is>
          <x:t xml:space="preserve">DOC-042</x:t>
        </x:is>
      </x:c>
      <x:c r="E136" t="inlineStr">
        <x:is>
          <x:t xml:space="preserve">Chuyển đường dẫn local</x:t>
        </x:is>
      </x:c>
      <x:c r="F136" t="inlineStr">
        <x:is>
          <x:t xml:space="preserve">Đã cập nhật</x:t>
        </x:is>
      </x:c>
      <x:c r="G136" t="inlineStr">
        <x:is>
          <x:t xml:space="preserve">Có</x:t>
        </x:is>
      </x:c>
      <x:c r="H136" t="inlineStr">
        <x:is>
          <x:t xml:space="preserve">Codex</x:t>
        </x:is>
      </x:c>
      <x:c r="I136" s="30" t="n">
        <x:v>46288</x:v>
      </x:c>
      <x:c r="J136" t="inlineStr">
        <x:is>
          <x:t xml:space="preserve">Di chuyển nguyên thư mục; symlink cũ; kiểm tồn tại đường dẫn mới. Nội dung nghiệp vụ không đổi.</x:t>
        </x:is>
      </x:c>
      <x:c r="K136" t="inlineStr">
        <x:is>
          <x:t xml:space="preserve">BRD/SRS/API không đổi nghiệp vụ; lịch sử giữ nguyên</x:t>
        </x:is>
      </x:c>
      <x:c r="L136" t="str">
        <x:f>IF(AND(F136="Đã cập nhật",G136="Có",H136&lt;&gt;"",ISNUMBER(I136),J136&lt;&gt;""),"Hoàn tất","Chưa hoàn tất")</x:f>
        <x:v>Hoàn tất</x:v>
      </x:c>
    </x:row>
    <x:row r="137">
      <x:c r="A137" t="inlineStr">
        <x:is>
          <x:t xml:space="preserve">MOVE-20260923</x:t>
        </x:is>
      </x:c>
      <x:c r="B137" t="inlineStr">
        <x:is>
          <x:t xml:space="preserve">UI-03; UI-04</x:t>
        </x:is>
      </x:c>
      <x:c r="C137" t="inlineStr">
        <x:is>
          <x:t xml:space="preserve">F17/F20</x:t>
        </x:is>
      </x:c>
      <x:c r="D137" t="inlineStr">
        <x:is>
          <x:t xml:space="preserve">DOC-043</x:t>
        </x:is>
      </x:c>
      <x:c r="E137" t="inlineStr">
        <x:is>
          <x:t xml:space="preserve">Chuyển đường dẫn local</x:t>
        </x:is>
      </x:c>
      <x:c r="F137" t="inlineStr">
        <x:is>
          <x:t xml:space="preserve">Đã cập nhật</x:t>
        </x:is>
      </x:c>
      <x:c r="G137" t="inlineStr">
        <x:is>
          <x:t xml:space="preserve">Có</x:t>
        </x:is>
      </x:c>
      <x:c r="H137" t="inlineStr">
        <x:is>
          <x:t xml:space="preserve">Codex</x:t>
        </x:is>
      </x:c>
      <x:c r="I137" s="30" t="n">
        <x:v>46288</x:v>
      </x:c>
      <x:c r="J137" t="inlineStr">
        <x:is>
          <x:t xml:space="preserve">Di chuyển nguyên thư mục; symlink cũ; kiểm tồn tại đường dẫn mới. Nội dung nghiệp vụ không đổi.</x:t>
        </x:is>
      </x:c>
      <x:c r="K137" t="inlineStr">
        <x:is>
          <x:t xml:space="preserve">BRD/SRS/API không đổi nghiệp vụ; lịch sử giữ nguyên</x:t>
        </x:is>
      </x:c>
      <x:c r="L137" t="str">
        <x:f>IF(AND(F137="Đã cập nhật",G137="Có",H137&lt;&gt;"",ISNUMBER(I137),J137&lt;&gt;""),"Hoàn tất","Chưa hoàn tất")</x:f>
        <x:v>Hoàn tất</x:v>
      </x:c>
    </x:row>
    <x:row r="138">
      <x:c r="A138" t="inlineStr">
        <x:is>
          <x:t xml:space="preserve">MOVE-20260923</x:t>
        </x:is>
      </x:c>
      <x:c r="B138" t="inlineStr">
        <x:is>
          <x:t xml:space="preserve">UI-03; UI-04</x:t>
        </x:is>
      </x:c>
      <x:c r="C138" t="inlineStr">
        <x:is>
          <x:t xml:space="preserve">F17/F20</x:t>
        </x:is>
      </x:c>
      <x:c r="D138" t="inlineStr">
        <x:is>
          <x:t xml:space="preserve">DOC-044</x:t>
        </x:is>
      </x:c>
      <x:c r="E138" t="inlineStr">
        <x:is>
          <x:t xml:space="preserve">Chuyển đường dẫn local</x:t>
        </x:is>
      </x:c>
      <x:c r="F138" t="inlineStr">
        <x:is>
          <x:t xml:space="preserve">Đã cập nhật</x:t>
        </x:is>
      </x:c>
      <x:c r="G138" t="inlineStr">
        <x:is>
          <x:t xml:space="preserve">Có</x:t>
        </x:is>
      </x:c>
      <x:c r="H138" t="inlineStr">
        <x:is>
          <x:t xml:space="preserve">Codex</x:t>
        </x:is>
      </x:c>
      <x:c r="I138" s="30" t="n">
        <x:v>46288</x:v>
      </x:c>
      <x:c r="J138" t="inlineStr">
        <x:is>
          <x:t xml:space="preserve">Di chuyển nguyên thư mục; symlink cũ; kiểm tồn tại đường dẫn mới. Nội dung nghiệp vụ không đổi.</x:t>
        </x:is>
      </x:c>
      <x:c r="K138" t="inlineStr">
        <x:is>
          <x:t xml:space="preserve">BRD/SRS/API không đổi nghiệp vụ; lịch sử giữ nguyên</x:t>
        </x:is>
      </x:c>
      <x:c r="L138" t="str">
        <x:f>IF(AND(F138="Đã cập nhật",G138="Có",H138&lt;&gt;"",ISNUMBER(I138),J138&lt;&gt;""),"Hoàn tất","Chưa hoàn tất")</x:f>
        <x:v>Hoàn tất</x:v>
      </x:c>
    </x:row>
    <x:row r="139">
      <x:c r="A139" t="inlineStr">
        <x:is>
          <x:t xml:space="preserve">MOVE-20260923</x:t>
        </x:is>
      </x:c>
      <x:c r="B139" t="inlineStr">
        <x:is>
          <x:t xml:space="preserve">UI-03; UI-04</x:t>
        </x:is>
      </x:c>
      <x:c r="C139" t="inlineStr">
        <x:is>
          <x:t xml:space="preserve">F17/F20</x:t>
        </x:is>
      </x:c>
      <x:c r="D139" t="inlineStr">
        <x:is>
          <x:t xml:space="preserve">DOC-045</x:t>
        </x:is>
      </x:c>
      <x:c r="E139" t="inlineStr">
        <x:is>
          <x:t xml:space="preserve">Chuyển đường dẫn local</x:t>
        </x:is>
      </x:c>
      <x:c r="F139" t="inlineStr">
        <x:is>
          <x:t xml:space="preserve">Đã cập nhật</x:t>
        </x:is>
      </x:c>
      <x:c r="G139" t="inlineStr">
        <x:is>
          <x:t xml:space="preserve">Có</x:t>
        </x:is>
      </x:c>
      <x:c r="H139" t="inlineStr">
        <x:is>
          <x:t xml:space="preserve">Codex</x:t>
        </x:is>
      </x:c>
      <x:c r="I139" s="30" t="n">
        <x:v>46288</x:v>
      </x:c>
      <x:c r="J139" t="inlineStr">
        <x:is>
          <x:t xml:space="preserve">Di chuyển nguyên thư mục; symlink cũ; kiểm tồn tại đường dẫn mới. Nội dung nghiệp vụ không đổi.</x:t>
        </x:is>
      </x:c>
      <x:c r="K139" t="inlineStr">
        <x:is>
          <x:t xml:space="preserve">BRD/SRS/API không đổi nghiệp vụ; lịch sử giữ nguyên</x:t>
        </x:is>
      </x:c>
      <x:c r="L139" t="str">
        <x:f>IF(AND(F139="Đã cập nhật",G139="Có",H139&lt;&gt;"",ISNUMBER(I139),J139&lt;&gt;""),"Hoàn tất","Chưa hoàn tất")</x:f>
        <x:v>Hoàn tất</x:v>
      </x:c>
    </x:row>
    <x:row r="140">
      <x:c r="A140" t="inlineStr">
        <x:is>
          <x:t xml:space="preserve">MOVE-20260923</x:t>
        </x:is>
      </x:c>
      <x:c r="B140" t="inlineStr">
        <x:is>
          <x:t xml:space="preserve">UI-03; UI-04</x:t>
        </x:is>
      </x:c>
      <x:c r="C140" t="inlineStr">
        <x:is>
          <x:t xml:space="preserve">F17/F20</x:t>
        </x:is>
      </x:c>
      <x:c r="D140" t="inlineStr">
        <x:is>
          <x:t xml:space="preserve">DOC-046</x:t>
        </x:is>
      </x:c>
      <x:c r="E140" t="inlineStr">
        <x:is>
          <x:t xml:space="preserve">Chuyển đường dẫn local</x:t>
        </x:is>
      </x:c>
      <x:c r="F140" t="inlineStr">
        <x:is>
          <x:t xml:space="preserve">Đã cập nhật</x:t>
        </x:is>
      </x:c>
      <x:c r="G140" t="inlineStr">
        <x:is>
          <x:t xml:space="preserve">Có</x:t>
        </x:is>
      </x:c>
      <x:c r="H140" t="inlineStr">
        <x:is>
          <x:t xml:space="preserve">Codex</x:t>
        </x:is>
      </x:c>
      <x:c r="I140" s="30" t="n">
        <x:v>46288</x:v>
      </x:c>
      <x:c r="J140" t="inlineStr">
        <x:is>
          <x:t xml:space="preserve">Di chuyển nguyên thư mục; symlink cũ; kiểm tồn tại đường dẫn mới. Nội dung nghiệp vụ không đổi.</x:t>
        </x:is>
      </x:c>
      <x:c r="K140" t="inlineStr">
        <x:is>
          <x:t xml:space="preserve">BRD/SRS/API không đổi nghiệp vụ; lịch sử giữ nguyên</x:t>
        </x:is>
      </x:c>
      <x:c r="L140" t="str">
        <x:f>IF(AND(F140="Đã cập nhật",G140="Có",H140&lt;&gt;"",ISNUMBER(I140),J140&lt;&gt;""),"Hoàn tất","Chưa hoàn tất")</x:f>
        <x:v>Hoàn tất</x:v>
      </x:c>
    </x:row>
    <x:row r="141">
      <x:c r="A141" t="inlineStr">
        <x:is>
          <x:t xml:space="preserve">MOVE-20260923</x:t>
        </x:is>
      </x:c>
      <x:c r="B141" t="inlineStr">
        <x:is>
          <x:t xml:space="preserve">UI-03; UI-04</x:t>
        </x:is>
      </x:c>
      <x:c r="C141" t="inlineStr">
        <x:is>
          <x:t xml:space="preserve">F17/F20</x:t>
        </x:is>
      </x:c>
      <x:c r="D141" t="inlineStr">
        <x:is>
          <x:t xml:space="preserve">DOC-047</x:t>
        </x:is>
      </x:c>
      <x:c r="E141" t="inlineStr">
        <x:is>
          <x:t xml:space="preserve">Chuyển đường dẫn local</x:t>
        </x:is>
      </x:c>
      <x:c r="F141" t="inlineStr">
        <x:is>
          <x:t xml:space="preserve">Đã cập nhật</x:t>
        </x:is>
      </x:c>
      <x:c r="G141" t="inlineStr">
        <x:is>
          <x:t xml:space="preserve">Có</x:t>
        </x:is>
      </x:c>
      <x:c r="H141" t="inlineStr">
        <x:is>
          <x:t xml:space="preserve">Codex</x:t>
        </x:is>
      </x:c>
      <x:c r="I141" s="30" t="n">
        <x:v>46288</x:v>
      </x:c>
      <x:c r="J141" t="inlineStr">
        <x:is>
          <x:t xml:space="preserve">Di chuyển nguyên thư mục; symlink cũ; kiểm tồn tại đường dẫn mới. Nội dung nghiệp vụ không đổi.</x:t>
        </x:is>
      </x:c>
      <x:c r="K141" t="inlineStr">
        <x:is>
          <x:t xml:space="preserve">BRD/SRS/API không đổi nghiệp vụ; lịch sử giữ nguyên</x:t>
        </x:is>
      </x:c>
      <x:c r="L141" t="str">
        <x:f>IF(AND(F141="Đã cập nhật",G141="Có",H141&lt;&gt;"",ISNUMBER(I141),J141&lt;&gt;""),"Hoàn tất","Chưa hoàn tất")</x:f>
        <x:v>Hoàn tất</x:v>
      </x:c>
    </x:row>
    <x:row r="142">
      <x:c r="A142" t="inlineStr">
        <x:is>
          <x:t xml:space="preserve">MOVE-20260923</x:t>
        </x:is>
      </x:c>
      <x:c r="B142" t="inlineStr">
        <x:is>
          <x:t xml:space="preserve">UI-03; UI-04</x:t>
        </x:is>
      </x:c>
      <x:c r="C142" t="inlineStr">
        <x:is>
          <x:t xml:space="preserve">F17/F20</x:t>
        </x:is>
      </x:c>
      <x:c r="D142" t="inlineStr">
        <x:is>
          <x:t xml:space="preserve">DOC-048</x:t>
        </x:is>
      </x:c>
      <x:c r="E142" t="inlineStr">
        <x:is>
          <x:t xml:space="preserve">Chuyển đường dẫn local</x:t>
        </x:is>
      </x:c>
      <x:c r="F142" t="inlineStr">
        <x:is>
          <x:t xml:space="preserve">Đã cập nhật</x:t>
        </x:is>
      </x:c>
      <x:c r="G142" t="inlineStr">
        <x:is>
          <x:t xml:space="preserve">Có</x:t>
        </x:is>
      </x:c>
      <x:c r="H142" t="inlineStr">
        <x:is>
          <x:t xml:space="preserve">Codex</x:t>
        </x:is>
      </x:c>
      <x:c r="I142" s="30" t="n">
        <x:v>46288</x:v>
      </x:c>
      <x:c r="J142" t="inlineStr">
        <x:is>
          <x:t xml:space="preserve">Di chuyển nguyên thư mục; symlink cũ; kiểm tồn tại đường dẫn mới. Nội dung nghiệp vụ không đổi.</x:t>
        </x:is>
      </x:c>
      <x:c r="K142" t="inlineStr">
        <x:is>
          <x:t xml:space="preserve">BRD/SRS/API không đổi nghiệp vụ; lịch sử giữ nguyên</x:t>
        </x:is>
      </x:c>
      <x:c r="L142" t="str">
        <x:f>IF(AND(F142="Đã cập nhật",G142="Có",H142&lt;&gt;"",ISNUMBER(I142),J142&lt;&gt;""),"Hoàn tất","Chưa hoàn tất")</x:f>
        <x:v>Hoàn tất</x:v>
      </x:c>
    </x:row>
    <x:row r="143">
      <x:c r="A143" t="inlineStr">
        <x:is>
          <x:t xml:space="preserve">MOVE-20260923</x:t>
        </x:is>
      </x:c>
      <x:c r="B143" t="inlineStr">
        <x:is>
          <x:t xml:space="preserve">UI-03; UI-04</x:t>
        </x:is>
      </x:c>
      <x:c r="C143" t="inlineStr">
        <x:is>
          <x:t xml:space="preserve">F17/F20</x:t>
        </x:is>
      </x:c>
      <x:c r="D143" t="inlineStr">
        <x:is>
          <x:t xml:space="preserve">DOC-049</x:t>
        </x:is>
      </x:c>
      <x:c r="E143" t="inlineStr">
        <x:is>
          <x:t xml:space="preserve">Chuyển đường dẫn local</x:t>
        </x:is>
      </x:c>
      <x:c r="F143" t="inlineStr">
        <x:is>
          <x:t xml:space="preserve">Đã cập nhật</x:t>
        </x:is>
      </x:c>
      <x:c r="G143" t="inlineStr">
        <x:is>
          <x:t xml:space="preserve">Có</x:t>
        </x:is>
      </x:c>
      <x:c r="H143" t="inlineStr">
        <x:is>
          <x:t xml:space="preserve">Codex</x:t>
        </x:is>
      </x:c>
      <x:c r="I143" s="30" t="n">
        <x:v>46288</x:v>
      </x:c>
      <x:c r="J143" t="inlineStr">
        <x:is>
          <x:t xml:space="preserve">Di chuyển nguyên thư mục; symlink cũ; kiểm tồn tại đường dẫn mới. Nội dung nghiệp vụ không đổi.</x:t>
        </x:is>
      </x:c>
      <x:c r="K143" t="inlineStr">
        <x:is>
          <x:t xml:space="preserve">BRD/SRS/API không đổi nghiệp vụ; lịch sử giữ nguyên</x:t>
        </x:is>
      </x:c>
      <x:c r="L143" t="str">
        <x:f>IF(AND(F143="Đã cập nhật",G143="Có",H143&lt;&gt;"",ISNUMBER(I143),J143&lt;&gt;""),"Hoàn tất","Chưa hoàn tất")</x:f>
        <x:v>Hoàn tất</x:v>
      </x:c>
    </x:row>
    <x:row r="144">
      <x:c r="A144" t="inlineStr">
        <x:is>
          <x:t xml:space="preserve">MOVE-20260923</x:t>
        </x:is>
      </x:c>
      <x:c r="B144" t="inlineStr">
        <x:is>
          <x:t xml:space="preserve">UI-03; UI-04</x:t>
        </x:is>
      </x:c>
      <x:c r="C144" t="inlineStr">
        <x:is>
          <x:t xml:space="preserve">F17/F20</x:t>
        </x:is>
      </x:c>
      <x:c r="D144" t="inlineStr">
        <x:is>
          <x:t xml:space="preserve">DOC-050</x:t>
        </x:is>
      </x:c>
      <x:c r="E144" t="inlineStr">
        <x:is>
          <x:t xml:space="preserve">Chuyển đường dẫn local</x:t>
        </x:is>
      </x:c>
      <x:c r="F144" t="inlineStr">
        <x:is>
          <x:t xml:space="preserve">Đã cập nhật</x:t>
        </x:is>
      </x:c>
      <x:c r="G144" t="inlineStr">
        <x:is>
          <x:t xml:space="preserve">Có</x:t>
        </x:is>
      </x:c>
      <x:c r="H144" t="inlineStr">
        <x:is>
          <x:t xml:space="preserve">Codex</x:t>
        </x:is>
      </x:c>
      <x:c r="I144" s="30" t="n">
        <x:v>46288</x:v>
      </x:c>
      <x:c r="J144" t="inlineStr">
        <x:is>
          <x:t xml:space="preserve">Di chuyển nguyên thư mục; symlink cũ; kiểm tồn tại đường dẫn mới. Nội dung nghiệp vụ không đổi.</x:t>
        </x:is>
      </x:c>
      <x:c r="K144" t="inlineStr">
        <x:is>
          <x:t xml:space="preserve">BRD/SRS/API không đổi nghiệp vụ; lịch sử giữ nguyên</x:t>
        </x:is>
      </x:c>
      <x:c r="L144" t="str">
        <x:f>IF(AND(F144="Đã cập nhật",G144="Có",H144&lt;&gt;"",ISNUMBER(I144),J144&lt;&gt;""),"Hoàn tất","Chưa hoàn tất")</x:f>
        <x:v>Hoàn tất</x:v>
      </x:c>
    </x:row>
    <x:row r="145">
      <x:c r="A145" t="inlineStr">
        <x:is>
          <x:t xml:space="preserve">MOVE-20260923</x:t>
        </x:is>
      </x:c>
      <x:c r="B145" t="inlineStr">
        <x:is>
          <x:t xml:space="preserve">UI-03; UI-04</x:t>
        </x:is>
      </x:c>
      <x:c r="C145" t="inlineStr">
        <x:is>
          <x:t xml:space="preserve">F17/F20</x:t>
        </x:is>
      </x:c>
      <x:c r="D145" t="inlineStr">
        <x:is>
          <x:t xml:space="preserve">DOC-051</x:t>
        </x:is>
      </x:c>
      <x:c r="E145" t="inlineStr">
        <x:is>
          <x:t xml:space="preserve">Chuyển đường dẫn local</x:t>
        </x:is>
      </x:c>
      <x:c r="F145" t="inlineStr">
        <x:is>
          <x:t xml:space="preserve">Đã cập nhật</x:t>
        </x:is>
      </x:c>
      <x:c r="G145" t="inlineStr">
        <x:is>
          <x:t xml:space="preserve">Có</x:t>
        </x:is>
      </x:c>
      <x:c r="H145" t="inlineStr">
        <x:is>
          <x:t xml:space="preserve">Codex</x:t>
        </x:is>
      </x:c>
      <x:c r="I145" s="30" t="n">
        <x:v>46288</x:v>
      </x:c>
      <x:c r="J145" t="inlineStr">
        <x:is>
          <x:t xml:space="preserve">Di chuyển nguyên thư mục; symlink cũ; kiểm tồn tại đường dẫn mới. Nội dung nghiệp vụ không đổi.</x:t>
        </x:is>
      </x:c>
      <x:c r="K145" t="inlineStr">
        <x:is>
          <x:t xml:space="preserve">BRD/SRS/API không đổi nghiệp vụ; lịch sử giữ nguyên</x:t>
        </x:is>
      </x:c>
      <x:c r="L145" t="str">
        <x:f>IF(AND(F145="Đã cập nhật",G145="Có",H145&lt;&gt;"",ISNUMBER(I145),J145&lt;&gt;""),"Hoàn tất","Chưa hoàn tất")</x:f>
        <x:v>Hoàn tất</x:v>
      </x:c>
    </x:row>
    <x:row r="146">
      <x:c r="A146" t="inlineStr">
        <x:is>
          <x:t xml:space="preserve">MOVE-20260923</x:t>
        </x:is>
      </x:c>
      <x:c r="B146" t="inlineStr">
        <x:is>
          <x:t xml:space="preserve">UI-03; UI-04</x:t>
        </x:is>
      </x:c>
      <x:c r="C146" t="inlineStr">
        <x:is>
          <x:t xml:space="preserve">F17/F20</x:t>
        </x:is>
      </x:c>
      <x:c r="D146" t="inlineStr">
        <x:is>
          <x:t xml:space="preserve">DOC-052</x:t>
        </x:is>
      </x:c>
      <x:c r="E146" t="inlineStr">
        <x:is>
          <x:t xml:space="preserve">Chuyển đường dẫn local</x:t>
        </x:is>
      </x:c>
      <x:c r="F146" t="inlineStr">
        <x:is>
          <x:t xml:space="preserve">Đã cập nhật</x:t>
        </x:is>
      </x:c>
      <x:c r="G146" t="inlineStr">
        <x:is>
          <x:t xml:space="preserve">Có</x:t>
        </x:is>
      </x:c>
      <x:c r="H146" t="inlineStr">
        <x:is>
          <x:t xml:space="preserve">Codex</x:t>
        </x:is>
      </x:c>
      <x:c r="I146" s="30" t="n">
        <x:v>46288</x:v>
      </x:c>
      <x:c r="J146" t="inlineStr">
        <x:is>
          <x:t xml:space="preserve">Di chuyển nguyên thư mục; symlink cũ; kiểm tồn tại đường dẫn mới. Nội dung nghiệp vụ không đổi.</x:t>
        </x:is>
      </x:c>
      <x:c r="K146" t="inlineStr">
        <x:is>
          <x:t xml:space="preserve">BRD/SRS/API không đổi nghiệp vụ; lịch sử giữ nguyên</x:t>
        </x:is>
      </x:c>
      <x:c r="L146" t="str">
        <x:f>IF(AND(F146="Đã cập nhật",G146="Có",H146&lt;&gt;"",ISNUMBER(I146),J146&lt;&gt;""),"Hoàn tất","Chưa hoàn tất")</x:f>
        <x:v>Hoàn tất</x:v>
      </x:c>
    </x:row>
    <x:row r="147">
      <x:c r="A147" t="inlineStr">
        <x:is>
          <x:t xml:space="preserve">MOVE-20260923</x:t>
        </x:is>
      </x:c>
      <x:c r="B147" t="inlineStr">
        <x:is>
          <x:t xml:space="preserve">UI-03; UI-04</x:t>
        </x:is>
      </x:c>
      <x:c r="C147" t="inlineStr">
        <x:is>
          <x:t xml:space="preserve">F17/F20</x:t>
        </x:is>
      </x:c>
      <x:c r="D147" t="inlineStr">
        <x:is>
          <x:t xml:space="preserve">DOC-050/051/052</x:t>
        </x:is>
      </x:c>
      <x:c r="E147" t="inlineStr">
        <x:is>
          <x:t xml:space="preserve">Ghi nhận công cụ và giữ bản thử</x:t>
        </x:is>
      </x:c>
      <x:c r="F147" t="inlineStr">
        <x:is>
          <x:t xml:space="preserve">Đã cập nhật</x:t>
        </x:is>
      </x:c>
      <x:c r="G147" t="inlineStr">
        <x:is>
          <x:t xml:space="preserve">Có</x:t>
        </x:is>
      </x:c>
      <x:c r="H147" t="inlineStr">
        <x:is>
          <x:t xml:space="preserve">Codex</x:t>
        </x:is>
      </x:c>
      <x:c r="I147" s="30" t="n">
        <x:v>46288</x:v>
      </x:c>
      <x:c r="J147" t="inlineStr">
        <x:is>
          <x:t xml:space="preserve">README v0.2; React nguồn không đổi; Penpot giữ tham khảo. ZIP cùng ID.</x:t>
        </x:is>
      </x:c>
      <x:c r="K147" t="inlineStr">
        <x:is>
          <x:t xml:space="preserve">BRD/SRS/API không đổi nghiệp vụ; lịch sử giữ nguyên</x:t>
        </x:is>
      </x:c>
      <x:c r="L147" t="str">
        <x:f>IF(AND(F147="Đã cập nhật",G147="Có",H147&lt;&gt;"",ISNUMBER(I147),J147&lt;&gt;""),"Hoàn tất","Chưa hoàn tất")</x:f>
        <x:v>Hoàn tất</x:v>
      </x:c>
    </x:row>
    <x:row r="148">
      <x:c r="A148" t="inlineStr">
        <x:is>
          <x:t xml:space="preserve">MOVE-20260923</x:t>
        </x:is>
      </x:c>
      <x:c r="B148" t="inlineStr">
        <x:is>
          <x:t xml:space="preserve">UI-03; UI-04</x:t>
        </x:is>
      </x:c>
      <x:c r="C148" t="inlineStr">
        <x:is>
          <x:t xml:space="preserve">F17/F20</x:t>
        </x:is>
      </x:c>
      <x:c r="D148" t="inlineStr">
        <x:is>
          <x:t xml:space="preserve">DOC-053</x:t>
        </x:is>
      </x:c>
      <x:c r="E148" t="inlineStr">
        <x:is>
          <x:t xml:space="preserve">Đăng ký nghiên cứu và đề xuất UI</x:t>
        </x:is>
      </x:c>
      <x:c r="F148" t="inlineStr">
        <x:is>
          <x:t xml:space="preserve">Đã cập nhật</x:t>
        </x:is>
      </x:c>
      <x:c r="G148" t="inlineStr">
        <x:is>
          <x:t xml:space="preserve">Có</x:t>
        </x:is>
      </x:c>
      <x:c r="H148" t="inlineStr">
        <x:is>
          <x:t xml:space="preserve">Codex</x:t>
        </x:is>
      </x:c>
      <x:c r="I148" s="30" t="n">
        <x:v>46288</x:v>
      </x:c>
      <x:c r="J148" t="inlineStr">
        <x:is>
          <x:t xml:space="preserve">Quan sát browser Taskrabbit, Urban Company desktop, Airbnb desktop/mobile; nguồn trong tài liệu.</x:t>
        </x:is>
      </x:c>
      <x:c r="K148" t="inlineStr">
        <x:is>
          <x:t xml:space="preserve">BRD/SRS/API không đổi nghiệp vụ; lịch sử giữ nguyên</x:t>
        </x:is>
      </x:c>
      <x:c r="L148" t="str">
        <x:f>IF(AND(F148="Đã cập nhật",G148="Có",H148&lt;&gt;"",ISNUMBER(I148),J148&lt;&gt;""),"Hoàn tất","Chưa hoàn tất")</x:f>
        <x:v>Hoàn tất</x:v>
      </x:c>
    </x:row>
    <x:row r="149">
      <x:c r="A149" t="inlineStr">
        <x:is>
          <x:t xml:space="preserve">UI-20260923-C</x:t>
        </x:is>
      </x:c>
      <x:c r="B149" t="inlineStr">
        <x:is>
          <x:t xml:space="preserve">UI-04</x:t>
        </x:is>
      </x:c>
      <x:c r="C149" t="inlineStr">
        <x:is>
          <x:t xml:space="preserve">F04/F09/F17/F20</x:t>
        </x:is>
      </x:c>
      <x:c r="D149" t="inlineStr">
        <x:is>
          <x:t xml:space="preserve">DOC-050</x:t>
        </x:is>
      </x:c>
      <x:c r="E149" t="inlineStr">
        <x:is>
          <x:t xml:space="preserve">Dựng và đồng bộ UI v0.2</x:t>
        </x:is>
      </x:c>
      <x:c r="F149" t="inlineStr">
        <x:is>
          <x:t xml:space="preserve">Đã cập nhật</x:t>
        </x:is>
      </x:c>
      <x:c r="G149" t="inlineStr">
        <x:is>
          <x:t xml:space="preserve">Có</x:t>
        </x:is>
      </x:c>
      <x:c r="H149" t="inlineStr">
        <x:is>
          <x:t xml:space="preserve">Codex</x:t>
        </x:is>
      </x:c>
      <x:c r="I149" s="30" t="n">
        <x:v>46288</x:v>
      </x:c>
      <x:c r="J149" t="inlineStr">
        <x:is>
          <x:t xml:space="preserve">README v0.2; DOC-053 ghi build, browser checks và giới hạn; ZIP cập nhật cùng ID</x:t>
        </x:is>
      </x:c>
      <x:c r="K149" t="inlineStr">
        <x:is>
          <x:t xml:space="preserve">BRD/SRS/API không đổi; chưa có ảnh hoặc bản đồ thật</x:t>
        </x:is>
      </x:c>
      <x:c r="L149" t="str">
        <x:f>IF(AND(F149="Đã cập nhật",G149="Có",H149&lt;&gt;"",ISNUMBER(I149),J149&lt;&gt;""),"Hoàn tất","Chưa hoàn tất")</x:f>
        <x:v>Hoàn tất</x:v>
      </x:c>
    </x:row>
    <x:row r="150">
      <x:c r="A150" t="inlineStr">
        <x:is>
          <x:t xml:space="preserve">UI-20260923-C</x:t>
        </x:is>
      </x:c>
      <x:c r="B150" t="inlineStr">
        <x:is>
          <x:t xml:space="preserve">UI-04</x:t>
        </x:is>
      </x:c>
      <x:c r="C150" t="inlineStr">
        <x:is>
          <x:t xml:space="preserve">F04/F09/F17/F20</x:t>
        </x:is>
      </x:c>
      <x:c r="D150" t="inlineStr">
        <x:is>
          <x:t xml:space="preserve">DOC-052</x:t>
        </x:is>
      </x:c>
      <x:c r="E150" t="inlineStr">
        <x:is>
          <x:t xml:space="preserve">Dựng và đồng bộ UI v0.2</x:t>
        </x:is>
      </x:c>
      <x:c r="F150" t="inlineStr">
        <x:is>
          <x:t xml:space="preserve">Đã cập nhật</x:t>
        </x:is>
      </x:c>
      <x:c r="G150" t="inlineStr">
        <x:is>
          <x:t xml:space="preserve">Có</x:t>
        </x:is>
      </x:c>
      <x:c r="H150" t="inlineStr">
        <x:is>
          <x:t xml:space="preserve">Codex</x:t>
        </x:is>
      </x:c>
      <x:c r="I150" s="30" t="n">
        <x:v>46288</x:v>
      </x:c>
      <x:c r="J150" t="inlineStr">
        <x:is>
          <x:t xml:space="preserve">README v0.2; DOC-053 ghi build, browser checks và giới hạn; ZIP cập nhật cùng ID</x:t>
        </x:is>
      </x:c>
      <x:c r="K150" t="inlineStr">
        <x:is>
          <x:t xml:space="preserve">BRD/SRS/API không đổi; chưa có ảnh hoặc bản đồ thật</x:t>
        </x:is>
      </x:c>
      <x:c r="L150" t="str">
        <x:f>IF(AND(F150="Đã cập nhật",G150="Có",H150&lt;&gt;"",ISNUMBER(I150),J150&lt;&gt;""),"Hoàn tất","Chưa hoàn tất")</x:f>
        <x:v>Hoàn tất</x:v>
      </x:c>
    </x:row>
    <x:row r="151">
      <x:c r="A151" t="inlineStr">
        <x:is>
          <x:t xml:space="preserve">UI-20260923-C</x:t>
        </x:is>
      </x:c>
      <x:c r="B151" t="inlineStr">
        <x:is>
          <x:t xml:space="preserve">UI-04</x:t>
        </x:is>
      </x:c>
      <x:c r="C151" t="inlineStr">
        <x:is>
          <x:t xml:space="preserve">F04/F09/F17/F20</x:t>
        </x:is>
      </x:c>
      <x:c r="D151" t="inlineStr">
        <x:is>
          <x:t xml:space="preserve">DOC-053</x:t>
        </x:is>
      </x:c>
      <x:c r="E151" t="inlineStr">
        <x:is>
          <x:t xml:space="preserve">Dựng và đồng bộ UI v0.2</x:t>
        </x:is>
      </x:c>
      <x:c r="F151" t="inlineStr">
        <x:is>
          <x:t xml:space="preserve">Đã cập nhật</x:t>
        </x:is>
      </x:c>
      <x:c r="G151" t="inlineStr">
        <x:is>
          <x:t xml:space="preserve">Có</x:t>
        </x:is>
      </x:c>
      <x:c r="H151" t="inlineStr">
        <x:is>
          <x:t xml:space="preserve">Codex</x:t>
        </x:is>
      </x:c>
      <x:c r="I151" s="30" t="n">
        <x:v>46288</x:v>
      </x:c>
      <x:c r="J151" t="inlineStr">
        <x:is>
          <x:t xml:space="preserve">README v0.2; DOC-053 ghi build, browser checks và giới hạn; ZIP cập nhật cùng ID</x:t>
        </x:is>
      </x:c>
      <x:c r="K151" t="inlineStr">
        <x:is>
          <x:t xml:space="preserve">BRD/SRS/API không đổi; chưa có ảnh hoặc bản đồ thật</x:t>
        </x:is>
      </x:c>
      <x:c r="L151" t="str">
        <x:f>IF(AND(F151="Đã cập nhật",G151="Có",H151&lt;&gt;"",ISNUMBER(I151),J151&lt;&gt;""),"Hoàn tất","Chưa hoàn tất")</x:f>
        <x:v>Hoàn tất</x:v>
      </x:c>
    </x:row>
    <x:row r="152">
      <x:c r="A152" t="inlineStr">
        <x:is>
          <x:t xml:space="preserve">ORG-20260923</x:t>
        </x:is>
      </x:c>
      <x:c r="B152" t="inlineStr">
        <x:is>
          <x:t xml:space="preserve">ORG-01; PROMO-01</x:t>
        </x:is>
      </x:c>
      <x:c r="C152" t="inlineStr">
        <x:is>
          <x:t xml:space="preserve">F17/F20</x:t>
        </x:is>
      </x:c>
      <x:c r="D152" t="inlineStr">
        <x:is>
          <x:t xml:space="preserve">DOC-000</x:t>
        </x:is>
      </x:c>
      <x:c r="E152" t="inlineStr">
        <x:is>
          <x:t xml:space="preserve">Tổ chức ui-ux và cập nhật đường dẫn</x:t>
        </x:is>
      </x:c>
      <x:c r="F152" t="inlineStr">
        <x:is>
          <x:t xml:space="preserve">Đã cập nhật</x:t>
        </x:is>
      </x:c>
      <x:c r="G152" t="inlineStr">
        <x:is>
          <x:t xml:space="preserve">Có</x:t>
        </x:is>
      </x:c>
      <x:c r="H152" t="inlineStr">
        <x:is>
          <x:t xml:space="preserve">Codex</x:t>
        </x:is>
      </x:c>
      <x:c r="I152" s="30" t="n">
        <x:v>46288</x:v>
      </x:c>
      <x:c r="J152" t="inlineStr">
        <x:is>
          <x:t xml:space="preserve">13 đường dẫn chuyển giữ inode; tools/doc-registry/ui-ux-migration.json; README và nguồn DOC-055; ZIP v0.3 cùng ID</x:t>
        </x:is>
      </x:c>
      <x:c r="K152" t="inlineStr">
        <x:is>
          <x:t xml:space="preserve">Nội dung nghiệp vụ cũ không đổi. Ưu đãi chưa duyệt. Lịch sử nguyên trạng.</x:t>
        </x:is>
      </x:c>
      <x:c r="L152" t="str">
        <x:f>IF(AND(F152="Đã cập nhật",G152="Có",H152&lt;&gt;"",ISNUMBER(I152),J152&lt;&gt;""),"Hoàn tất","Chưa hoàn tất")</x:f>
        <x:v>Hoàn tất</x:v>
      </x:c>
    </x:row>
    <x:row r="153">
      <x:c r="A153" t="inlineStr">
        <x:is>
          <x:t xml:space="preserve">ORG-20260923</x:t>
        </x:is>
      </x:c>
      <x:c r="B153" t="inlineStr">
        <x:is>
          <x:t xml:space="preserve">ORG-01; PROMO-01</x:t>
        </x:is>
      </x:c>
      <x:c r="C153" t="inlineStr">
        <x:is>
          <x:t xml:space="preserve">F17/F20</x:t>
        </x:is>
      </x:c>
      <x:c r="D153" t="inlineStr">
        <x:is>
          <x:t xml:space="preserve">DOC-007</x:t>
        </x:is>
      </x:c>
      <x:c r="E153" t="inlineStr">
        <x:is>
          <x:t xml:space="preserve">Tổ chức ui-ux và cập nhật đường dẫn</x:t>
        </x:is>
      </x:c>
      <x:c r="F153" t="inlineStr">
        <x:is>
          <x:t xml:space="preserve">Đã cập nhật</x:t>
        </x:is>
      </x:c>
      <x:c r="G153" t="inlineStr">
        <x:is>
          <x:t xml:space="preserve">Có</x:t>
        </x:is>
      </x:c>
      <x:c r="H153" t="inlineStr">
        <x:is>
          <x:t xml:space="preserve">Codex</x:t>
        </x:is>
      </x:c>
      <x:c r="I153" s="30" t="n">
        <x:v>46288</x:v>
      </x:c>
      <x:c r="J153" t="inlineStr">
        <x:is>
          <x:t xml:space="preserve">13 đường dẫn chuyển giữ inode; tools/doc-registry/ui-ux-migration.json; README và nguồn DOC-055; ZIP v0.3 cùng ID</x:t>
        </x:is>
      </x:c>
      <x:c r="K153" t="inlineStr">
        <x:is>
          <x:t xml:space="preserve">Nội dung nghiệp vụ cũ không đổi. Ưu đãi chưa duyệt. Lịch sử nguyên trạng.</x:t>
        </x:is>
      </x:c>
      <x:c r="L153" t="str">
        <x:f>IF(AND(F153="Đã cập nhật",G153="Có",H153&lt;&gt;"",ISNUMBER(I153),J153&lt;&gt;""),"Hoàn tất","Chưa hoàn tất")</x:f>
        <x:v>Hoàn tất</x:v>
      </x:c>
    </x:row>
    <x:row r="154">
      <x:c r="A154" t="inlineStr">
        <x:is>
          <x:t xml:space="preserve">ORG-20260923</x:t>
        </x:is>
      </x:c>
      <x:c r="B154" t="inlineStr">
        <x:is>
          <x:t xml:space="preserve">ORG-01; PROMO-01</x:t>
        </x:is>
      </x:c>
      <x:c r="C154" t="inlineStr">
        <x:is>
          <x:t xml:space="preserve">F17/F20</x:t>
        </x:is>
      </x:c>
      <x:c r="D154" t="inlineStr">
        <x:is>
          <x:t xml:space="preserve">DOC-008</x:t>
        </x:is>
      </x:c>
      <x:c r="E154" t="inlineStr">
        <x:is>
          <x:t xml:space="preserve">Tổ chức ui-ux và cập nhật đường dẫn</x:t>
        </x:is>
      </x:c>
      <x:c r="F154" t="inlineStr">
        <x:is>
          <x:t xml:space="preserve">Đã cập nhật</x:t>
        </x:is>
      </x:c>
      <x:c r="G154" t="inlineStr">
        <x:is>
          <x:t xml:space="preserve">Có</x:t>
        </x:is>
      </x:c>
      <x:c r="H154" t="inlineStr">
        <x:is>
          <x:t xml:space="preserve">Codex</x:t>
        </x:is>
      </x:c>
      <x:c r="I154" s="30" t="n">
        <x:v>46288</x:v>
      </x:c>
      <x:c r="J154" t="inlineStr">
        <x:is>
          <x:t xml:space="preserve">13 đường dẫn chuyển giữ inode; tools/doc-registry/ui-ux-migration.json; README và nguồn DOC-055; ZIP v0.3 cùng ID</x:t>
        </x:is>
      </x:c>
      <x:c r="K154" t="inlineStr">
        <x:is>
          <x:t xml:space="preserve">Nội dung nghiệp vụ cũ không đổi. Ưu đãi chưa duyệt. Lịch sử nguyên trạng.</x:t>
        </x:is>
      </x:c>
      <x:c r="L154" t="str">
        <x:f>IF(AND(F154="Đã cập nhật",G154="Có",H154&lt;&gt;"",ISNUMBER(I154),J154&lt;&gt;""),"Hoàn tất","Chưa hoàn tất")</x:f>
        <x:v>Hoàn tất</x:v>
      </x:c>
    </x:row>
    <x:row r="155">
      <x:c r="A155" t="inlineStr">
        <x:is>
          <x:t xml:space="preserve">ORG-20260923</x:t>
        </x:is>
      </x:c>
      <x:c r="B155" t="inlineStr">
        <x:is>
          <x:t xml:space="preserve">ORG-01; PROMO-01</x:t>
        </x:is>
      </x:c>
      <x:c r="C155" t="inlineStr">
        <x:is>
          <x:t xml:space="preserve">F17/F20</x:t>
        </x:is>
      </x:c>
      <x:c r="D155" t="inlineStr">
        <x:is>
          <x:t xml:space="preserve">DOC-009</x:t>
        </x:is>
      </x:c>
      <x:c r="E155" t="inlineStr">
        <x:is>
          <x:t xml:space="preserve">Tổ chức ui-ux và cập nhật đường dẫn</x:t>
        </x:is>
      </x:c>
      <x:c r="F155" t="inlineStr">
        <x:is>
          <x:t xml:space="preserve">Đã cập nhật</x:t>
        </x:is>
      </x:c>
      <x:c r="G155" t="inlineStr">
        <x:is>
          <x:t xml:space="preserve">Có</x:t>
        </x:is>
      </x:c>
      <x:c r="H155" t="inlineStr">
        <x:is>
          <x:t xml:space="preserve">Codex</x:t>
        </x:is>
      </x:c>
      <x:c r="I155" s="30" t="n">
        <x:v>46288</x:v>
      </x:c>
      <x:c r="J155" t="inlineStr">
        <x:is>
          <x:t xml:space="preserve">13 đường dẫn chuyển giữ inode; tools/doc-registry/ui-ux-migration.json; README và nguồn DOC-055; ZIP v0.3 cùng ID</x:t>
        </x:is>
      </x:c>
      <x:c r="K155" t="inlineStr">
        <x:is>
          <x:t xml:space="preserve">Nội dung nghiệp vụ cũ không đổi. Ưu đãi chưa duyệt. Lịch sử nguyên trạng.</x:t>
        </x:is>
      </x:c>
      <x:c r="L155" t="str">
        <x:f>IF(AND(F155="Đã cập nhật",G155="Có",H155&lt;&gt;"",ISNUMBER(I155),J155&lt;&gt;""),"Hoàn tất","Chưa hoàn tất")</x:f>
        <x:v>Hoàn tất</x:v>
      </x:c>
    </x:row>
    <x:row r="156">
      <x:c r="A156" t="inlineStr">
        <x:is>
          <x:t xml:space="preserve">ORG-20260923</x:t>
        </x:is>
      </x:c>
      <x:c r="B156" t="inlineStr">
        <x:is>
          <x:t xml:space="preserve">ORG-01; PROMO-01</x:t>
        </x:is>
      </x:c>
      <x:c r="C156" t="inlineStr">
        <x:is>
          <x:t xml:space="preserve">F17/F20</x:t>
        </x:is>
      </x:c>
      <x:c r="D156" t="inlineStr">
        <x:is>
          <x:t xml:space="preserve">DOC-010</x:t>
        </x:is>
      </x:c>
      <x:c r="E156" t="inlineStr">
        <x:is>
          <x:t xml:space="preserve">Tổ chức ui-ux và cập nhật đường dẫn</x:t>
        </x:is>
      </x:c>
      <x:c r="F156" t="inlineStr">
        <x:is>
          <x:t xml:space="preserve">Đã cập nhật</x:t>
        </x:is>
      </x:c>
      <x:c r="G156" t="inlineStr">
        <x:is>
          <x:t xml:space="preserve">Có</x:t>
        </x:is>
      </x:c>
      <x:c r="H156" t="inlineStr">
        <x:is>
          <x:t xml:space="preserve">Codex</x:t>
        </x:is>
      </x:c>
      <x:c r="I156" s="30" t="n">
        <x:v>46288</x:v>
      </x:c>
      <x:c r="J156" t="inlineStr">
        <x:is>
          <x:t xml:space="preserve">13 đường dẫn chuyển giữ inode; tools/doc-registry/ui-ux-migration.json; README và nguồn DOC-055; ZIP v0.3 cùng ID</x:t>
        </x:is>
      </x:c>
      <x:c r="K156" t="inlineStr">
        <x:is>
          <x:t xml:space="preserve">Nội dung nghiệp vụ cũ không đổi. Ưu đãi chưa duyệt. Lịch sử nguyên trạng.</x:t>
        </x:is>
      </x:c>
      <x:c r="L156" t="str">
        <x:f>IF(AND(F156="Đã cập nhật",G156="Có",H156&lt;&gt;"",ISNUMBER(I156),J156&lt;&gt;""),"Hoàn tất","Chưa hoàn tất")</x:f>
        <x:v>Hoàn tất</x:v>
      </x:c>
    </x:row>
    <x:row r="157">
      <x:c r="A157" t="inlineStr">
        <x:is>
          <x:t xml:space="preserve">ORG-20260923</x:t>
        </x:is>
      </x:c>
      <x:c r="B157" t="inlineStr">
        <x:is>
          <x:t xml:space="preserve">ORG-01; PROMO-01</x:t>
        </x:is>
      </x:c>
      <x:c r="C157" t="inlineStr">
        <x:is>
          <x:t xml:space="preserve">F17/F20</x:t>
        </x:is>
      </x:c>
      <x:c r="D157" t="inlineStr">
        <x:is>
          <x:t xml:space="preserve">DOC-011</x:t>
        </x:is>
      </x:c>
      <x:c r="E157" t="inlineStr">
        <x:is>
          <x:t xml:space="preserve">Tổ chức ui-ux và cập nhật đường dẫn</x:t>
        </x:is>
      </x:c>
      <x:c r="F157" t="inlineStr">
        <x:is>
          <x:t xml:space="preserve">Đã cập nhật</x:t>
        </x:is>
      </x:c>
      <x:c r="G157" t="inlineStr">
        <x:is>
          <x:t xml:space="preserve">Có</x:t>
        </x:is>
      </x:c>
      <x:c r="H157" t="inlineStr">
        <x:is>
          <x:t xml:space="preserve">Codex</x:t>
        </x:is>
      </x:c>
      <x:c r="I157" s="30" t="n">
        <x:v>46288</x:v>
      </x:c>
      <x:c r="J157" t="inlineStr">
        <x:is>
          <x:t xml:space="preserve">13 đường dẫn chuyển giữ inode; tools/doc-registry/ui-ux-migration.json; README và nguồn DOC-055; ZIP v0.3 cùng ID</x:t>
        </x:is>
      </x:c>
      <x:c r="K157" t="inlineStr">
        <x:is>
          <x:t xml:space="preserve">Nội dung nghiệp vụ cũ không đổi. Ưu đãi chưa duyệt. Lịch sử nguyên trạng.</x:t>
        </x:is>
      </x:c>
      <x:c r="L157" t="str">
        <x:f>IF(AND(F157="Đã cập nhật",G157="Có",H157&lt;&gt;"",ISNUMBER(I157),J157&lt;&gt;""),"Hoàn tất","Chưa hoàn tất")</x:f>
        <x:v>Hoàn tất</x:v>
      </x:c>
    </x:row>
    <x:row r="158">
      <x:c r="A158" t="inlineStr">
        <x:is>
          <x:t xml:space="preserve">ORG-20260923</x:t>
        </x:is>
      </x:c>
      <x:c r="B158" t="inlineStr">
        <x:is>
          <x:t xml:space="preserve">ORG-01; PROMO-01</x:t>
        </x:is>
      </x:c>
      <x:c r="C158" t="inlineStr">
        <x:is>
          <x:t xml:space="preserve">F17/F20</x:t>
        </x:is>
      </x:c>
      <x:c r="D158" t="inlineStr">
        <x:is>
          <x:t xml:space="preserve">DOC-012</x:t>
        </x:is>
      </x:c>
      <x:c r="E158" t="inlineStr">
        <x:is>
          <x:t xml:space="preserve">Tổ chức ui-ux và cập nhật đường dẫn</x:t>
        </x:is>
      </x:c>
      <x:c r="F158" t="inlineStr">
        <x:is>
          <x:t xml:space="preserve">Đã cập nhật</x:t>
        </x:is>
      </x:c>
      <x:c r="G158" t="inlineStr">
        <x:is>
          <x:t xml:space="preserve">Có</x:t>
        </x:is>
      </x:c>
      <x:c r="H158" t="inlineStr">
        <x:is>
          <x:t xml:space="preserve">Codex</x:t>
        </x:is>
      </x:c>
      <x:c r="I158" s="30" t="n">
        <x:v>46288</x:v>
      </x:c>
      <x:c r="J158" t="inlineStr">
        <x:is>
          <x:t xml:space="preserve">13 đường dẫn chuyển giữ inode; tools/doc-registry/ui-ux-migration.json; README và nguồn DOC-055; ZIP v0.3 cùng ID</x:t>
        </x:is>
      </x:c>
      <x:c r="K158" t="inlineStr">
        <x:is>
          <x:t xml:space="preserve">Nội dung nghiệp vụ cũ không đổi. Ưu đãi chưa duyệt. Lịch sử nguyên trạng.</x:t>
        </x:is>
      </x:c>
      <x:c r="L158" t="str">
        <x:f>IF(AND(F158="Đã cập nhật",G158="Có",H158&lt;&gt;"",ISNUMBER(I158),J158&lt;&gt;""),"Hoàn tất","Chưa hoàn tất")</x:f>
        <x:v>Hoàn tất</x:v>
      </x:c>
    </x:row>
    <x:row r="159">
      <x:c r="A159" t="inlineStr">
        <x:is>
          <x:t xml:space="preserve">ORG-20260923</x:t>
        </x:is>
      </x:c>
      <x:c r="B159" t="inlineStr">
        <x:is>
          <x:t xml:space="preserve">ORG-01; PROMO-01</x:t>
        </x:is>
      </x:c>
      <x:c r="C159" t="inlineStr">
        <x:is>
          <x:t xml:space="preserve">F17/F20</x:t>
        </x:is>
      </x:c>
      <x:c r="D159" t="inlineStr">
        <x:is>
          <x:t xml:space="preserve">DOC-013</x:t>
        </x:is>
      </x:c>
      <x:c r="E159" t="inlineStr">
        <x:is>
          <x:t xml:space="preserve">Tổ chức ui-ux và cập nhật đường dẫn</x:t>
        </x:is>
      </x:c>
      <x:c r="F159" t="inlineStr">
        <x:is>
          <x:t xml:space="preserve">Đã cập nhật</x:t>
        </x:is>
      </x:c>
      <x:c r="G159" t="inlineStr">
        <x:is>
          <x:t xml:space="preserve">Có</x:t>
        </x:is>
      </x:c>
      <x:c r="H159" t="inlineStr">
        <x:is>
          <x:t xml:space="preserve">Codex</x:t>
        </x:is>
      </x:c>
      <x:c r="I159" s="30" t="n">
        <x:v>46288</x:v>
      </x:c>
      <x:c r="J159" t="inlineStr">
        <x:is>
          <x:t xml:space="preserve">13 đường dẫn chuyển giữ inode; tools/doc-registry/ui-ux-migration.json; README và nguồn DOC-055; ZIP v0.3 cùng ID</x:t>
        </x:is>
      </x:c>
      <x:c r="K159" t="inlineStr">
        <x:is>
          <x:t xml:space="preserve">Nội dung nghiệp vụ cũ không đổi. Ưu đãi chưa duyệt. Lịch sử nguyên trạng.</x:t>
        </x:is>
      </x:c>
      <x:c r="L159" t="str">
        <x:f>IF(AND(F159="Đã cập nhật",G159="Có",H159&lt;&gt;"",ISNUMBER(I159),J159&lt;&gt;""),"Hoàn tất","Chưa hoàn tất")</x:f>
        <x:v>Hoàn tất</x:v>
      </x:c>
    </x:row>
    <x:row r="160">
      <x:c r="A160" t="inlineStr">
        <x:is>
          <x:t xml:space="preserve">ORG-20260923</x:t>
        </x:is>
      </x:c>
      <x:c r="B160" t="inlineStr">
        <x:is>
          <x:t xml:space="preserve">ORG-01; PROMO-01</x:t>
        </x:is>
      </x:c>
      <x:c r="C160" t="inlineStr">
        <x:is>
          <x:t xml:space="preserve">F17/F20</x:t>
        </x:is>
      </x:c>
      <x:c r="D160" t="inlineStr">
        <x:is>
          <x:t xml:space="preserve">DOC-014</x:t>
        </x:is>
      </x:c>
      <x:c r="E160" t="inlineStr">
        <x:is>
          <x:t xml:space="preserve">Tổ chức ui-ux và cập nhật đường dẫn</x:t>
        </x:is>
      </x:c>
      <x:c r="F160" t="inlineStr">
        <x:is>
          <x:t xml:space="preserve">Đã cập nhật</x:t>
        </x:is>
      </x:c>
      <x:c r="G160" t="inlineStr">
        <x:is>
          <x:t xml:space="preserve">Có</x:t>
        </x:is>
      </x:c>
      <x:c r="H160" t="inlineStr">
        <x:is>
          <x:t xml:space="preserve">Codex</x:t>
        </x:is>
      </x:c>
      <x:c r="I160" s="30" t="n">
        <x:v>46288</x:v>
      </x:c>
      <x:c r="J160" t="inlineStr">
        <x:is>
          <x:t xml:space="preserve">13 đường dẫn chuyển giữ inode; tools/doc-registry/ui-ux-migration.json; README và nguồn DOC-055; ZIP v0.3 cùng ID</x:t>
        </x:is>
      </x:c>
      <x:c r="K160" t="inlineStr">
        <x:is>
          <x:t xml:space="preserve">Nội dung nghiệp vụ cũ không đổi. Ưu đãi chưa duyệt. Lịch sử nguyên trạng.</x:t>
        </x:is>
      </x:c>
      <x:c r="L160" t="str">
        <x:f>IF(AND(F160="Đã cập nhật",G160="Có",H160&lt;&gt;"",ISNUMBER(I160),J160&lt;&gt;""),"Hoàn tất","Chưa hoàn tất")</x:f>
        <x:v>Hoàn tất</x:v>
      </x:c>
    </x:row>
    <x:row r="161">
      <x:c r="A161" t="inlineStr">
        <x:is>
          <x:t xml:space="preserve">ORG-20260923</x:t>
        </x:is>
      </x:c>
      <x:c r="B161" t="inlineStr">
        <x:is>
          <x:t xml:space="preserve">ORG-01; PROMO-01</x:t>
        </x:is>
      </x:c>
      <x:c r="C161" t="inlineStr">
        <x:is>
          <x:t xml:space="preserve">F17/F20</x:t>
        </x:is>
      </x:c>
      <x:c r="D161" t="inlineStr">
        <x:is>
          <x:t xml:space="preserve">DOC-015</x:t>
        </x:is>
      </x:c>
      <x:c r="E161" t="inlineStr">
        <x:is>
          <x:t xml:space="preserve">Tổ chức ui-ux và cập nhật đường dẫn</x:t>
        </x:is>
      </x:c>
      <x:c r="F161" t="inlineStr">
        <x:is>
          <x:t xml:space="preserve">Đã cập nhật</x:t>
        </x:is>
      </x:c>
      <x:c r="G161" t="inlineStr">
        <x:is>
          <x:t xml:space="preserve">Có</x:t>
        </x:is>
      </x:c>
      <x:c r="H161" t="inlineStr">
        <x:is>
          <x:t xml:space="preserve">Codex</x:t>
        </x:is>
      </x:c>
      <x:c r="I161" s="30" t="n">
        <x:v>46288</x:v>
      </x:c>
      <x:c r="J161" t="inlineStr">
        <x:is>
          <x:t xml:space="preserve">13 đường dẫn chuyển giữ inode; tools/doc-registry/ui-ux-migration.json; README và nguồn DOC-055; ZIP v0.3 cùng ID</x:t>
        </x:is>
      </x:c>
      <x:c r="K161" t="inlineStr">
        <x:is>
          <x:t xml:space="preserve">Nội dung nghiệp vụ cũ không đổi. Ưu đãi chưa duyệt. Lịch sử nguyên trạng.</x:t>
        </x:is>
      </x:c>
      <x:c r="L161" t="str">
        <x:f>IF(AND(F161="Đã cập nhật",G161="Có",H161&lt;&gt;"",ISNUMBER(I161),J161&lt;&gt;""),"Hoàn tất","Chưa hoàn tất")</x:f>
        <x:v>Hoàn tất</x:v>
      </x:c>
    </x:row>
    <x:row r="162">
      <x:c r="A162" t="inlineStr">
        <x:is>
          <x:t xml:space="preserve">ORG-20260923</x:t>
        </x:is>
      </x:c>
      <x:c r="B162" t="inlineStr">
        <x:is>
          <x:t xml:space="preserve">ORG-01; PROMO-01</x:t>
        </x:is>
      </x:c>
      <x:c r="C162" t="inlineStr">
        <x:is>
          <x:t xml:space="preserve">F17/F20</x:t>
        </x:is>
      </x:c>
      <x:c r="D162" t="inlineStr">
        <x:is>
          <x:t xml:space="preserve">DOC-016</x:t>
        </x:is>
      </x:c>
      <x:c r="E162" t="inlineStr">
        <x:is>
          <x:t xml:space="preserve">Tổ chức ui-ux và cập nhật đường dẫn</x:t>
        </x:is>
      </x:c>
      <x:c r="F162" t="inlineStr">
        <x:is>
          <x:t xml:space="preserve">Đã cập nhật</x:t>
        </x:is>
      </x:c>
      <x:c r="G162" t="inlineStr">
        <x:is>
          <x:t xml:space="preserve">Có</x:t>
        </x:is>
      </x:c>
      <x:c r="H162" t="inlineStr">
        <x:is>
          <x:t xml:space="preserve">Codex</x:t>
        </x:is>
      </x:c>
      <x:c r="I162" s="30" t="n">
        <x:v>46288</x:v>
      </x:c>
      <x:c r="J162" t="inlineStr">
        <x:is>
          <x:t xml:space="preserve">13 đường dẫn chuyển giữ inode; tools/doc-registry/ui-ux-migration.json; README và nguồn DOC-055; ZIP v0.3 cùng ID</x:t>
        </x:is>
      </x:c>
      <x:c r="K162" t="inlineStr">
        <x:is>
          <x:t xml:space="preserve">Nội dung nghiệp vụ cũ không đổi. Ưu đãi chưa duyệt. Lịch sử nguyên trạng.</x:t>
        </x:is>
      </x:c>
      <x:c r="L162" t="str">
        <x:f>IF(AND(F162="Đã cập nhật",G162="Có",H162&lt;&gt;"",ISNUMBER(I162),J162&lt;&gt;""),"Hoàn tất","Chưa hoàn tất")</x:f>
        <x:v>Hoàn tất</x:v>
      </x:c>
    </x:row>
    <x:row r="163">
      <x:c r="A163" t="inlineStr">
        <x:is>
          <x:t xml:space="preserve">ORG-20260923</x:t>
        </x:is>
      </x:c>
      <x:c r="B163" t="inlineStr">
        <x:is>
          <x:t xml:space="preserve">ORG-01; PROMO-01</x:t>
        </x:is>
      </x:c>
      <x:c r="C163" t="inlineStr">
        <x:is>
          <x:t xml:space="preserve">F17/F20</x:t>
        </x:is>
      </x:c>
      <x:c r="D163" t="inlineStr">
        <x:is>
          <x:t xml:space="preserve">DOC-017</x:t>
        </x:is>
      </x:c>
      <x:c r="E163" t="inlineStr">
        <x:is>
          <x:t xml:space="preserve">Tổ chức ui-ux và cập nhật đường dẫn</x:t>
        </x:is>
      </x:c>
      <x:c r="F163" t="inlineStr">
        <x:is>
          <x:t xml:space="preserve">Đã cập nhật</x:t>
        </x:is>
      </x:c>
      <x:c r="G163" t="inlineStr">
        <x:is>
          <x:t xml:space="preserve">Có</x:t>
        </x:is>
      </x:c>
      <x:c r="H163" t="inlineStr">
        <x:is>
          <x:t xml:space="preserve">Codex</x:t>
        </x:is>
      </x:c>
      <x:c r="I163" s="30" t="n">
        <x:v>46288</x:v>
      </x:c>
      <x:c r="J163" t="inlineStr">
        <x:is>
          <x:t xml:space="preserve">13 đường dẫn chuyển giữ inode; tools/doc-registry/ui-ux-migration.json; README và nguồn DOC-055; ZIP v0.3 cùng ID</x:t>
        </x:is>
      </x:c>
      <x:c r="K163" t="inlineStr">
        <x:is>
          <x:t xml:space="preserve">Nội dung nghiệp vụ cũ không đổi. Ưu đãi chưa duyệt. Lịch sử nguyên trạng.</x:t>
        </x:is>
      </x:c>
      <x:c r="L163" t="str">
        <x:f>IF(AND(F163="Đã cập nhật",G163="Có",H163&lt;&gt;"",ISNUMBER(I163),J163&lt;&gt;""),"Hoàn tất","Chưa hoàn tất")</x:f>
        <x:v>Hoàn tất</x:v>
      </x:c>
    </x:row>
    <x:row r="164">
      <x:c r="A164" t="inlineStr">
        <x:is>
          <x:t xml:space="preserve">ORG-20260923</x:t>
        </x:is>
      </x:c>
      <x:c r="B164" t="inlineStr">
        <x:is>
          <x:t xml:space="preserve">ORG-01; PROMO-01</x:t>
        </x:is>
      </x:c>
      <x:c r="C164" t="inlineStr">
        <x:is>
          <x:t xml:space="preserve">F17/F20</x:t>
        </x:is>
      </x:c>
      <x:c r="D164" t="inlineStr">
        <x:is>
          <x:t xml:space="preserve">DOC-018</x:t>
        </x:is>
      </x:c>
      <x:c r="E164" t="inlineStr">
        <x:is>
          <x:t xml:space="preserve">Tổ chức ui-ux và cập nhật đường dẫn</x:t>
        </x:is>
      </x:c>
      <x:c r="F164" t="inlineStr">
        <x:is>
          <x:t xml:space="preserve">Đã cập nhật</x:t>
        </x:is>
      </x:c>
      <x:c r="G164" t="inlineStr">
        <x:is>
          <x:t xml:space="preserve">Có</x:t>
        </x:is>
      </x:c>
      <x:c r="H164" t="inlineStr">
        <x:is>
          <x:t xml:space="preserve">Codex</x:t>
        </x:is>
      </x:c>
      <x:c r="I164" s="30" t="n">
        <x:v>46288</x:v>
      </x:c>
      <x:c r="J164" t="inlineStr">
        <x:is>
          <x:t xml:space="preserve">13 đường dẫn chuyển giữ inode; tools/doc-registry/ui-ux-migration.json; README và nguồn DOC-055; ZIP v0.3 cùng ID</x:t>
        </x:is>
      </x:c>
      <x:c r="K164" t="inlineStr">
        <x:is>
          <x:t xml:space="preserve">Nội dung nghiệp vụ cũ không đổi. Ưu đãi chưa duyệt. Lịch sử nguyên trạng.</x:t>
        </x:is>
      </x:c>
      <x:c r="L164" t="str">
        <x:f>IF(AND(F164="Đã cập nhật",G164="Có",H164&lt;&gt;"",ISNUMBER(I164),J164&lt;&gt;""),"Hoàn tất","Chưa hoàn tất")</x:f>
        <x:v>Hoàn tất</x:v>
      </x:c>
    </x:row>
    <x:row r="165">
      <x:c r="A165" t="inlineStr">
        <x:is>
          <x:t xml:space="preserve">ORG-20260923</x:t>
        </x:is>
      </x:c>
      <x:c r="B165" t="inlineStr">
        <x:is>
          <x:t xml:space="preserve">ORG-01; PROMO-01</x:t>
        </x:is>
      </x:c>
      <x:c r="C165" t="inlineStr">
        <x:is>
          <x:t xml:space="preserve">F17/F20</x:t>
        </x:is>
      </x:c>
      <x:c r="D165" t="inlineStr">
        <x:is>
          <x:t xml:space="preserve">DOC-019</x:t>
        </x:is>
      </x:c>
      <x:c r="E165" t="inlineStr">
        <x:is>
          <x:t xml:space="preserve">Tổ chức ui-ux và cập nhật đường dẫn</x:t>
        </x:is>
      </x:c>
      <x:c r="F165" t="inlineStr">
        <x:is>
          <x:t xml:space="preserve">Đã cập nhật</x:t>
        </x:is>
      </x:c>
      <x:c r="G165" t="inlineStr">
        <x:is>
          <x:t xml:space="preserve">Có</x:t>
        </x:is>
      </x:c>
      <x:c r="H165" t="inlineStr">
        <x:is>
          <x:t xml:space="preserve">Codex</x:t>
        </x:is>
      </x:c>
      <x:c r="I165" s="30" t="n">
        <x:v>46288</x:v>
      </x:c>
      <x:c r="J165" t="inlineStr">
        <x:is>
          <x:t xml:space="preserve">13 đường dẫn chuyển giữ inode; tools/doc-registry/ui-ux-migration.json; README và nguồn DOC-055; ZIP v0.3 cùng ID</x:t>
        </x:is>
      </x:c>
      <x:c r="K165" t="inlineStr">
        <x:is>
          <x:t xml:space="preserve">Nội dung nghiệp vụ cũ không đổi. Ưu đãi chưa duyệt. Lịch sử nguyên trạng.</x:t>
        </x:is>
      </x:c>
      <x:c r="L165" t="str">
        <x:f>IF(AND(F165="Đã cập nhật",G165="Có",H165&lt;&gt;"",ISNUMBER(I165),J165&lt;&gt;""),"Hoàn tất","Chưa hoàn tất")</x:f>
        <x:v>Hoàn tất</x:v>
      </x:c>
    </x:row>
    <x:row r="166">
      <x:c r="A166" t="inlineStr">
        <x:is>
          <x:t xml:space="preserve">ORG-20260923</x:t>
        </x:is>
      </x:c>
      <x:c r="B166" t="inlineStr">
        <x:is>
          <x:t xml:space="preserve">ORG-01; PROMO-01</x:t>
        </x:is>
      </x:c>
      <x:c r="C166" t="inlineStr">
        <x:is>
          <x:t xml:space="preserve">F17/F20</x:t>
        </x:is>
      </x:c>
      <x:c r="D166" t="inlineStr">
        <x:is>
          <x:t xml:space="preserve">DOC-020</x:t>
        </x:is>
      </x:c>
      <x:c r="E166" t="inlineStr">
        <x:is>
          <x:t xml:space="preserve">Tổ chức ui-ux và cập nhật đường dẫn</x:t>
        </x:is>
      </x:c>
      <x:c r="F166" t="inlineStr">
        <x:is>
          <x:t xml:space="preserve">Đã cập nhật</x:t>
        </x:is>
      </x:c>
      <x:c r="G166" t="inlineStr">
        <x:is>
          <x:t xml:space="preserve">Có</x:t>
        </x:is>
      </x:c>
      <x:c r="H166" t="inlineStr">
        <x:is>
          <x:t xml:space="preserve">Codex</x:t>
        </x:is>
      </x:c>
      <x:c r="I166" s="30" t="n">
        <x:v>46288</x:v>
      </x:c>
      <x:c r="J166" t="inlineStr">
        <x:is>
          <x:t xml:space="preserve">13 đường dẫn chuyển giữ inode; tools/doc-registry/ui-ux-migration.json; README và nguồn DOC-055; ZIP v0.3 cùng ID</x:t>
        </x:is>
      </x:c>
      <x:c r="K166" t="inlineStr">
        <x:is>
          <x:t xml:space="preserve">Nội dung nghiệp vụ cũ không đổi. Ưu đãi chưa duyệt. Lịch sử nguyên trạng.</x:t>
        </x:is>
      </x:c>
      <x:c r="L166" t="str">
        <x:f>IF(AND(F166="Đã cập nhật",G166="Có",H166&lt;&gt;"",ISNUMBER(I166),J166&lt;&gt;""),"Hoàn tất","Chưa hoàn tất")</x:f>
        <x:v>Hoàn tất</x:v>
      </x:c>
    </x:row>
    <x:row r="167">
      <x:c r="A167" t="inlineStr">
        <x:is>
          <x:t xml:space="preserve">ORG-20260923</x:t>
        </x:is>
      </x:c>
      <x:c r="B167" t="inlineStr">
        <x:is>
          <x:t xml:space="preserve">ORG-01; PROMO-01</x:t>
        </x:is>
      </x:c>
      <x:c r="C167" t="inlineStr">
        <x:is>
          <x:t xml:space="preserve">F17/F20</x:t>
        </x:is>
      </x:c>
      <x:c r="D167" t="inlineStr">
        <x:is>
          <x:t xml:space="preserve">DOC-021</x:t>
        </x:is>
      </x:c>
      <x:c r="E167" t="inlineStr">
        <x:is>
          <x:t xml:space="preserve">Tổ chức ui-ux và cập nhật đường dẫn</x:t>
        </x:is>
      </x:c>
      <x:c r="F167" t="inlineStr">
        <x:is>
          <x:t xml:space="preserve">Đã cập nhật</x:t>
        </x:is>
      </x:c>
      <x:c r="G167" t="inlineStr">
        <x:is>
          <x:t xml:space="preserve">Có</x:t>
        </x:is>
      </x:c>
      <x:c r="H167" t="inlineStr">
        <x:is>
          <x:t xml:space="preserve">Codex</x:t>
        </x:is>
      </x:c>
      <x:c r="I167" s="30" t="n">
        <x:v>46288</x:v>
      </x:c>
      <x:c r="J167" t="inlineStr">
        <x:is>
          <x:t xml:space="preserve">13 đường dẫn chuyển giữ inode; tools/doc-registry/ui-ux-migration.json; README và nguồn DOC-055; ZIP v0.3 cùng ID</x:t>
        </x:is>
      </x:c>
      <x:c r="K167" t="inlineStr">
        <x:is>
          <x:t xml:space="preserve">Nội dung nghiệp vụ cũ không đổi. Ưu đãi chưa duyệt. Lịch sử nguyên trạng.</x:t>
        </x:is>
      </x:c>
      <x:c r="L167" t="str">
        <x:f>IF(AND(F167="Đã cập nhật",G167="Có",H167&lt;&gt;"",ISNUMBER(I167),J167&lt;&gt;""),"Hoàn tất","Chưa hoàn tất")</x:f>
        <x:v>Hoàn tất</x:v>
      </x:c>
    </x:row>
    <x:row r="168">
      <x:c r="A168" t="inlineStr">
        <x:is>
          <x:t xml:space="preserve">ORG-20260923</x:t>
        </x:is>
      </x:c>
      <x:c r="B168" t="inlineStr">
        <x:is>
          <x:t xml:space="preserve">ORG-01; PROMO-01</x:t>
        </x:is>
      </x:c>
      <x:c r="C168" t="inlineStr">
        <x:is>
          <x:t xml:space="preserve">F17/F20</x:t>
        </x:is>
      </x:c>
      <x:c r="D168" t="inlineStr">
        <x:is>
          <x:t xml:space="preserve">DOC-022</x:t>
        </x:is>
      </x:c>
      <x:c r="E168" t="inlineStr">
        <x:is>
          <x:t xml:space="preserve">Tổ chức ui-ux và cập nhật đường dẫn</x:t>
        </x:is>
      </x:c>
      <x:c r="F168" t="inlineStr">
        <x:is>
          <x:t xml:space="preserve">Đã cập nhật</x:t>
        </x:is>
      </x:c>
      <x:c r="G168" t="inlineStr">
        <x:is>
          <x:t xml:space="preserve">Có</x:t>
        </x:is>
      </x:c>
      <x:c r="H168" t="inlineStr">
        <x:is>
          <x:t xml:space="preserve">Codex</x:t>
        </x:is>
      </x:c>
      <x:c r="I168" s="30" t="n">
        <x:v>46288</x:v>
      </x:c>
      <x:c r="J168" t="inlineStr">
        <x:is>
          <x:t xml:space="preserve">13 đường dẫn chuyển giữ inode; tools/doc-registry/ui-ux-migration.json; README và nguồn DOC-055; ZIP v0.3 cùng ID</x:t>
        </x:is>
      </x:c>
      <x:c r="K168" t="inlineStr">
        <x:is>
          <x:t xml:space="preserve">Nội dung nghiệp vụ cũ không đổi. Ưu đãi chưa duyệt. Lịch sử nguyên trạng.</x:t>
        </x:is>
      </x:c>
      <x:c r="L168" t="str">
        <x:f>IF(AND(F168="Đã cập nhật",G168="Có",H168&lt;&gt;"",ISNUMBER(I168),J168&lt;&gt;""),"Hoàn tất","Chưa hoàn tất")</x:f>
        <x:v>Hoàn tất</x:v>
      </x:c>
    </x:row>
    <x:row r="169">
      <x:c r="A169" t="inlineStr">
        <x:is>
          <x:t xml:space="preserve">ORG-20260923</x:t>
        </x:is>
      </x:c>
      <x:c r="B169" t="inlineStr">
        <x:is>
          <x:t xml:space="preserve">ORG-01; PROMO-01</x:t>
        </x:is>
      </x:c>
      <x:c r="C169" t="inlineStr">
        <x:is>
          <x:t xml:space="preserve">F17/F20</x:t>
        </x:is>
      </x:c>
      <x:c r="D169" t="inlineStr">
        <x:is>
          <x:t xml:space="preserve">DOC-023</x:t>
        </x:is>
      </x:c>
      <x:c r="E169" t="inlineStr">
        <x:is>
          <x:t xml:space="preserve">Tổ chức ui-ux và cập nhật đường dẫn</x:t>
        </x:is>
      </x:c>
      <x:c r="F169" t="inlineStr">
        <x:is>
          <x:t xml:space="preserve">Đã cập nhật</x:t>
        </x:is>
      </x:c>
      <x:c r="G169" t="inlineStr">
        <x:is>
          <x:t xml:space="preserve">Có</x:t>
        </x:is>
      </x:c>
      <x:c r="H169" t="inlineStr">
        <x:is>
          <x:t xml:space="preserve">Codex</x:t>
        </x:is>
      </x:c>
      <x:c r="I169" s="30" t="n">
        <x:v>46288</x:v>
      </x:c>
      <x:c r="J169" t="inlineStr">
        <x:is>
          <x:t xml:space="preserve">13 đường dẫn chuyển giữ inode; tools/doc-registry/ui-ux-migration.json; README và nguồn DOC-055; ZIP v0.3 cùng ID</x:t>
        </x:is>
      </x:c>
      <x:c r="K169" t="inlineStr">
        <x:is>
          <x:t xml:space="preserve">Nội dung nghiệp vụ cũ không đổi. Ưu đãi chưa duyệt. Lịch sử nguyên trạng.</x:t>
        </x:is>
      </x:c>
      <x:c r="L169" t="str">
        <x:f>IF(AND(F169="Đã cập nhật",G169="Có",H169&lt;&gt;"",ISNUMBER(I169),J169&lt;&gt;""),"Hoàn tất","Chưa hoàn tất")</x:f>
        <x:v>Hoàn tất</x:v>
      </x:c>
    </x:row>
    <x:row r="170">
      <x:c r="A170" t="inlineStr">
        <x:is>
          <x:t xml:space="preserve">ORG-20260923</x:t>
        </x:is>
      </x:c>
      <x:c r="B170" t="inlineStr">
        <x:is>
          <x:t xml:space="preserve">ORG-01; PROMO-01</x:t>
        </x:is>
      </x:c>
      <x:c r="C170" t="inlineStr">
        <x:is>
          <x:t xml:space="preserve">F17/F20</x:t>
        </x:is>
      </x:c>
      <x:c r="D170" t="inlineStr">
        <x:is>
          <x:t xml:space="preserve">DOC-024</x:t>
        </x:is>
      </x:c>
      <x:c r="E170" t="inlineStr">
        <x:is>
          <x:t xml:space="preserve">Tổ chức ui-ux và cập nhật đường dẫn</x:t>
        </x:is>
      </x:c>
      <x:c r="F170" t="inlineStr">
        <x:is>
          <x:t xml:space="preserve">Đã cập nhật</x:t>
        </x:is>
      </x:c>
      <x:c r="G170" t="inlineStr">
        <x:is>
          <x:t xml:space="preserve">Có</x:t>
        </x:is>
      </x:c>
      <x:c r="H170" t="inlineStr">
        <x:is>
          <x:t xml:space="preserve">Codex</x:t>
        </x:is>
      </x:c>
      <x:c r="I170" s="30" t="n">
        <x:v>46288</x:v>
      </x:c>
      <x:c r="J170" t="inlineStr">
        <x:is>
          <x:t xml:space="preserve">13 đường dẫn chuyển giữ inode; tools/doc-registry/ui-ux-migration.json; README và nguồn DOC-055; ZIP v0.3 cùng ID</x:t>
        </x:is>
      </x:c>
      <x:c r="K170" t="inlineStr">
        <x:is>
          <x:t xml:space="preserve">Nội dung nghiệp vụ cũ không đổi. Ưu đãi chưa duyệt. Lịch sử nguyên trạng.</x:t>
        </x:is>
      </x:c>
      <x:c r="L170" t="str">
        <x:f>IF(AND(F170="Đã cập nhật",G170="Có",H170&lt;&gt;"",ISNUMBER(I170),J170&lt;&gt;""),"Hoàn tất","Chưa hoàn tất")</x:f>
        <x:v>Hoàn tất</x:v>
      </x:c>
    </x:row>
    <x:row r="171">
      <x:c r="A171" t="inlineStr">
        <x:is>
          <x:t xml:space="preserve">ORG-20260923</x:t>
        </x:is>
      </x:c>
      <x:c r="B171" t="inlineStr">
        <x:is>
          <x:t xml:space="preserve">ORG-01; PROMO-01</x:t>
        </x:is>
      </x:c>
      <x:c r="C171" t="inlineStr">
        <x:is>
          <x:t xml:space="preserve">F17/F20</x:t>
        </x:is>
      </x:c>
      <x:c r="D171" t="inlineStr">
        <x:is>
          <x:t xml:space="preserve">DOC-025</x:t>
        </x:is>
      </x:c>
      <x:c r="E171" t="inlineStr">
        <x:is>
          <x:t xml:space="preserve">Tổ chức ui-ux và cập nhật đường dẫn</x:t>
        </x:is>
      </x:c>
      <x:c r="F171" t="inlineStr">
        <x:is>
          <x:t xml:space="preserve">Đã cập nhật</x:t>
        </x:is>
      </x:c>
      <x:c r="G171" t="inlineStr">
        <x:is>
          <x:t xml:space="preserve">Có</x:t>
        </x:is>
      </x:c>
      <x:c r="H171" t="inlineStr">
        <x:is>
          <x:t xml:space="preserve">Codex</x:t>
        </x:is>
      </x:c>
      <x:c r="I171" s="30" t="n">
        <x:v>46288</x:v>
      </x:c>
      <x:c r="J171" t="inlineStr">
        <x:is>
          <x:t xml:space="preserve">13 đường dẫn chuyển giữ inode; tools/doc-registry/ui-ux-migration.json; README và nguồn DOC-055; ZIP v0.3 cùng ID</x:t>
        </x:is>
      </x:c>
      <x:c r="K171" t="inlineStr">
        <x:is>
          <x:t xml:space="preserve">Nội dung nghiệp vụ cũ không đổi. Ưu đãi chưa duyệt. Lịch sử nguyên trạng.</x:t>
        </x:is>
      </x:c>
      <x:c r="L171" t="str">
        <x:f>IF(AND(F171="Đã cập nhật",G171="Có",H171&lt;&gt;"",ISNUMBER(I171),J171&lt;&gt;""),"Hoàn tất","Chưa hoàn tất")</x:f>
        <x:v>Hoàn tất</x:v>
      </x:c>
    </x:row>
    <x:row r="172">
      <x:c r="A172" t="inlineStr">
        <x:is>
          <x:t xml:space="preserve">ORG-20260923</x:t>
        </x:is>
      </x:c>
      <x:c r="B172" t="inlineStr">
        <x:is>
          <x:t xml:space="preserve">ORG-01; PROMO-01</x:t>
        </x:is>
      </x:c>
      <x:c r="C172" t="inlineStr">
        <x:is>
          <x:t xml:space="preserve">F17/F20</x:t>
        </x:is>
      </x:c>
      <x:c r="D172" t="inlineStr">
        <x:is>
          <x:t xml:space="preserve">DOC-026</x:t>
        </x:is>
      </x:c>
      <x:c r="E172" t="inlineStr">
        <x:is>
          <x:t xml:space="preserve">Tổ chức ui-ux và cập nhật đường dẫn</x:t>
        </x:is>
      </x:c>
      <x:c r="F172" t="inlineStr">
        <x:is>
          <x:t xml:space="preserve">Đã cập nhật</x:t>
        </x:is>
      </x:c>
      <x:c r="G172" t="inlineStr">
        <x:is>
          <x:t xml:space="preserve">Có</x:t>
        </x:is>
      </x:c>
      <x:c r="H172" t="inlineStr">
        <x:is>
          <x:t xml:space="preserve">Codex</x:t>
        </x:is>
      </x:c>
      <x:c r="I172" s="30" t="n">
        <x:v>46288</x:v>
      </x:c>
      <x:c r="J172" t="inlineStr">
        <x:is>
          <x:t xml:space="preserve">13 đường dẫn chuyển giữ inode; tools/doc-registry/ui-ux-migration.json; README và nguồn DOC-055; ZIP v0.3 cùng ID</x:t>
        </x:is>
      </x:c>
      <x:c r="K172" t="inlineStr">
        <x:is>
          <x:t xml:space="preserve">Nội dung nghiệp vụ cũ không đổi. Ưu đãi chưa duyệt. Lịch sử nguyên trạng.</x:t>
        </x:is>
      </x:c>
      <x:c r="L172" t="str">
        <x:f>IF(AND(F172="Đã cập nhật",G172="Có",H172&lt;&gt;"",ISNUMBER(I172),J172&lt;&gt;""),"Hoàn tất","Chưa hoàn tất")</x:f>
        <x:v>Hoàn tất</x:v>
      </x:c>
    </x:row>
    <x:row r="173">
      <x:c r="A173" t="inlineStr">
        <x:is>
          <x:t xml:space="preserve">ORG-20260923</x:t>
        </x:is>
      </x:c>
      <x:c r="B173" t="inlineStr">
        <x:is>
          <x:t xml:space="preserve">ORG-01; PROMO-01</x:t>
        </x:is>
      </x:c>
      <x:c r="C173" t="inlineStr">
        <x:is>
          <x:t xml:space="preserve">F17/F20</x:t>
        </x:is>
      </x:c>
      <x:c r="D173" t="inlineStr">
        <x:is>
          <x:t xml:space="preserve">DOC-027</x:t>
        </x:is>
      </x:c>
      <x:c r="E173" t="inlineStr">
        <x:is>
          <x:t xml:space="preserve">Tổ chức ui-ux và cập nhật đường dẫn</x:t>
        </x:is>
      </x:c>
      <x:c r="F173" t="inlineStr">
        <x:is>
          <x:t xml:space="preserve">Đã cập nhật</x:t>
        </x:is>
      </x:c>
      <x:c r="G173" t="inlineStr">
        <x:is>
          <x:t xml:space="preserve">Có</x:t>
        </x:is>
      </x:c>
      <x:c r="H173" t="inlineStr">
        <x:is>
          <x:t xml:space="preserve">Codex</x:t>
        </x:is>
      </x:c>
      <x:c r="I173" s="30" t="n">
        <x:v>46288</x:v>
      </x:c>
      <x:c r="J173" t="inlineStr">
        <x:is>
          <x:t xml:space="preserve">13 đường dẫn chuyển giữ inode; tools/doc-registry/ui-ux-migration.json; README và nguồn DOC-055; ZIP v0.3 cùng ID</x:t>
        </x:is>
      </x:c>
      <x:c r="K173" t="inlineStr">
        <x:is>
          <x:t xml:space="preserve">Nội dung nghiệp vụ cũ không đổi. Ưu đãi chưa duyệt. Lịch sử nguyên trạng.</x:t>
        </x:is>
      </x:c>
      <x:c r="L173" t="str">
        <x:f>IF(AND(F173="Đã cập nhật",G173="Có",H173&lt;&gt;"",ISNUMBER(I173),J173&lt;&gt;""),"Hoàn tất","Chưa hoàn tất")</x:f>
        <x:v>Hoàn tất</x:v>
      </x:c>
    </x:row>
    <x:row r="174">
      <x:c r="A174" t="inlineStr">
        <x:is>
          <x:t xml:space="preserve">ORG-20260923</x:t>
        </x:is>
      </x:c>
      <x:c r="B174" t="inlineStr">
        <x:is>
          <x:t xml:space="preserve">ORG-01; PROMO-01</x:t>
        </x:is>
      </x:c>
      <x:c r="C174" t="inlineStr">
        <x:is>
          <x:t xml:space="preserve">F17/F20</x:t>
        </x:is>
      </x:c>
      <x:c r="D174" t="inlineStr">
        <x:is>
          <x:t xml:space="preserve">DOC-028</x:t>
        </x:is>
      </x:c>
      <x:c r="E174" t="inlineStr">
        <x:is>
          <x:t xml:space="preserve">Tổ chức ui-ux và cập nhật đường dẫn</x:t>
        </x:is>
      </x:c>
      <x:c r="F174" t="inlineStr">
        <x:is>
          <x:t xml:space="preserve">Đã cập nhật</x:t>
        </x:is>
      </x:c>
      <x:c r="G174" t="inlineStr">
        <x:is>
          <x:t xml:space="preserve">Có</x:t>
        </x:is>
      </x:c>
      <x:c r="H174" t="inlineStr">
        <x:is>
          <x:t xml:space="preserve">Codex</x:t>
        </x:is>
      </x:c>
      <x:c r="I174" s="30" t="n">
        <x:v>46288</x:v>
      </x:c>
      <x:c r="J174" t="inlineStr">
        <x:is>
          <x:t xml:space="preserve">13 đường dẫn chuyển giữ inode; tools/doc-registry/ui-ux-migration.json; README và nguồn DOC-055; ZIP v0.3 cùng ID</x:t>
        </x:is>
      </x:c>
      <x:c r="K174" t="inlineStr">
        <x:is>
          <x:t xml:space="preserve">Nội dung nghiệp vụ cũ không đổi. Ưu đãi chưa duyệt. Lịch sử nguyên trạng.</x:t>
        </x:is>
      </x:c>
      <x:c r="L174" t="str">
        <x:f>IF(AND(F174="Đã cập nhật",G174="Có",H174&lt;&gt;"",ISNUMBER(I174),J174&lt;&gt;""),"Hoàn tất","Chưa hoàn tất")</x:f>
        <x:v>Hoàn tất</x:v>
      </x:c>
    </x:row>
    <x:row r="175">
      <x:c r="A175" t="inlineStr">
        <x:is>
          <x:t xml:space="preserve">ORG-20260923</x:t>
        </x:is>
      </x:c>
      <x:c r="B175" t="inlineStr">
        <x:is>
          <x:t xml:space="preserve">ORG-01; PROMO-01</x:t>
        </x:is>
      </x:c>
      <x:c r="C175" t="inlineStr">
        <x:is>
          <x:t xml:space="preserve">F17/F20</x:t>
        </x:is>
      </x:c>
      <x:c r="D175" t="inlineStr">
        <x:is>
          <x:t xml:space="preserve">DOC-029</x:t>
        </x:is>
      </x:c>
      <x:c r="E175" t="inlineStr">
        <x:is>
          <x:t xml:space="preserve">Tổ chức ui-ux và cập nhật đường dẫn</x:t>
        </x:is>
      </x:c>
      <x:c r="F175" t="inlineStr">
        <x:is>
          <x:t xml:space="preserve">Đã cập nhật</x:t>
        </x:is>
      </x:c>
      <x:c r="G175" t="inlineStr">
        <x:is>
          <x:t xml:space="preserve">Có</x:t>
        </x:is>
      </x:c>
      <x:c r="H175" t="inlineStr">
        <x:is>
          <x:t xml:space="preserve">Codex</x:t>
        </x:is>
      </x:c>
      <x:c r="I175" s="30" t="n">
        <x:v>46288</x:v>
      </x:c>
      <x:c r="J175" t="inlineStr">
        <x:is>
          <x:t xml:space="preserve">13 đường dẫn chuyển giữ inode; tools/doc-registry/ui-ux-migration.json; README và nguồn DOC-055; ZIP v0.3 cùng ID</x:t>
        </x:is>
      </x:c>
      <x:c r="K175" t="inlineStr">
        <x:is>
          <x:t xml:space="preserve">Nội dung nghiệp vụ cũ không đổi. Ưu đãi chưa duyệt. Lịch sử nguyên trạng.</x:t>
        </x:is>
      </x:c>
      <x:c r="L175" t="str">
        <x:f>IF(AND(F175="Đã cập nhật",G175="Có",H175&lt;&gt;"",ISNUMBER(I175),J175&lt;&gt;""),"Hoàn tất","Chưa hoàn tất")</x:f>
        <x:v>Hoàn tất</x:v>
      </x:c>
    </x:row>
    <x:row r="176">
      <x:c r="A176" t="inlineStr">
        <x:is>
          <x:t xml:space="preserve">ORG-20260923</x:t>
        </x:is>
      </x:c>
      <x:c r="B176" t="inlineStr">
        <x:is>
          <x:t xml:space="preserve">ORG-01; PROMO-01</x:t>
        </x:is>
      </x:c>
      <x:c r="C176" t="inlineStr">
        <x:is>
          <x:t xml:space="preserve">F17/F20</x:t>
        </x:is>
      </x:c>
      <x:c r="D176" t="inlineStr">
        <x:is>
          <x:t xml:space="preserve">DOC-030</x:t>
        </x:is>
      </x:c>
      <x:c r="E176" t="inlineStr">
        <x:is>
          <x:t xml:space="preserve">Tổ chức ui-ux và cập nhật đường dẫn</x:t>
        </x:is>
      </x:c>
      <x:c r="F176" t="inlineStr">
        <x:is>
          <x:t xml:space="preserve">Đã cập nhật</x:t>
        </x:is>
      </x:c>
      <x:c r="G176" t="inlineStr">
        <x:is>
          <x:t xml:space="preserve">Có</x:t>
        </x:is>
      </x:c>
      <x:c r="H176" t="inlineStr">
        <x:is>
          <x:t xml:space="preserve">Codex</x:t>
        </x:is>
      </x:c>
      <x:c r="I176" s="30" t="n">
        <x:v>46288</x:v>
      </x:c>
      <x:c r="J176" t="inlineStr">
        <x:is>
          <x:t xml:space="preserve">13 đường dẫn chuyển giữ inode; tools/doc-registry/ui-ux-migration.json; README và nguồn DOC-055; ZIP v0.3 cùng ID</x:t>
        </x:is>
      </x:c>
      <x:c r="K176" t="inlineStr">
        <x:is>
          <x:t xml:space="preserve">Nội dung nghiệp vụ cũ không đổi. Ưu đãi chưa duyệt. Lịch sử nguyên trạng.</x:t>
        </x:is>
      </x:c>
      <x:c r="L176" t="str">
        <x:f>IF(AND(F176="Đã cập nhật",G176="Có",H176&lt;&gt;"",ISNUMBER(I176),J176&lt;&gt;""),"Hoàn tất","Chưa hoàn tất")</x:f>
        <x:v>Hoàn tất</x:v>
      </x:c>
    </x:row>
    <x:row r="177">
      <x:c r="A177" t="inlineStr">
        <x:is>
          <x:t xml:space="preserve">ORG-20260923</x:t>
        </x:is>
      </x:c>
      <x:c r="B177" t="inlineStr">
        <x:is>
          <x:t xml:space="preserve">ORG-01; PROMO-01</x:t>
        </x:is>
      </x:c>
      <x:c r="C177" t="inlineStr">
        <x:is>
          <x:t xml:space="preserve">F17/F20</x:t>
        </x:is>
      </x:c>
      <x:c r="D177" t="inlineStr">
        <x:is>
          <x:t xml:space="preserve">DOC-031</x:t>
        </x:is>
      </x:c>
      <x:c r="E177" t="inlineStr">
        <x:is>
          <x:t xml:space="preserve">Tổ chức ui-ux và cập nhật đường dẫn</x:t>
        </x:is>
      </x:c>
      <x:c r="F177" t="inlineStr">
        <x:is>
          <x:t xml:space="preserve">Đã cập nhật</x:t>
        </x:is>
      </x:c>
      <x:c r="G177" t="inlineStr">
        <x:is>
          <x:t xml:space="preserve">Có</x:t>
        </x:is>
      </x:c>
      <x:c r="H177" t="inlineStr">
        <x:is>
          <x:t xml:space="preserve">Codex</x:t>
        </x:is>
      </x:c>
      <x:c r="I177" s="30" t="n">
        <x:v>46288</x:v>
      </x:c>
      <x:c r="J177" t="inlineStr">
        <x:is>
          <x:t xml:space="preserve">13 đường dẫn chuyển giữ inode; tools/doc-registry/ui-ux-migration.json; README và nguồn DOC-055; ZIP v0.3 cùng ID</x:t>
        </x:is>
      </x:c>
      <x:c r="K177" t="inlineStr">
        <x:is>
          <x:t xml:space="preserve">Nội dung nghiệp vụ cũ không đổi. Ưu đãi chưa duyệt. Lịch sử nguyên trạng.</x:t>
        </x:is>
      </x:c>
      <x:c r="L177" t="str">
        <x:f>IF(AND(F177="Đã cập nhật",G177="Có",H177&lt;&gt;"",ISNUMBER(I177),J177&lt;&gt;""),"Hoàn tất","Chưa hoàn tất")</x:f>
        <x:v>Hoàn tất</x:v>
      </x:c>
    </x:row>
    <x:row r="178">
      <x:c r="A178" t="inlineStr">
        <x:is>
          <x:t xml:space="preserve">ORG-20260923</x:t>
        </x:is>
      </x:c>
      <x:c r="B178" t="inlineStr">
        <x:is>
          <x:t xml:space="preserve">ORG-01; PROMO-01</x:t>
        </x:is>
      </x:c>
      <x:c r="C178" t="inlineStr">
        <x:is>
          <x:t xml:space="preserve">F17/F20</x:t>
        </x:is>
      </x:c>
      <x:c r="D178" t="inlineStr">
        <x:is>
          <x:t xml:space="preserve">DOC-032</x:t>
        </x:is>
      </x:c>
      <x:c r="E178" t="inlineStr">
        <x:is>
          <x:t xml:space="preserve">Tổ chức ui-ux và cập nhật đường dẫn</x:t>
        </x:is>
      </x:c>
      <x:c r="F178" t="inlineStr">
        <x:is>
          <x:t xml:space="preserve">Đã cập nhật</x:t>
        </x:is>
      </x:c>
      <x:c r="G178" t="inlineStr">
        <x:is>
          <x:t xml:space="preserve">Có</x:t>
        </x:is>
      </x:c>
      <x:c r="H178" t="inlineStr">
        <x:is>
          <x:t xml:space="preserve">Codex</x:t>
        </x:is>
      </x:c>
      <x:c r="I178" s="30" t="n">
        <x:v>46288</x:v>
      </x:c>
      <x:c r="J178" t="inlineStr">
        <x:is>
          <x:t xml:space="preserve">13 đường dẫn chuyển giữ inode; tools/doc-registry/ui-ux-migration.json; README và nguồn DOC-055; ZIP v0.3 cùng ID</x:t>
        </x:is>
      </x:c>
      <x:c r="K178" t="inlineStr">
        <x:is>
          <x:t xml:space="preserve">Nội dung nghiệp vụ cũ không đổi. Ưu đãi chưa duyệt. Lịch sử nguyên trạng.</x:t>
        </x:is>
      </x:c>
      <x:c r="L178" t="str">
        <x:f>IF(AND(F178="Đã cập nhật",G178="Có",H178&lt;&gt;"",ISNUMBER(I178),J178&lt;&gt;""),"Hoàn tất","Chưa hoàn tất")</x:f>
        <x:v>Hoàn tất</x:v>
      </x:c>
    </x:row>
    <x:row r="179">
      <x:c r="A179" t="inlineStr">
        <x:is>
          <x:t xml:space="preserve">ORG-20260923</x:t>
        </x:is>
      </x:c>
      <x:c r="B179" t="inlineStr">
        <x:is>
          <x:t xml:space="preserve">ORG-01; PROMO-01</x:t>
        </x:is>
      </x:c>
      <x:c r="C179" t="inlineStr">
        <x:is>
          <x:t xml:space="preserve">F17/F20</x:t>
        </x:is>
      </x:c>
      <x:c r="D179" t="inlineStr">
        <x:is>
          <x:t xml:space="preserve">DOC-033</x:t>
        </x:is>
      </x:c>
      <x:c r="E179" t="inlineStr">
        <x:is>
          <x:t xml:space="preserve">Tổ chức ui-ux và cập nhật đường dẫn</x:t>
        </x:is>
      </x:c>
      <x:c r="F179" t="inlineStr">
        <x:is>
          <x:t xml:space="preserve">Đã cập nhật</x:t>
        </x:is>
      </x:c>
      <x:c r="G179" t="inlineStr">
        <x:is>
          <x:t xml:space="preserve">Có</x:t>
        </x:is>
      </x:c>
      <x:c r="H179" t="inlineStr">
        <x:is>
          <x:t xml:space="preserve">Codex</x:t>
        </x:is>
      </x:c>
      <x:c r="I179" s="30" t="n">
        <x:v>46288</x:v>
      </x:c>
      <x:c r="J179" t="inlineStr">
        <x:is>
          <x:t xml:space="preserve">13 đường dẫn chuyển giữ inode; tools/doc-registry/ui-ux-migration.json; README và nguồn DOC-055; ZIP v0.3 cùng ID</x:t>
        </x:is>
      </x:c>
      <x:c r="K179" t="inlineStr">
        <x:is>
          <x:t xml:space="preserve">Nội dung nghiệp vụ cũ không đổi. Ưu đãi chưa duyệt. Lịch sử nguyên trạng.</x:t>
        </x:is>
      </x:c>
      <x:c r="L179" t="str">
        <x:f>IF(AND(F179="Đã cập nhật",G179="Có",H179&lt;&gt;"",ISNUMBER(I179),J179&lt;&gt;""),"Hoàn tất","Chưa hoàn tất")</x:f>
        <x:v>Hoàn tất</x:v>
      </x:c>
    </x:row>
    <x:row r="180">
      <x:c r="A180" t="inlineStr">
        <x:is>
          <x:t xml:space="preserve">ORG-20260923</x:t>
        </x:is>
      </x:c>
      <x:c r="B180" t="inlineStr">
        <x:is>
          <x:t xml:space="preserve">ORG-01; PROMO-01</x:t>
        </x:is>
      </x:c>
      <x:c r="C180" t="inlineStr">
        <x:is>
          <x:t xml:space="preserve">F17/F20</x:t>
        </x:is>
      </x:c>
      <x:c r="D180" t="inlineStr">
        <x:is>
          <x:t xml:space="preserve">DOC-034</x:t>
        </x:is>
      </x:c>
      <x:c r="E180" t="inlineStr">
        <x:is>
          <x:t xml:space="preserve">Tổ chức ui-ux và cập nhật đường dẫn</x:t>
        </x:is>
      </x:c>
      <x:c r="F180" t="inlineStr">
        <x:is>
          <x:t xml:space="preserve">Đã cập nhật</x:t>
        </x:is>
      </x:c>
      <x:c r="G180" t="inlineStr">
        <x:is>
          <x:t xml:space="preserve">Có</x:t>
        </x:is>
      </x:c>
      <x:c r="H180" t="inlineStr">
        <x:is>
          <x:t xml:space="preserve">Codex</x:t>
        </x:is>
      </x:c>
      <x:c r="I180" s="30" t="n">
        <x:v>46288</x:v>
      </x:c>
      <x:c r="J180" t="inlineStr">
        <x:is>
          <x:t xml:space="preserve">13 đường dẫn chuyển giữ inode; tools/doc-registry/ui-ux-migration.json; README và nguồn DOC-055; ZIP v0.3 cùng ID</x:t>
        </x:is>
      </x:c>
      <x:c r="K180" t="inlineStr">
        <x:is>
          <x:t xml:space="preserve">Nội dung nghiệp vụ cũ không đổi. Ưu đãi chưa duyệt. Lịch sử nguyên trạng.</x:t>
        </x:is>
      </x:c>
      <x:c r="L180" t="str">
        <x:f>IF(AND(F180="Đã cập nhật",G180="Có",H180&lt;&gt;"",ISNUMBER(I180),J180&lt;&gt;""),"Hoàn tất","Chưa hoàn tất")</x:f>
        <x:v>Hoàn tất</x:v>
      </x:c>
    </x:row>
    <x:row r="181">
      <x:c r="A181" t="inlineStr">
        <x:is>
          <x:t xml:space="preserve">ORG-20260923</x:t>
        </x:is>
      </x:c>
      <x:c r="B181" t="inlineStr">
        <x:is>
          <x:t xml:space="preserve">ORG-01; PROMO-01</x:t>
        </x:is>
      </x:c>
      <x:c r="C181" t="inlineStr">
        <x:is>
          <x:t xml:space="preserve">F17/F20</x:t>
        </x:is>
      </x:c>
      <x:c r="D181" t="inlineStr">
        <x:is>
          <x:t xml:space="preserve">DOC-035</x:t>
        </x:is>
      </x:c>
      <x:c r="E181" t="inlineStr">
        <x:is>
          <x:t xml:space="preserve">Tổ chức ui-ux và cập nhật đường dẫn</x:t>
        </x:is>
      </x:c>
      <x:c r="F181" t="inlineStr">
        <x:is>
          <x:t xml:space="preserve">Đã cập nhật</x:t>
        </x:is>
      </x:c>
      <x:c r="G181" t="inlineStr">
        <x:is>
          <x:t xml:space="preserve">Có</x:t>
        </x:is>
      </x:c>
      <x:c r="H181" t="inlineStr">
        <x:is>
          <x:t xml:space="preserve">Codex</x:t>
        </x:is>
      </x:c>
      <x:c r="I181" s="30" t="n">
        <x:v>46288</x:v>
      </x:c>
      <x:c r="J181" t="inlineStr">
        <x:is>
          <x:t xml:space="preserve">13 đường dẫn chuyển giữ inode; tools/doc-registry/ui-ux-migration.json; README và nguồn DOC-055; ZIP v0.3 cùng ID</x:t>
        </x:is>
      </x:c>
      <x:c r="K181" t="inlineStr">
        <x:is>
          <x:t xml:space="preserve">Nội dung nghiệp vụ cũ không đổi. Ưu đãi chưa duyệt. Lịch sử nguyên trạng.</x:t>
        </x:is>
      </x:c>
      <x:c r="L181" t="str">
        <x:f>IF(AND(F181="Đã cập nhật",G181="Có",H181&lt;&gt;"",ISNUMBER(I181),J181&lt;&gt;""),"Hoàn tất","Chưa hoàn tất")</x:f>
        <x:v>Hoàn tất</x:v>
      </x:c>
    </x:row>
    <x:row r="182">
      <x:c r="A182" t="inlineStr">
        <x:is>
          <x:t xml:space="preserve">ORG-20260923</x:t>
        </x:is>
      </x:c>
      <x:c r="B182" t="inlineStr">
        <x:is>
          <x:t xml:space="preserve">ORG-01; PROMO-01</x:t>
        </x:is>
      </x:c>
      <x:c r="C182" t="inlineStr">
        <x:is>
          <x:t xml:space="preserve">F17/F20</x:t>
        </x:is>
      </x:c>
      <x:c r="D182" t="inlineStr">
        <x:is>
          <x:t xml:space="preserve">DOC-036</x:t>
        </x:is>
      </x:c>
      <x:c r="E182" t="inlineStr">
        <x:is>
          <x:t xml:space="preserve">Tổ chức ui-ux và cập nhật đường dẫn</x:t>
        </x:is>
      </x:c>
      <x:c r="F182" t="inlineStr">
        <x:is>
          <x:t xml:space="preserve">Đã cập nhật</x:t>
        </x:is>
      </x:c>
      <x:c r="G182" t="inlineStr">
        <x:is>
          <x:t xml:space="preserve">Có</x:t>
        </x:is>
      </x:c>
      <x:c r="H182" t="inlineStr">
        <x:is>
          <x:t xml:space="preserve">Codex</x:t>
        </x:is>
      </x:c>
      <x:c r="I182" s="30" t="n">
        <x:v>46288</x:v>
      </x:c>
      <x:c r="J182" t="inlineStr">
        <x:is>
          <x:t xml:space="preserve">13 đường dẫn chuyển giữ inode; tools/doc-registry/ui-ux-migration.json; README và nguồn DOC-055; ZIP v0.3 cùng ID</x:t>
        </x:is>
      </x:c>
      <x:c r="K182" t="inlineStr">
        <x:is>
          <x:t xml:space="preserve">Nội dung nghiệp vụ cũ không đổi. Ưu đãi chưa duyệt. Lịch sử nguyên trạng.</x:t>
        </x:is>
      </x:c>
      <x:c r="L182" t="str">
        <x:f>IF(AND(F182="Đã cập nhật",G182="Có",H182&lt;&gt;"",ISNUMBER(I182),J182&lt;&gt;""),"Hoàn tất","Chưa hoàn tất")</x:f>
        <x:v>Hoàn tất</x:v>
      </x:c>
    </x:row>
    <x:row r="183">
      <x:c r="A183" t="inlineStr">
        <x:is>
          <x:t xml:space="preserve">ORG-20260923</x:t>
        </x:is>
      </x:c>
      <x:c r="B183" t="inlineStr">
        <x:is>
          <x:t xml:space="preserve">ORG-01; PROMO-01</x:t>
        </x:is>
      </x:c>
      <x:c r="C183" t="inlineStr">
        <x:is>
          <x:t xml:space="preserve">F17/F20</x:t>
        </x:is>
      </x:c>
      <x:c r="D183" t="inlineStr">
        <x:is>
          <x:t xml:space="preserve">PLAN-001</x:t>
        </x:is>
      </x:c>
      <x:c r="E183" t="inlineStr">
        <x:is>
          <x:t xml:space="preserve">Tổ chức ui-ux và cập nhật đường dẫn</x:t>
        </x:is>
      </x:c>
      <x:c r="F183" t="inlineStr">
        <x:is>
          <x:t xml:space="preserve">Đã cập nhật</x:t>
        </x:is>
      </x:c>
      <x:c r="G183" t="inlineStr">
        <x:is>
          <x:t xml:space="preserve">Có</x:t>
        </x:is>
      </x:c>
      <x:c r="H183" t="inlineStr">
        <x:is>
          <x:t xml:space="preserve">Codex</x:t>
        </x:is>
      </x:c>
      <x:c r="I183" s="30" t="n">
        <x:v>46288</x:v>
      </x:c>
      <x:c r="J183" t="inlineStr">
        <x:is>
          <x:t xml:space="preserve">13 đường dẫn chuyển giữ inode; tools/doc-registry/ui-ux-migration.json; README và nguồn DOC-055; ZIP v0.3 cùng ID</x:t>
        </x:is>
      </x:c>
      <x:c r="K183" t="inlineStr">
        <x:is>
          <x:t xml:space="preserve">Nội dung nghiệp vụ cũ không đổi. Ưu đãi chưa duyệt. Lịch sử nguyên trạng.</x:t>
        </x:is>
      </x:c>
      <x:c r="L183" t="str">
        <x:f>IF(AND(F183="Đã cập nhật",G183="Có",H183&lt;&gt;"",ISNUMBER(I183),J183&lt;&gt;""),"Hoàn tất","Chưa hoàn tất")</x:f>
        <x:v>Hoàn tất</x:v>
      </x:c>
    </x:row>
    <x:row r="184">
      <x:c r="A184" t="inlineStr">
        <x:is>
          <x:t xml:space="preserve">ORG-20260923</x:t>
        </x:is>
      </x:c>
      <x:c r="B184" t="inlineStr">
        <x:is>
          <x:t xml:space="preserve">ORG-01; PROMO-01</x:t>
        </x:is>
      </x:c>
      <x:c r="C184" t="inlineStr">
        <x:is>
          <x:t xml:space="preserve">F17/F20</x:t>
        </x:is>
      </x:c>
      <x:c r="D184" t="inlineStr">
        <x:is>
          <x:t xml:space="preserve">PLAN-002</x:t>
        </x:is>
      </x:c>
      <x:c r="E184" t="inlineStr">
        <x:is>
          <x:t xml:space="preserve">Tổ chức ui-ux và cập nhật đường dẫn</x:t>
        </x:is>
      </x:c>
      <x:c r="F184" t="inlineStr">
        <x:is>
          <x:t xml:space="preserve">Đã cập nhật</x:t>
        </x:is>
      </x:c>
      <x:c r="G184" t="inlineStr">
        <x:is>
          <x:t xml:space="preserve">Có</x:t>
        </x:is>
      </x:c>
      <x:c r="H184" t="inlineStr">
        <x:is>
          <x:t xml:space="preserve">Codex</x:t>
        </x:is>
      </x:c>
      <x:c r="I184" s="30" t="n">
        <x:v>46288</x:v>
      </x:c>
      <x:c r="J184" t="inlineStr">
        <x:is>
          <x:t xml:space="preserve">13 đường dẫn chuyển giữ inode; tools/doc-registry/ui-ux-migration.json; README và nguồn DOC-055; ZIP v0.3 cùng ID</x:t>
        </x:is>
      </x:c>
      <x:c r="K184" t="inlineStr">
        <x:is>
          <x:t xml:space="preserve">Nội dung nghiệp vụ cũ không đổi. Ưu đãi chưa duyệt. Lịch sử nguyên trạng.</x:t>
        </x:is>
      </x:c>
      <x:c r="L184" t="str">
        <x:f>IF(AND(F184="Đã cập nhật",G184="Có",H184&lt;&gt;"",ISNUMBER(I184),J184&lt;&gt;""),"Hoàn tất","Chưa hoàn tất")</x:f>
        <x:v>Hoàn tất</x:v>
      </x:c>
    </x:row>
    <x:row r="185">
      <x:c r="A185" t="inlineStr">
        <x:is>
          <x:t xml:space="preserve">ORG-20260923</x:t>
        </x:is>
      </x:c>
      <x:c r="B185" t="inlineStr">
        <x:is>
          <x:t xml:space="preserve">ORG-01; PROMO-01</x:t>
        </x:is>
      </x:c>
      <x:c r="C185" t="inlineStr">
        <x:is>
          <x:t xml:space="preserve">F17/F20</x:t>
        </x:is>
      </x:c>
      <x:c r="D185" t="inlineStr">
        <x:is>
          <x:t xml:space="preserve">PLAN-003</x:t>
        </x:is>
      </x:c>
      <x:c r="E185" t="inlineStr">
        <x:is>
          <x:t xml:space="preserve">Tổ chức ui-ux và cập nhật đường dẫn</x:t>
        </x:is>
      </x:c>
      <x:c r="F185" t="inlineStr">
        <x:is>
          <x:t xml:space="preserve">Đã cập nhật</x:t>
        </x:is>
      </x:c>
      <x:c r="G185" t="inlineStr">
        <x:is>
          <x:t xml:space="preserve">Có</x:t>
        </x:is>
      </x:c>
      <x:c r="H185" t="inlineStr">
        <x:is>
          <x:t xml:space="preserve">Codex</x:t>
        </x:is>
      </x:c>
      <x:c r="I185" s="30" t="n">
        <x:v>46288</x:v>
      </x:c>
      <x:c r="J185" t="inlineStr">
        <x:is>
          <x:t xml:space="preserve">13 đường dẫn chuyển giữ inode; tools/doc-registry/ui-ux-migration.json; README và nguồn DOC-055; ZIP v0.3 cùng ID</x:t>
        </x:is>
      </x:c>
      <x:c r="K185" t="inlineStr">
        <x:is>
          <x:t xml:space="preserve">Nội dung nghiệp vụ cũ không đổi. Ưu đãi chưa duyệt. Lịch sử nguyên trạng.</x:t>
        </x:is>
      </x:c>
      <x:c r="L185" t="str">
        <x:f>IF(AND(F185="Đã cập nhật",G185="Có",H185&lt;&gt;"",ISNUMBER(I185),J185&lt;&gt;""),"Hoàn tất","Chưa hoàn tất")</x:f>
        <x:v>Hoàn tất</x:v>
      </x:c>
    </x:row>
    <x:row r="186">
      <x:c r="A186" t="inlineStr">
        <x:is>
          <x:t xml:space="preserve">ORG-20260923</x:t>
        </x:is>
      </x:c>
      <x:c r="B186" t="inlineStr">
        <x:is>
          <x:t xml:space="preserve">ORG-01; PROMO-01</x:t>
        </x:is>
      </x:c>
      <x:c r="C186" t="inlineStr">
        <x:is>
          <x:t xml:space="preserve">F17/F20</x:t>
        </x:is>
      </x:c>
      <x:c r="D186" t="inlineStr">
        <x:is>
          <x:t xml:space="preserve">PLAN-008</x:t>
        </x:is>
      </x:c>
      <x:c r="E186" t="inlineStr">
        <x:is>
          <x:t xml:space="preserve">Tổ chức ui-ux và cập nhật đường dẫn</x:t>
        </x:is>
      </x:c>
      <x:c r="F186" t="inlineStr">
        <x:is>
          <x:t xml:space="preserve">Đã cập nhật</x:t>
        </x:is>
      </x:c>
      <x:c r="G186" t="inlineStr">
        <x:is>
          <x:t xml:space="preserve">Có</x:t>
        </x:is>
      </x:c>
      <x:c r="H186" t="inlineStr">
        <x:is>
          <x:t xml:space="preserve">Codex</x:t>
        </x:is>
      </x:c>
      <x:c r="I186" s="30" t="n">
        <x:v>46288</x:v>
      </x:c>
      <x:c r="J186" t="inlineStr">
        <x:is>
          <x:t xml:space="preserve">13 đường dẫn chuyển giữ inode; tools/doc-registry/ui-ux-migration.json; README và nguồn DOC-055; ZIP v0.3 cùng ID</x:t>
        </x:is>
      </x:c>
      <x:c r="K186" t="inlineStr">
        <x:is>
          <x:t xml:space="preserve">Nội dung nghiệp vụ cũ không đổi. Ưu đãi chưa duyệt. Lịch sử nguyên trạng.</x:t>
        </x:is>
      </x:c>
      <x:c r="L186" t="str">
        <x:f>IF(AND(F186="Đã cập nhật",G186="Có",H186&lt;&gt;"",ISNUMBER(I186),J186&lt;&gt;""),"Hoàn tất","Chưa hoàn tất")</x:f>
        <x:v>Hoàn tất</x:v>
      </x:c>
    </x:row>
    <x:row r="187">
      <x:c r="A187" t="inlineStr">
        <x:is>
          <x:t xml:space="preserve">ORG-20260923</x:t>
        </x:is>
      </x:c>
      <x:c r="B187" t="inlineStr">
        <x:is>
          <x:t xml:space="preserve">ORG-01; PROMO-01</x:t>
        </x:is>
      </x:c>
      <x:c r="C187" t="inlineStr">
        <x:is>
          <x:t xml:space="preserve">F17/F20</x:t>
        </x:is>
      </x:c>
      <x:c r="D187" t="inlineStr">
        <x:is>
          <x:t xml:space="preserve">DOC-037</x:t>
        </x:is>
      </x:c>
      <x:c r="E187" t="inlineStr">
        <x:is>
          <x:t xml:space="preserve">Tổ chức ui-ux và cập nhật đường dẫn</x:t>
        </x:is>
      </x:c>
      <x:c r="F187" t="inlineStr">
        <x:is>
          <x:t xml:space="preserve">Đã cập nhật</x:t>
        </x:is>
      </x:c>
      <x:c r="G187" t="inlineStr">
        <x:is>
          <x:t xml:space="preserve">Có</x:t>
        </x:is>
      </x:c>
      <x:c r="H187" t="inlineStr">
        <x:is>
          <x:t xml:space="preserve">Codex</x:t>
        </x:is>
      </x:c>
      <x:c r="I187" s="30" t="n">
        <x:v>46288</x:v>
      </x:c>
      <x:c r="J187" t="inlineStr">
        <x:is>
          <x:t xml:space="preserve">13 đường dẫn chuyển giữ inode; tools/doc-registry/ui-ux-migration.json; README và nguồn DOC-055; ZIP v0.3 cùng ID</x:t>
        </x:is>
      </x:c>
      <x:c r="K187" t="inlineStr">
        <x:is>
          <x:t xml:space="preserve">Nội dung nghiệp vụ cũ không đổi. Ưu đãi chưa duyệt. Lịch sử nguyên trạng.</x:t>
        </x:is>
      </x:c>
      <x:c r="L187" t="str">
        <x:f>IF(AND(F187="Đã cập nhật",G187="Có",H187&lt;&gt;"",ISNUMBER(I187),J187&lt;&gt;""),"Hoàn tất","Chưa hoàn tất")</x:f>
        <x:v>Hoàn tất</x:v>
      </x:c>
    </x:row>
    <x:row r="188">
      <x:c r="A188" t="inlineStr">
        <x:is>
          <x:t xml:space="preserve">ORG-20260923</x:t>
        </x:is>
      </x:c>
      <x:c r="B188" t="inlineStr">
        <x:is>
          <x:t xml:space="preserve">ORG-01; PROMO-01</x:t>
        </x:is>
      </x:c>
      <x:c r="C188" t="inlineStr">
        <x:is>
          <x:t xml:space="preserve">F17/F20</x:t>
        </x:is>
      </x:c>
      <x:c r="D188" t="inlineStr">
        <x:is>
          <x:t xml:space="preserve">DOC-038</x:t>
        </x:is>
      </x:c>
      <x:c r="E188" t="inlineStr">
        <x:is>
          <x:t xml:space="preserve">Tổ chức ui-ux và cập nhật đường dẫn</x:t>
        </x:is>
      </x:c>
      <x:c r="F188" t="inlineStr">
        <x:is>
          <x:t xml:space="preserve">Đã cập nhật</x:t>
        </x:is>
      </x:c>
      <x:c r="G188" t="inlineStr">
        <x:is>
          <x:t xml:space="preserve">Có</x:t>
        </x:is>
      </x:c>
      <x:c r="H188" t="inlineStr">
        <x:is>
          <x:t xml:space="preserve">Codex</x:t>
        </x:is>
      </x:c>
      <x:c r="I188" s="30" t="n">
        <x:v>46288</x:v>
      </x:c>
      <x:c r="J188" t="inlineStr">
        <x:is>
          <x:t xml:space="preserve">13 đường dẫn chuyển giữ inode; tools/doc-registry/ui-ux-migration.json; README và nguồn DOC-055; ZIP v0.3 cùng ID</x:t>
        </x:is>
      </x:c>
      <x:c r="K188" t="inlineStr">
        <x:is>
          <x:t xml:space="preserve">Nội dung nghiệp vụ cũ không đổi. Ưu đãi chưa duyệt. Lịch sử nguyên trạng.</x:t>
        </x:is>
      </x:c>
      <x:c r="L188" t="str">
        <x:f>IF(AND(F188="Đã cập nhật",G188="Có",H188&lt;&gt;"",ISNUMBER(I188),J188&lt;&gt;""),"Hoàn tất","Chưa hoàn tất")</x:f>
        <x:v>Hoàn tất</x:v>
      </x:c>
    </x:row>
    <x:row r="189">
      <x:c r="A189" t="inlineStr">
        <x:is>
          <x:t xml:space="preserve">ORG-20260923</x:t>
        </x:is>
      </x:c>
      <x:c r="B189" t="inlineStr">
        <x:is>
          <x:t xml:space="preserve">ORG-01; PROMO-01</x:t>
        </x:is>
      </x:c>
      <x:c r="C189" t="inlineStr">
        <x:is>
          <x:t xml:space="preserve">F17/F20</x:t>
        </x:is>
      </x:c>
      <x:c r="D189" t="inlineStr">
        <x:is>
          <x:t xml:space="preserve">DOC-039</x:t>
        </x:is>
      </x:c>
      <x:c r="E189" t="inlineStr">
        <x:is>
          <x:t xml:space="preserve">Tổ chức ui-ux và cập nhật đường dẫn</x:t>
        </x:is>
      </x:c>
      <x:c r="F189" t="inlineStr">
        <x:is>
          <x:t xml:space="preserve">Đã cập nhật</x:t>
        </x:is>
      </x:c>
      <x:c r="G189" t="inlineStr">
        <x:is>
          <x:t xml:space="preserve">Có</x:t>
        </x:is>
      </x:c>
      <x:c r="H189" t="inlineStr">
        <x:is>
          <x:t xml:space="preserve">Codex</x:t>
        </x:is>
      </x:c>
      <x:c r="I189" s="30" t="n">
        <x:v>46288</x:v>
      </x:c>
      <x:c r="J189" t="inlineStr">
        <x:is>
          <x:t xml:space="preserve">13 đường dẫn chuyển giữ inode; tools/doc-registry/ui-ux-migration.json; README và nguồn DOC-055; ZIP v0.3 cùng ID</x:t>
        </x:is>
      </x:c>
      <x:c r="K189" t="inlineStr">
        <x:is>
          <x:t xml:space="preserve">Nội dung nghiệp vụ cũ không đổi. Ưu đãi chưa duyệt. Lịch sử nguyên trạng.</x:t>
        </x:is>
      </x:c>
      <x:c r="L189" t="str">
        <x:f>IF(AND(F189="Đã cập nhật",G189="Có",H189&lt;&gt;"",ISNUMBER(I189),J189&lt;&gt;""),"Hoàn tất","Chưa hoàn tất")</x:f>
        <x:v>Hoàn tất</x:v>
      </x:c>
    </x:row>
    <x:row r="190">
      <x:c r="A190" t="inlineStr">
        <x:is>
          <x:t xml:space="preserve">ORG-20260923</x:t>
        </x:is>
      </x:c>
      <x:c r="B190" t="inlineStr">
        <x:is>
          <x:t xml:space="preserve">ORG-01; PROMO-01</x:t>
        </x:is>
      </x:c>
      <x:c r="C190" t="inlineStr">
        <x:is>
          <x:t xml:space="preserve">F17/F20</x:t>
        </x:is>
      </x:c>
      <x:c r="D190" t="inlineStr">
        <x:is>
          <x:t xml:space="preserve">DOC-040</x:t>
        </x:is>
      </x:c>
      <x:c r="E190" t="inlineStr">
        <x:is>
          <x:t xml:space="preserve">Tổ chức ui-ux và cập nhật đường dẫn</x:t>
        </x:is>
      </x:c>
      <x:c r="F190" t="inlineStr">
        <x:is>
          <x:t xml:space="preserve">Đã cập nhật</x:t>
        </x:is>
      </x:c>
      <x:c r="G190" t="inlineStr">
        <x:is>
          <x:t xml:space="preserve">Có</x:t>
        </x:is>
      </x:c>
      <x:c r="H190" t="inlineStr">
        <x:is>
          <x:t xml:space="preserve">Codex</x:t>
        </x:is>
      </x:c>
      <x:c r="I190" s="30" t="n">
        <x:v>46288</x:v>
      </x:c>
      <x:c r="J190" t="inlineStr">
        <x:is>
          <x:t xml:space="preserve">13 đường dẫn chuyển giữ inode; tools/doc-registry/ui-ux-migration.json; README và nguồn DOC-055; ZIP v0.3 cùng ID</x:t>
        </x:is>
      </x:c>
      <x:c r="K190" t="inlineStr">
        <x:is>
          <x:t xml:space="preserve">Nội dung nghiệp vụ cũ không đổi. Ưu đãi chưa duyệt. Lịch sử nguyên trạng.</x:t>
        </x:is>
      </x:c>
      <x:c r="L190" t="str">
        <x:f>IF(AND(F190="Đã cập nhật",G190="Có",H190&lt;&gt;"",ISNUMBER(I190),J190&lt;&gt;""),"Hoàn tất","Chưa hoàn tất")</x:f>
        <x:v>Hoàn tất</x:v>
      </x:c>
    </x:row>
    <x:row r="191">
      <x:c r="A191" t="inlineStr">
        <x:is>
          <x:t xml:space="preserve">ORG-20260923</x:t>
        </x:is>
      </x:c>
      <x:c r="B191" t="inlineStr">
        <x:is>
          <x:t xml:space="preserve">ORG-01; PROMO-01</x:t>
        </x:is>
      </x:c>
      <x:c r="C191" t="inlineStr">
        <x:is>
          <x:t xml:space="preserve">F17/F20</x:t>
        </x:is>
      </x:c>
      <x:c r="D191" t="inlineStr">
        <x:is>
          <x:t xml:space="preserve">DOC-041</x:t>
        </x:is>
      </x:c>
      <x:c r="E191" t="inlineStr">
        <x:is>
          <x:t xml:space="preserve">Tổ chức ui-ux và cập nhật đường dẫn</x:t>
        </x:is>
      </x:c>
      <x:c r="F191" t="inlineStr">
        <x:is>
          <x:t xml:space="preserve">Đã cập nhật</x:t>
        </x:is>
      </x:c>
      <x:c r="G191" t="inlineStr">
        <x:is>
          <x:t xml:space="preserve">Có</x:t>
        </x:is>
      </x:c>
      <x:c r="H191" t="inlineStr">
        <x:is>
          <x:t xml:space="preserve">Codex</x:t>
        </x:is>
      </x:c>
      <x:c r="I191" s="30" t="n">
        <x:v>46288</x:v>
      </x:c>
      <x:c r="J191" t="inlineStr">
        <x:is>
          <x:t xml:space="preserve">13 đường dẫn chuyển giữ inode; tools/doc-registry/ui-ux-migration.json; README và nguồn DOC-055; ZIP v0.3 cùng ID</x:t>
        </x:is>
      </x:c>
      <x:c r="K191" t="inlineStr">
        <x:is>
          <x:t xml:space="preserve">Nội dung nghiệp vụ cũ không đổi. Ưu đãi chưa duyệt. Lịch sử nguyên trạng.</x:t>
        </x:is>
      </x:c>
      <x:c r="L191" t="str">
        <x:f>IF(AND(F191="Đã cập nhật",G191="Có",H191&lt;&gt;"",ISNUMBER(I191),J191&lt;&gt;""),"Hoàn tất","Chưa hoàn tất")</x:f>
        <x:v>Hoàn tất</x:v>
      </x:c>
    </x:row>
    <x:row r="192">
      <x:c r="A192" t="inlineStr">
        <x:is>
          <x:t xml:space="preserve">ORG-20260923</x:t>
        </x:is>
      </x:c>
      <x:c r="B192" t="inlineStr">
        <x:is>
          <x:t xml:space="preserve">ORG-01; PROMO-01</x:t>
        </x:is>
      </x:c>
      <x:c r="C192" t="inlineStr">
        <x:is>
          <x:t xml:space="preserve">F17/F20</x:t>
        </x:is>
      </x:c>
      <x:c r="D192" t="inlineStr">
        <x:is>
          <x:t xml:space="preserve">DOC-042</x:t>
        </x:is>
      </x:c>
      <x:c r="E192" t="inlineStr">
        <x:is>
          <x:t xml:space="preserve">Tổ chức ui-ux và cập nhật đường dẫn</x:t>
        </x:is>
      </x:c>
      <x:c r="F192" t="inlineStr">
        <x:is>
          <x:t xml:space="preserve">Đã cập nhật</x:t>
        </x:is>
      </x:c>
      <x:c r="G192" t="inlineStr">
        <x:is>
          <x:t xml:space="preserve">Có</x:t>
        </x:is>
      </x:c>
      <x:c r="H192" t="inlineStr">
        <x:is>
          <x:t xml:space="preserve">Codex</x:t>
        </x:is>
      </x:c>
      <x:c r="I192" s="30" t="n">
        <x:v>46288</x:v>
      </x:c>
      <x:c r="J192" t="inlineStr">
        <x:is>
          <x:t xml:space="preserve">13 đường dẫn chuyển giữ inode; tools/doc-registry/ui-ux-migration.json; README và nguồn DOC-055; ZIP v0.3 cùng ID</x:t>
        </x:is>
      </x:c>
      <x:c r="K192" t="inlineStr">
        <x:is>
          <x:t xml:space="preserve">Nội dung nghiệp vụ cũ không đổi. Ưu đãi chưa duyệt. Lịch sử nguyên trạng.</x:t>
        </x:is>
      </x:c>
      <x:c r="L192" t="str">
        <x:f>IF(AND(F192="Đã cập nhật",G192="Có",H192&lt;&gt;"",ISNUMBER(I192),J192&lt;&gt;""),"Hoàn tất","Chưa hoàn tất")</x:f>
        <x:v>Hoàn tất</x:v>
      </x:c>
    </x:row>
    <x:row r="193">
      <x:c r="A193" t="inlineStr">
        <x:is>
          <x:t xml:space="preserve">ORG-20260923</x:t>
        </x:is>
      </x:c>
      <x:c r="B193" t="inlineStr">
        <x:is>
          <x:t xml:space="preserve">ORG-01; PROMO-01</x:t>
        </x:is>
      </x:c>
      <x:c r="C193" t="inlineStr">
        <x:is>
          <x:t xml:space="preserve">F17/F20</x:t>
        </x:is>
      </x:c>
      <x:c r="D193" t="inlineStr">
        <x:is>
          <x:t xml:space="preserve">DOC-043</x:t>
        </x:is>
      </x:c>
      <x:c r="E193" t="inlineStr">
        <x:is>
          <x:t xml:space="preserve">Tổ chức ui-ux và cập nhật đường dẫn</x:t>
        </x:is>
      </x:c>
      <x:c r="F193" t="inlineStr">
        <x:is>
          <x:t xml:space="preserve">Đã cập nhật</x:t>
        </x:is>
      </x:c>
      <x:c r="G193" t="inlineStr">
        <x:is>
          <x:t xml:space="preserve">Có</x:t>
        </x:is>
      </x:c>
      <x:c r="H193" t="inlineStr">
        <x:is>
          <x:t xml:space="preserve">Codex</x:t>
        </x:is>
      </x:c>
      <x:c r="I193" s="30" t="n">
        <x:v>46288</x:v>
      </x:c>
      <x:c r="J193" t="inlineStr">
        <x:is>
          <x:t xml:space="preserve">13 đường dẫn chuyển giữ inode; tools/doc-registry/ui-ux-migration.json; README và nguồn DOC-055; ZIP v0.3 cùng ID</x:t>
        </x:is>
      </x:c>
      <x:c r="K193" t="inlineStr">
        <x:is>
          <x:t xml:space="preserve">Nội dung nghiệp vụ cũ không đổi. Ưu đãi chưa duyệt. Lịch sử nguyên trạng.</x:t>
        </x:is>
      </x:c>
      <x:c r="L193" t="str">
        <x:f>IF(AND(F193="Đã cập nhật",G193="Có",H193&lt;&gt;"",ISNUMBER(I193),J193&lt;&gt;""),"Hoàn tất","Chưa hoàn tất")</x:f>
        <x:v>Hoàn tất</x:v>
      </x:c>
    </x:row>
    <x:row r="194">
      <x:c r="A194" t="inlineStr">
        <x:is>
          <x:t xml:space="preserve">ORG-20260923</x:t>
        </x:is>
      </x:c>
      <x:c r="B194" t="inlineStr">
        <x:is>
          <x:t xml:space="preserve">ORG-01; PROMO-01</x:t>
        </x:is>
      </x:c>
      <x:c r="C194" t="inlineStr">
        <x:is>
          <x:t xml:space="preserve">F17/F20</x:t>
        </x:is>
      </x:c>
      <x:c r="D194" t="inlineStr">
        <x:is>
          <x:t xml:space="preserve">DOC-044</x:t>
        </x:is>
      </x:c>
      <x:c r="E194" t="inlineStr">
        <x:is>
          <x:t xml:space="preserve">Tổ chức ui-ux và cập nhật đường dẫn</x:t>
        </x:is>
      </x:c>
      <x:c r="F194" t="inlineStr">
        <x:is>
          <x:t xml:space="preserve">Đã cập nhật</x:t>
        </x:is>
      </x:c>
      <x:c r="G194" t="inlineStr">
        <x:is>
          <x:t xml:space="preserve">Có</x:t>
        </x:is>
      </x:c>
      <x:c r="H194" t="inlineStr">
        <x:is>
          <x:t xml:space="preserve">Codex</x:t>
        </x:is>
      </x:c>
      <x:c r="I194" s="30" t="n">
        <x:v>46288</x:v>
      </x:c>
      <x:c r="J194" t="inlineStr">
        <x:is>
          <x:t xml:space="preserve">13 đường dẫn chuyển giữ inode; tools/doc-registry/ui-ux-migration.json; README và nguồn DOC-055; ZIP v0.3 cùng ID</x:t>
        </x:is>
      </x:c>
      <x:c r="K194" t="inlineStr">
        <x:is>
          <x:t xml:space="preserve">Nội dung nghiệp vụ cũ không đổi. Ưu đãi chưa duyệt. Lịch sử nguyên trạng.</x:t>
        </x:is>
      </x:c>
      <x:c r="L194" t="str">
        <x:f>IF(AND(F194="Đã cập nhật",G194="Có",H194&lt;&gt;"",ISNUMBER(I194),J194&lt;&gt;""),"Hoàn tất","Chưa hoàn tất")</x:f>
        <x:v>Hoàn tất</x:v>
      </x:c>
    </x:row>
    <x:row r="195">
      <x:c r="A195" t="inlineStr">
        <x:is>
          <x:t xml:space="preserve">ORG-20260923</x:t>
        </x:is>
      </x:c>
      <x:c r="B195" t="inlineStr">
        <x:is>
          <x:t xml:space="preserve">ORG-01; PROMO-01</x:t>
        </x:is>
      </x:c>
      <x:c r="C195" t="inlineStr">
        <x:is>
          <x:t xml:space="preserve">F17/F20</x:t>
        </x:is>
      </x:c>
      <x:c r="D195" t="inlineStr">
        <x:is>
          <x:t xml:space="preserve">DOC-045</x:t>
        </x:is>
      </x:c>
      <x:c r="E195" t="inlineStr">
        <x:is>
          <x:t xml:space="preserve">Tổ chức ui-ux và cập nhật đường dẫn</x:t>
        </x:is>
      </x:c>
      <x:c r="F195" t="inlineStr">
        <x:is>
          <x:t xml:space="preserve">Đã cập nhật</x:t>
        </x:is>
      </x:c>
      <x:c r="G195" t="inlineStr">
        <x:is>
          <x:t xml:space="preserve">Có</x:t>
        </x:is>
      </x:c>
      <x:c r="H195" t="inlineStr">
        <x:is>
          <x:t xml:space="preserve">Codex</x:t>
        </x:is>
      </x:c>
      <x:c r="I195" s="30" t="n">
        <x:v>46288</x:v>
      </x:c>
      <x:c r="J195" t="inlineStr">
        <x:is>
          <x:t xml:space="preserve">13 đường dẫn chuyển giữ inode; tools/doc-registry/ui-ux-migration.json; README và nguồn DOC-055; ZIP v0.3 cùng ID</x:t>
        </x:is>
      </x:c>
      <x:c r="K195" t="inlineStr">
        <x:is>
          <x:t xml:space="preserve">Nội dung nghiệp vụ cũ không đổi. Ưu đãi chưa duyệt. Lịch sử nguyên trạng.</x:t>
        </x:is>
      </x:c>
      <x:c r="L195" t="str">
        <x:f>IF(AND(F195="Đã cập nhật",G195="Có",H195&lt;&gt;"",ISNUMBER(I195),J195&lt;&gt;""),"Hoàn tất","Chưa hoàn tất")</x:f>
        <x:v>Hoàn tất</x:v>
      </x:c>
    </x:row>
    <x:row r="196">
      <x:c r="A196" t="inlineStr">
        <x:is>
          <x:t xml:space="preserve">ORG-20260923</x:t>
        </x:is>
      </x:c>
      <x:c r="B196" t="inlineStr">
        <x:is>
          <x:t xml:space="preserve">ORG-01; PROMO-01</x:t>
        </x:is>
      </x:c>
      <x:c r="C196" t="inlineStr">
        <x:is>
          <x:t xml:space="preserve">F17/F20</x:t>
        </x:is>
      </x:c>
      <x:c r="D196" t="inlineStr">
        <x:is>
          <x:t xml:space="preserve">DOC-046</x:t>
        </x:is>
      </x:c>
      <x:c r="E196" t="inlineStr">
        <x:is>
          <x:t xml:space="preserve">Tổ chức ui-ux và cập nhật đường dẫn</x:t>
        </x:is>
      </x:c>
      <x:c r="F196" t="inlineStr">
        <x:is>
          <x:t xml:space="preserve">Đã cập nhật</x:t>
        </x:is>
      </x:c>
      <x:c r="G196" t="inlineStr">
        <x:is>
          <x:t xml:space="preserve">Có</x:t>
        </x:is>
      </x:c>
      <x:c r="H196" t="inlineStr">
        <x:is>
          <x:t xml:space="preserve">Codex</x:t>
        </x:is>
      </x:c>
      <x:c r="I196" s="30" t="n">
        <x:v>46288</x:v>
      </x:c>
      <x:c r="J196" t="inlineStr">
        <x:is>
          <x:t xml:space="preserve">13 đường dẫn chuyển giữ inode; tools/doc-registry/ui-ux-migration.json; README và nguồn DOC-055; ZIP v0.3 cùng ID</x:t>
        </x:is>
      </x:c>
      <x:c r="K196" t="inlineStr">
        <x:is>
          <x:t xml:space="preserve">Nội dung nghiệp vụ cũ không đổi. Ưu đãi chưa duyệt. Lịch sử nguyên trạng.</x:t>
        </x:is>
      </x:c>
      <x:c r="L196" t="str">
        <x:f>IF(AND(F196="Đã cập nhật",G196="Có",H196&lt;&gt;"",ISNUMBER(I196),J196&lt;&gt;""),"Hoàn tất","Chưa hoàn tất")</x:f>
        <x:v>Hoàn tất</x:v>
      </x:c>
    </x:row>
    <x:row r="197">
      <x:c r="A197" t="inlineStr">
        <x:is>
          <x:t xml:space="preserve">ORG-20260923</x:t>
        </x:is>
      </x:c>
      <x:c r="B197" t="inlineStr">
        <x:is>
          <x:t xml:space="preserve">ORG-01; PROMO-01</x:t>
        </x:is>
      </x:c>
      <x:c r="C197" t="inlineStr">
        <x:is>
          <x:t xml:space="preserve">F17/F20</x:t>
        </x:is>
      </x:c>
      <x:c r="D197" t="inlineStr">
        <x:is>
          <x:t xml:space="preserve">DOC-047</x:t>
        </x:is>
      </x:c>
      <x:c r="E197" t="inlineStr">
        <x:is>
          <x:t xml:space="preserve">Tổ chức ui-ux và cập nhật đường dẫn</x:t>
        </x:is>
      </x:c>
      <x:c r="F197" t="inlineStr">
        <x:is>
          <x:t xml:space="preserve">Đã cập nhật</x:t>
        </x:is>
      </x:c>
      <x:c r="G197" t="inlineStr">
        <x:is>
          <x:t xml:space="preserve">Có</x:t>
        </x:is>
      </x:c>
      <x:c r="H197" t="inlineStr">
        <x:is>
          <x:t xml:space="preserve">Codex</x:t>
        </x:is>
      </x:c>
      <x:c r="I197" s="30" t="n">
        <x:v>46288</x:v>
      </x:c>
      <x:c r="J197" t="inlineStr">
        <x:is>
          <x:t xml:space="preserve">13 đường dẫn chuyển giữ inode; tools/doc-registry/ui-ux-migration.json; README và nguồn DOC-055; ZIP v0.3 cùng ID</x:t>
        </x:is>
      </x:c>
      <x:c r="K197" t="inlineStr">
        <x:is>
          <x:t xml:space="preserve">Nội dung nghiệp vụ cũ không đổi. Ưu đãi chưa duyệt. Lịch sử nguyên trạng.</x:t>
        </x:is>
      </x:c>
      <x:c r="L197" t="str">
        <x:f>IF(AND(F197="Đã cập nhật",G197="Có",H197&lt;&gt;"",ISNUMBER(I197),J197&lt;&gt;""),"Hoàn tất","Chưa hoàn tất")</x:f>
        <x:v>Hoàn tất</x:v>
      </x:c>
    </x:row>
    <x:row r="198">
      <x:c r="A198" t="inlineStr">
        <x:is>
          <x:t xml:space="preserve">ORG-20260923</x:t>
        </x:is>
      </x:c>
      <x:c r="B198" t="inlineStr">
        <x:is>
          <x:t xml:space="preserve">ORG-01; PROMO-01</x:t>
        </x:is>
      </x:c>
      <x:c r="C198" t="inlineStr">
        <x:is>
          <x:t xml:space="preserve">F17/F20</x:t>
        </x:is>
      </x:c>
      <x:c r="D198" t="inlineStr">
        <x:is>
          <x:t xml:space="preserve">DOC-048</x:t>
        </x:is>
      </x:c>
      <x:c r="E198" t="inlineStr">
        <x:is>
          <x:t xml:space="preserve">Tổ chức ui-ux và cập nhật đường dẫn</x:t>
        </x:is>
      </x:c>
      <x:c r="F198" t="inlineStr">
        <x:is>
          <x:t xml:space="preserve">Đã cập nhật</x:t>
        </x:is>
      </x:c>
      <x:c r="G198" t="inlineStr">
        <x:is>
          <x:t xml:space="preserve">Có</x:t>
        </x:is>
      </x:c>
      <x:c r="H198" t="inlineStr">
        <x:is>
          <x:t xml:space="preserve">Codex</x:t>
        </x:is>
      </x:c>
      <x:c r="I198" s="30" t="n">
        <x:v>46288</x:v>
      </x:c>
      <x:c r="J198" t="inlineStr">
        <x:is>
          <x:t xml:space="preserve">13 đường dẫn chuyển giữ inode; tools/doc-registry/ui-ux-migration.json; README và nguồn DOC-055; ZIP v0.3 cùng ID</x:t>
        </x:is>
      </x:c>
      <x:c r="K198" t="inlineStr">
        <x:is>
          <x:t xml:space="preserve">Nội dung nghiệp vụ cũ không đổi. Ưu đãi chưa duyệt. Lịch sử nguyên trạng.</x:t>
        </x:is>
      </x:c>
      <x:c r="L198" t="str">
        <x:f>IF(AND(F198="Đã cập nhật",G198="Có",H198&lt;&gt;"",ISNUMBER(I198),J198&lt;&gt;""),"Hoàn tất","Chưa hoàn tất")</x:f>
        <x:v>Hoàn tất</x:v>
      </x:c>
    </x:row>
    <x:row r="199">
      <x:c r="A199" t="inlineStr">
        <x:is>
          <x:t xml:space="preserve">ORG-20260923</x:t>
        </x:is>
      </x:c>
      <x:c r="B199" t="inlineStr">
        <x:is>
          <x:t xml:space="preserve">ORG-01; PROMO-01</x:t>
        </x:is>
      </x:c>
      <x:c r="C199" t="inlineStr">
        <x:is>
          <x:t xml:space="preserve">F17/F20</x:t>
        </x:is>
      </x:c>
      <x:c r="D199" t="inlineStr">
        <x:is>
          <x:t xml:space="preserve">DOC-049</x:t>
        </x:is>
      </x:c>
      <x:c r="E199" t="inlineStr">
        <x:is>
          <x:t xml:space="preserve">Tổ chức ui-ux và cập nhật đường dẫn</x:t>
        </x:is>
      </x:c>
      <x:c r="F199" t="inlineStr">
        <x:is>
          <x:t xml:space="preserve">Đã cập nhật</x:t>
        </x:is>
      </x:c>
      <x:c r="G199" t="inlineStr">
        <x:is>
          <x:t xml:space="preserve">Có</x:t>
        </x:is>
      </x:c>
      <x:c r="H199" t="inlineStr">
        <x:is>
          <x:t xml:space="preserve">Codex</x:t>
        </x:is>
      </x:c>
      <x:c r="I199" s="30" t="n">
        <x:v>46288</x:v>
      </x:c>
      <x:c r="J199" t="inlineStr">
        <x:is>
          <x:t xml:space="preserve">13 đường dẫn chuyển giữ inode; tools/doc-registry/ui-ux-migration.json; README và nguồn DOC-055; ZIP v0.3 cùng ID</x:t>
        </x:is>
      </x:c>
      <x:c r="K199" t="inlineStr">
        <x:is>
          <x:t xml:space="preserve">Nội dung nghiệp vụ cũ không đổi. Ưu đãi chưa duyệt. Lịch sử nguyên trạng.</x:t>
        </x:is>
      </x:c>
      <x:c r="L199" t="str">
        <x:f>IF(AND(F199="Đã cập nhật",G199="Có",H199&lt;&gt;"",ISNUMBER(I199),J199&lt;&gt;""),"Hoàn tất","Chưa hoàn tất")</x:f>
        <x:v>Hoàn tất</x:v>
      </x:c>
    </x:row>
    <x:row r="200">
      <x:c r="A200" t="inlineStr">
        <x:is>
          <x:t xml:space="preserve">ORG-20260923</x:t>
        </x:is>
      </x:c>
      <x:c r="B200" t="inlineStr">
        <x:is>
          <x:t xml:space="preserve">ORG-01; PROMO-01</x:t>
        </x:is>
      </x:c>
      <x:c r="C200" t="inlineStr">
        <x:is>
          <x:t xml:space="preserve">F17/F20</x:t>
        </x:is>
      </x:c>
      <x:c r="D200" t="inlineStr">
        <x:is>
          <x:t xml:space="preserve">DOC-050</x:t>
        </x:is>
      </x:c>
      <x:c r="E200" t="inlineStr">
        <x:is>
          <x:t xml:space="preserve">Tổ chức ui-ux và cập nhật đường dẫn</x:t>
        </x:is>
      </x:c>
      <x:c r="F200" t="inlineStr">
        <x:is>
          <x:t xml:space="preserve">Đã cập nhật</x:t>
        </x:is>
      </x:c>
      <x:c r="G200" t="inlineStr">
        <x:is>
          <x:t xml:space="preserve">Có</x:t>
        </x:is>
      </x:c>
      <x:c r="H200" t="inlineStr">
        <x:is>
          <x:t xml:space="preserve">Codex</x:t>
        </x:is>
      </x:c>
      <x:c r="I200" s="30" t="n">
        <x:v>46288</x:v>
      </x:c>
      <x:c r="J200" t="inlineStr">
        <x:is>
          <x:t xml:space="preserve">13 đường dẫn chuyển giữ inode; tools/doc-registry/ui-ux-migration.json; README và nguồn DOC-055; ZIP v0.3 cùng ID</x:t>
        </x:is>
      </x:c>
      <x:c r="K200" t="inlineStr">
        <x:is>
          <x:t xml:space="preserve">Nội dung nghiệp vụ cũ không đổi. Ưu đãi chưa duyệt. Lịch sử nguyên trạng.</x:t>
        </x:is>
      </x:c>
      <x:c r="L200" t="str">
        <x:f>IF(AND(F200="Đã cập nhật",G200="Có",H200&lt;&gt;"",ISNUMBER(I200),J200&lt;&gt;""),"Hoàn tất","Chưa hoàn tất")</x:f>
        <x:v>Hoàn tất</x:v>
      </x:c>
    </x:row>
    <x:row r="201">
      <x:c r="A201" t="inlineStr">
        <x:is>
          <x:t xml:space="preserve">ORG-20260923</x:t>
        </x:is>
      </x:c>
      <x:c r="B201" t="inlineStr">
        <x:is>
          <x:t xml:space="preserve">ORG-01; PROMO-01</x:t>
        </x:is>
      </x:c>
      <x:c r="C201" t="inlineStr">
        <x:is>
          <x:t xml:space="preserve">F17/F20</x:t>
        </x:is>
      </x:c>
      <x:c r="D201" t="inlineStr">
        <x:is>
          <x:t xml:space="preserve">DOC-051</x:t>
        </x:is>
      </x:c>
      <x:c r="E201" t="inlineStr">
        <x:is>
          <x:t xml:space="preserve">Tổ chức ui-ux và cập nhật đường dẫn</x:t>
        </x:is>
      </x:c>
      <x:c r="F201" t="inlineStr">
        <x:is>
          <x:t xml:space="preserve">Đã cập nhật</x:t>
        </x:is>
      </x:c>
      <x:c r="G201" t="inlineStr">
        <x:is>
          <x:t xml:space="preserve">Có</x:t>
        </x:is>
      </x:c>
      <x:c r="H201" t="inlineStr">
        <x:is>
          <x:t xml:space="preserve">Codex</x:t>
        </x:is>
      </x:c>
      <x:c r="I201" s="30" t="n">
        <x:v>46288</x:v>
      </x:c>
      <x:c r="J201" t="inlineStr">
        <x:is>
          <x:t xml:space="preserve">13 đường dẫn chuyển giữ inode; tools/doc-registry/ui-ux-migration.json; README và nguồn DOC-055; ZIP v0.3 cùng ID</x:t>
        </x:is>
      </x:c>
      <x:c r="K201" t="inlineStr">
        <x:is>
          <x:t xml:space="preserve">Nội dung nghiệp vụ cũ không đổi. Ưu đãi chưa duyệt. Lịch sử nguyên trạng.</x:t>
        </x:is>
      </x:c>
      <x:c r="L201" t="str">
        <x:f>IF(AND(F201="Đã cập nhật",G201="Có",H201&lt;&gt;"",ISNUMBER(I201),J201&lt;&gt;""),"Hoàn tất","Chưa hoàn tất")</x:f>
        <x:v>Hoàn tất</x:v>
      </x:c>
    </x:row>
    <x:row r="202">
      <x:c r="A202" t="inlineStr">
        <x:is>
          <x:t xml:space="preserve">ORG-20260923</x:t>
        </x:is>
      </x:c>
      <x:c r="B202" t="inlineStr">
        <x:is>
          <x:t xml:space="preserve">ORG-01; PROMO-01</x:t>
        </x:is>
      </x:c>
      <x:c r="C202" t="inlineStr">
        <x:is>
          <x:t xml:space="preserve">F17/F20</x:t>
        </x:is>
      </x:c>
      <x:c r="D202" t="inlineStr">
        <x:is>
          <x:t xml:space="preserve">DOC-052</x:t>
        </x:is>
      </x:c>
      <x:c r="E202" t="inlineStr">
        <x:is>
          <x:t xml:space="preserve">Tổ chức ui-ux và cập nhật đường dẫn</x:t>
        </x:is>
      </x:c>
      <x:c r="F202" t="inlineStr">
        <x:is>
          <x:t xml:space="preserve">Đã cập nhật</x:t>
        </x:is>
      </x:c>
      <x:c r="G202" t="inlineStr">
        <x:is>
          <x:t xml:space="preserve">Có</x:t>
        </x:is>
      </x:c>
      <x:c r="H202" t="inlineStr">
        <x:is>
          <x:t xml:space="preserve">Codex</x:t>
        </x:is>
      </x:c>
      <x:c r="I202" s="30" t="n">
        <x:v>46288</x:v>
      </x:c>
      <x:c r="J202" t="inlineStr">
        <x:is>
          <x:t xml:space="preserve">13 đường dẫn chuyển giữ inode; tools/doc-registry/ui-ux-migration.json; README và nguồn DOC-055; ZIP v0.3 cùng ID</x:t>
        </x:is>
      </x:c>
      <x:c r="K202" t="inlineStr">
        <x:is>
          <x:t xml:space="preserve">Nội dung nghiệp vụ cũ không đổi. Ưu đãi chưa duyệt. Lịch sử nguyên trạng.</x:t>
        </x:is>
      </x:c>
      <x:c r="L202" t="str">
        <x:f>IF(AND(F202="Đã cập nhật",G202="Có",H202&lt;&gt;"",ISNUMBER(I202),J202&lt;&gt;""),"Hoàn tất","Chưa hoàn tất")</x:f>
        <x:v>Hoàn tất</x:v>
      </x:c>
    </x:row>
    <x:row r="203">
      <x:c r="A203" t="inlineStr">
        <x:is>
          <x:t xml:space="preserve">ORG-20260923</x:t>
        </x:is>
      </x:c>
      <x:c r="B203" t="inlineStr">
        <x:is>
          <x:t xml:space="preserve">ORG-01; PROMO-01</x:t>
        </x:is>
      </x:c>
      <x:c r="C203" t="inlineStr">
        <x:is>
          <x:t xml:space="preserve">F17/F20</x:t>
        </x:is>
      </x:c>
      <x:c r="D203" t="inlineStr">
        <x:is>
          <x:t xml:space="preserve">DOC-053</x:t>
        </x:is>
      </x:c>
      <x:c r="E203" t="inlineStr">
        <x:is>
          <x:t xml:space="preserve">Tổ chức ui-ux và cập nhật đường dẫn</x:t>
        </x:is>
      </x:c>
      <x:c r="F203" t="inlineStr">
        <x:is>
          <x:t xml:space="preserve">Đã cập nhật</x:t>
        </x:is>
      </x:c>
      <x:c r="G203" t="inlineStr">
        <x:is>
          <x:t xml:space="preserve">Có</x:t>
        </x:is>
      </x:c>
      <x:c r="H203" t="inlineStr">
        <x:is>
          <x:t xml:space="preserve">Codex</x:t>
        </x:is>
      </x:c>
      <x:c r="I203" s="30" t="n">
        <x:v>46288</x:v>
      </x:c>
      <x:c r="J203" t="inlineStr">
        <x:is>
          <x:t xml:space="preserve">13 đường dẫn chuyển giữ inode; tools/doc-registry/ui-ux-migration.json; README và nguồn DOC-055; ZIP v0.3 cùng ID</x:t>
        </x:is>
      </x:c>
      <x:c r="K203" t="inlineStr">
        <x:is>
          <x:t xml:space="preserve">Nội dung nghiệp vụ cũ không đổi. Ưu đãi chưa duyệt. Lịch sử nguyên trạng.</x:t>
        </x:is>
      </x:c>
      <x:c r="L203" t="str">
        <x:f>IF(AND(F203="Đã cập nhật",G203="Có",H203&lt;&gt;"",ISNUMBER(I203),J203&lt;&gt;""),"Hoàn tất","Chưa hoàn tất")</x:f>
        <x:v>Hoàn tất</x:v>
      </x:c>
    </x:row>
    <x:row r="204">
      <x:c r="A204" t="inlineStr">
        <x:is>
          <x:t xml:space="preserve">ORG-20260923</x:t>
        </x:is>
      </x:c>
      <x:c r="B204" t="inlineStr">
        <x:is>
          <x:t xml:space="preserve">ORG-01; PROMO-01</x:t>
        </x:is>
      </x:c>
      <x:c r="C204" t="inlineStr">
        <x:is>
          <x:t xml:space="preserve">F17/F20</x:t>
        </x:is>
      </x:c>
      <x:c r="D204" t="inlineStr">
        <x:is>
          <x:t xml:space="preserve">RULE-001</x:t>
        </x:is>
      </x:c>
      <x:c r="E204" t="inlineStr">
        <x:is>
          <x:t xml:space="preserve">Tổ chức ui-ux và cập nhật đường dẫn</x:t>
        </x:is>
      </x:c>
      <x:c r="F204" t="inlineStr">
        <x:is>
          <x:t xml:space="preserve">Đã cập nhật</x:t>
        </x:is>
      </x:c>
      <x:c r="G204" t="inlineStr">
        <x:is>
          <x:t xml:space="preserve">Có</x:t>
        </x:is>
      </x:c>
      <x:c r="H204" t="inlineStr">
        <x:is>
          <x:t xml:space="preserve">Codex</x:t>
        </x:is>
      </x:c>
      <x:c r="I204" s="30" t="n">
        <x:v>46288</x:v>
      </x:c>
      <x:c r="J204" t="inlineStr">
        <x:is>
          <x:t xml:space="preserve">13 đường dẫn chuyển giữ inode; tools/doc-registry/ui-ux-migration.json; README và nguồn DOC-055; ZIP v0.3 cùng ID</x:t>
        </x:is>
      </x:c>
      <x:c r="K204" t="inlineStr">
        <x:is>
          <x:t xml:space="preserve">Nội dung nghiệp vụ cũ không đổi. Ưu đãi chưa duyệt. Lịch sử nguyên trạng.</x:t>
        </x:is>
      </x:c>
      <x:c r="L204" t="str">
        <x:f>IF(AND(F204="Đã cập nhật",G204="Có",H204&lt;&gt;"",ISNUMBER(I204),J204&lt;&gt;""),"Hoàn tất","Chưa hoàn tất")</x:f>
        <x:v>Hoàn tất</x:v>
      </x:c>
    </x:row>
    <x:row r="205">
      <x:c r="A205" t="inlineStr">
        <x:is>
          <x:t xml:space="preserve">ORG-20260923</x:t>
        </x:is>
      </x:c>
      <x:c r="B205" t="inlineStr">
        <x:is>
          <x:t xml:space="preserve">ORG-01; PROMO-01</x:t>
        </x:is>
      </x:c>
      <x:c r="C205" t="inlineStr">
        <x:is>
          <x:t xml:space="preserve">F17/F20</x:t>
        </x:is>
      </x:c>
      <x:c r="D205" t="inlineStr">
        <x:is>
          <x:t xml:space="preserve">DOC-054</x:t>
        </x:is>
      </x:c>
      <x:c r="E205" t="inlineStr">
        <x:is>
          <x:t xml:space="preserve">Tổ chức ui-ux và cập nhật đường dẫn</x:t>
        </x:is>
      </x:c>
      <x:c r="F205" t="inlineStr">
        <x:is>
          <x:t xml:space="preserve">Đã cập nhật</x:t>
        </x:is>
      </x:c>
      <x:c r="G205" t="inlineStr">
        <x:is>
          <x:t xml:space="preserve">Có</x:t>
        </x:is>
      </x:c>
      <x:c r="H205" t="inlineStr">
        <x:is>
          <x:t xml:space="preserve">Codex</x:t>
        </x:is>
      </x:c>
      <x:c r="I205" s="30" t="n">
        <x:v>46288</x:v>
      </x:c>
      <x:c r="J205" t="inlineStr">
        <x:is>
          <x:t xml:space="preserve">13 đường dẫn chuyển giữ inode; tools/doc-registry/ui-ux-migration.json; README và nguồn DOC-055; ZIP v0.3 cùng ID</x:t>
        </x:is>
      </x:c>
      <x:c r="K205" t="inlineStr">
        <x:is>
          <x:t xml:space="preserve">Nội dung nghiệp vụ cũ không đổi. Ưu đãi chưa duyệt. Lịch sử nguyên trạng.</x:t>
        </x:is>
      </x:c>
      <x:c r="L205" t="str">
        <x:f>IF(AND(F205="Đã cập nhật",G205="Có",H205&lt;&gt;"",ISNUMBER(I205),J205&lt;&gt;""),"Hoàn tất","Chưa hoàn tất")</x:f>
        <x:v>Hoàn tất</x:v>
      </x:c>
    </x:row>
    <x:row r="206">
      <x:c r="A206" t="inlineStr">
        <x:is>
          <x:t xml:space="preserve">ORG-20260923</x:t>
        </x:is>
      </x:c>
      <x:c r="B206" t="inlineStr">
        <x:is>
          <x:t xml:space="preserve">ORG-01; PROMO-01</x:t>
        </x:is>
      </x:c>
      <x:c r="C206" t="inlineStr">
        <x:is>
          <x:t xml:space="preserve">F17/F20</x:t>
        </x:is>
      </x:c>
      <x:c r="D206" t="inlineStr">
        <x:is>
          <x:t xml:space="preserve">DOC-055</x:t>
        </x:is>
      </x:c>
      <x:c r="E206" t="inlineStr">
        <x:is>
          <x:t xml:space="preserve">Đăng ký brainstorm tương lai</x:t>
        </x:is>
      </x:c>
      <x:c r="F206" t="inlineStr">
        <x:is>
          <x:t xml:space="preserve">Đã cập nhật</x:t>
        </x:is>
      </x:c>
      <x:c r="G206" t="inlineStr">
        <x:is>
          <x:t xml:space="preserve">Có</x:t>
        </x:is>
      </x:c>
      <x:c r="H206" t="inlineStr">
        <x:is>
          <x:t xml:space="preserve">Codex</x:t>
        </x:is>
      </x:c>
      <x:c r="I206" s="30" t="n">
        <x:v>46288</x:v>
      </x:c>
      <x:c r="J206" t="inlineStr">
        <x:is>
          <x:t xml:space="preserve">13 đường dẫn chuyển giữ inode; tools/doc-registry/ui-ux-migration.json; README và nguồn DOC-055; ZIP v0.3 cùng ID</x:t>
        </x:is>
      </x:c>
      <x:c r="K206" t="inlineStr">
        <x:is>
          <x:t xml:space="preserve">Nội dung nghiệp vụ cũ không đổi. Ưu đãi chưa duyệt. Lịch sử nguyên trạng.</x:t>
        </x:is>
      </x:c>
      <x:c r="L206" t="str">
        <x:f>IF(AND(F206="Đã cập nhật",G206="Có",H206&lt;&gt;"",ISNUMBER(I206),J206&lt;&gt;""),"Hoàn tất","Chưa hoàn tất")</x:f>
        <x:v>Hoàn tất</x:v>
      </x:c>
    </x:row>
    <x:row r="207">
      <x:c r="A207" t="inlineStr">
        <x:is>
          <x:t xml:space="preserve">PROMO-DEFER-20260923</x:t>
        </x:is>
      </x:c>
      <x:c r="B207" t="inlineStr">
        <x:is>
          <x:t xml:space="preserve">PROMO-02</x:t>
        </x:is>
      </x:c>
      <x:c r="C207" t="inlineStr">
        <x:is>
          <x:t xml:space="preserve">F04/F17/F20</x:t>
        </x:is>
      </x:c>
      <x:c r="D207" t="inlineStr">
        <x:is>
          <x:t xml:space="preserve">DOC-055</x:t>
        </x:is>
      </x:c>
      <x:c r="E207" t="inlineStr">
        <x:is>
          <x:t xml:space="preserve">Ghi nhận ngoài phase đầu</x:t>
        </x:is>
      </x:c>
      <x:c r="F207" t="inlineStr">
        <x:is>
          <x:t xml:space="preserve">Đã cập nhật</x:t>
        </x:is>
      </x:c>
      <x:c r="G207" t="inlineStr">
        <x:is>
          <x:t xml:space="preserve">Có</x:t>
        </x:is>
      </x:c>
      <x:c r="H207" t="inlineStr">
        <x:is>
          <x:t xml:space="preserve">Codex</x:t>
        </x:is>
      </x:c>
      <x:c r="I207" s="30" t="n">
        <x:v>46288</x:v>
      </x:c>
      <x:c r="J207" t="inlineStr">
        <x:is>
          <x:t xml:space="preserve">DOC-055 v0.2 Markdown/HTML/localhost; README và AGENTS; ZIP cùng ID</x:t>
        </x:is>
      </x:c>
      <x:c r="K207" t="inlineStr">
        <x:is>
          <x:t xml:space="preserve">Baseline chưa chứa nhóm ưu đãi; không đổi point hay backlog triển khai</x:t>
        </x:is>
      </x:c>
      <x:c r="L207" t="str">
        <x:f>IF(AND(F207="Đã cập nhật",G207="Có",H207&lt;&gt;"",ISNUMBER(I207),J207&lt;&gt;""),"Hoàn tất","Chưa hoàn tất")</x:f>
        <x:v>Hoàn tất</x:v>
      </x:c>
    </x:row>
    <x:row r="208">
      <x:c r="A208" t="inlineStr">
        <x:is>
          <x:t xml:space="preserve">PROMO-DEFER-20260923</x:t>
        </x:is>
      </x:c>
      <x:c r="B208" t="inlineStr">
        <x:is>
          <x:t xml:space="preserve">PROMO-02</x:t>
        </x:is>
      </x:c>
      <x:c r="C208" t="inlineStr">
        <x:is>
          <x:t xml:space="preserve">F04/F17/F20</x:t>
        </x:is>
      </x:c>
      <x:c r="D208" t="inlineStr">
        <x:is>
          <x:t xml:space="preserve">DOC-054</x:t>
        </x:is>
      </x:c>
      <x:c r="E208" t="inlineStr">
        <x:is>
          <x:t xml:space="preserve">Ghi nhận ngoài phase đầu</x:t>
        </x:is>
      </x:c>
      <x:c r="F208" t="inlineStr">
        <x:is>
          <x:t xml:space="preserve">Đã cập nhật</x:t>
        </x:is>
      </x:c>
      <x:c r="G208" t="inlineStr">
        <x:is>
          <x:t xml:space="preserve">Có</x:t>
        </x:is>
      </x:c>
      <x:c r="H208" t="inlineStr">
        <x:is>
          <x:t xml:space="preserve">Codex</x:t>
        </x:is>
      </x:c>
      <x:c r="I208" s="30" t="n">
        <x:v>46288</x:v>
      </x:c>
      <x:c r="J208" t="inlineStr">
        <x:is>
          <x:t xml:space="preserve">DOC-055 v0.2 Markdown/HTML/localhost; README và AGENTS; ZIP cùng ID</x:t>
        </x:is>
      </x:c>
      <x:c r="K208" t="inlineStr">
        <x:is>
          <x:t xml:space="preserve">Baseline chưa chứa nhóm ưu đãi; không đổi point hay backlog triển khai</x:t>
        </x:is>
      </x:c>
      <x:c r="L208" t="str">
        <x:f>IF(AND(F208="Đã cập nhật",G208="Có",H208&lt;&gt;"",ISNUMBER(I208),J208&lt;&gt;""),"Hoàn tất","Chưa hoàn tất")</x:f>
        <x:v>Hoàn tất</x:v>
      </x:c>
    </x:row>
    <x:row r="209">
      <x:c r="A209" t="inlineStr">
        <x:is>
          <x:t xml:space="preserve">PROMO-DEFER-20260923</x:t>
        </x:is>
      </x:c>
      <x:c r="B209" t="inlineStr">
        <x:is>
          <x:t xml:space="preserve">PROMO-02</x:t>
        </x:is>
      </x:c>
      <x:c r="C209" t="inlineStr">
        <x:is>
          <x:t xml:space="preserve">F04/F17/F20</x:t>
        </x:is>
      </x:c>
      <x:c r="D209" t="inlineStr">
        <x:is>
          <x:t xml:space="preserve">RULE-001</x:t>
        </x:is>
      </x:c>
      <x:c r="E209" t="inlineStr">
        <x:is>
          <x:t xml:space="preserve">Ghi nhận ngoài phase đầu</x:t>
        </x:is>
      </x:c>
      <x:c r="F209" t="inlineStr">
        <x:is>
          <x:t xml:space="preserve">Đã cập nhật</x:t>
        </x:is>
      </x:c>
      <x:c r="G209" t="inlineStr">
        <x:is>
          <x:t xml:space="preserve">Có</x:t>
        </x:is>
      </x:c>
      <x:c r="H209" t="inlineStr">
        <x:is>
          <x:t xml:space="preserve">Codex</x:t>
        </x:is>
      </x:c>
      <x:c r="I209" s="30" t="n">
        <x:v>46288</x:v>
      </x:c>
      <x:c r="J209" t="inlineStr">
        <x:is>
          <x:t xml:space="preserve">DOC-055 v0.2 Markdown/HTML/localhost; README và AGENTS; ZIP cùng ID</x:t>
        </x:is>
      </x:c>
      <x:c r="K209" t="inlineStr">
        <x:is>
          <x:t xml:space="preserve">Baseline chưa chứa nhóm ưu đãi; không đổi point hay backlog triển khai</x:t>
        </x:is>
      </x:c>
      <x:c r="L209" t="str">
        <x:f>IF(AND(F209="Đã cập nhật",G209="Có",H209&lt;&gt;"",ISNUMBER(I209),J209&lt;&gt;""),"Hoàn tất","Chưa hoàn tất")</x:f>
        <x:v>Hoàn tất</x:v>
      </x:c>
    </x:row>
    <x:row r="210" ht="110" customHeight="1">
      <x:c r="A210" s="24" t="inlineStr">
        <x:is>
          <x:t xml:space="preserve">CUSTOMER-UI-20260923</x:t>
        </x:is>
      </x:c>
      <x:c r="B210" s="24" t="inlineStr">
        <x:is>
          <x:t xml:space="preserve">UI-05</x:t>
        </x:is>
      </x:c>
      <x:c r="C210" s="24" t="inlineStr">
        <x:is>
          <x:t xml:space="preserve">F06/F09/F10/F11/F13/F17</x:t>
        </x:is>
      </x:c>
      <x:c r="D210" s="24" t="inlineStr">
        <x:is>
          <x:t xml:space="preserve">DOC-050</x:t>
        </x:is>
      </x:c>
      <x:c r="E210" s="24" t="inlineStr">
        <x:is>
          <x:t xml:space="preserve">Đồng bộ UI khách và nền tảng</x:t>
        </x:is>
      </x:c>
      <x:c r="F210" s="24" t="inlineStr">
        <x:is>
          <x:t xml:space="preserve">Đã cập nhật</x:t>
        </x:is>
      </x:c>
      <x:c r="G210" s="24" t="inlineStr">
        <x:is>
          <x:t xml:space="preserve">Có</x:t>
        </x:is>
      </x:c>
      <x:c r="H210" s="24" t="inlineStr">
        <x:is>
          <x:t xml:space="preserve">Codex</x:t>
        </x:is>
      </x:c>
      <x:c r="I210" s="29" t="n">
        <x:v>46288</x:v>
      </x:c>
      <x:c r="J210" s="24" t="inlineStr">
        <x:is>
          <x:t xml:space="preserve">React v0.3, 14 stories; 8 tests; Vite/Storybook build; browser tiền 300k/point80k/cash220k/reward2933</x:t>
        </x:is>
      </x:c>
      <x:c r="K210" s="24" t="inlineStr">
        <x:is>
          <x:t xml:space="preserve">Chưa có backend/tiền thật</x:t>
        </x:is>
      </x:c>
      <x:c r="L210" s="24" t="str">
        <x:f>IF(AND(OR(F210="Đã cập nhật",F210="Không áp dụng"),G210="Có",H210&lt;&gt;"",ISNUMBER(I210),J210&lt;&gt;""),"Hoàn tất","Chưa hoàn tất")</x:f>
        <x:v>Hoàn tất</x:v>
      </x:c>
    </x:row>
    <x:row r="211" ht="110" customHeight="1">
      <x:c r="A211" s="24" t="inlineStr">
        <x:is>
          <x:t xml:space="preserve">CUSTOMER-UI-20260923</x:t>
        </x:is>
      </x:c>
      <x:c r="B211" s="24" t="inlineStr">
        <x:is>
          <x:t xml:space="preserve">UI-05</x:t>
        </x:is>
      </x:c>
      <x:c r="C211" s="24" t="inlineStr">
        <x:is>
          <x:t xml:space="preserve">F06/F09/F10/F11/F13/F17</x:t>
        </x:is>
      </x:c>
      <x:c r="D211" s="24" t="inlineStr">
        <x:is>
          <x:t xml:space="preserve">PLAN-006</x:t>
        </x:is>
      </x:c>
      <x:c r="E211" s="24" t="inlineStr">
        <x:is>
          <x:t xml:space="preserve">Đồng bộ UI khách và nền tảng</x:t>
        </x:is>
      </x:c>
      <x:c r="F211" s="24" t="inlineStr">
        <x:is>
          <x:t xml:space="preserve">Đã cập nhật</x:t>
        </x:is>
      </x:c>
      <x:c r="G211" s="24" t="inlineStr">
        <x:is>
          <x:t xml:space="preserve">Có</x:t>
        </x:is>
      </x:c>
      <x:c r="H211" s="24" t="inlineStr">
        <x:is>
          <x:t xml:space="preserve">Codex</x:t>
        </x:is>
      </x:c>
      <x:c r="I211" s="29" t="n">
        <x:v>46288</x:v>
      </x:c>
      <x:c r="J211" s="24" t="inlineStr">
        <x:is>
          <x:t xml:space="preserve">ui-ux/specs/design-system.md và Storybook DesignFoundations v0.1</x:t>
        </x:is>
      </x:c>
      <x:c r="K211" s="24" t="inlineStr">
        <x:is>
          <x:t xml:space="preserve">Nền tảng khách; chưa DS toàn hệ thống</x:t>
        </x:is>
      </x:c>
      <x:c r="L211" s="24" t="str">
        <x:f>IF(AND(OR(F211="Đã cập nhật",F211="Không áp dụng"),G211="Có",H211&lt;&gt;"",ISNUMBER(I211),J211&lt;&gt;""),"Hoàn tất","Chưa hoàn tất")</x:f>
        <x:v>Hoàn tất</x:v>
      </x:c>
    </x:row>
    <x:row r="212" ht="110" customHeight="1">
      <x:c r="A212" s="24" t="inlineStr">
        <x:is>
          <x:t xml:space="preserve">CUSTOMER-UI-20260923</x:t>
        </x:is>
      </x:c>
      <x:c r="B212" s="24" t="inlineStr">
        <x:is>
          <x:t xml:space="preserve">UI-05</x:t>
        </x:is>
      </x:c>
      <x:c r="C212" s="24" t="inlineStr">
        <x:is>
          <x:t xml:space="preserve">F06/F09/F10/F11/F13/F17</x:t>
        </x:is>
      </x:c>
      <x:c r="D212" s="24" t="inlineStr">
        <x:is>
          <x:t xml:space="preserve">DOC-056</x:t>
        </x:is>
      </x:c>
      <x:c r="E212" s="24" t="inlineStr">
        <x:is>
          <x:t xml:space="preserve">Đồng bộ UI khách và nền tảng</x:t>
        </x:is>
      </x:c>
      <x:c r="F212" s="24" t="inlineStr">
        <x:is>
          <x:t xml:space="preserve">Đã cập nhật</x:t>
        </x:is>
      </x:c>
      <x:c r="G212" s="24" t="inlineStr">
        <x:is>
          <x:t xml:space="preserve">Có</x:t>
        </x:is>
      </x:c>
      <x:c r="H212" s="24" t="inlineStr">
        <x:is>
          <x:t xml:space="preserve">Codex</x:t>
        </x:is>
      </x:c>
      <x:c r="I212" s="29" t="n">
        <x:v>46288</x:v>
      </x:c>
      <x:c r="J212" s="24" t="inlineStr">
        <x:is>
          <x:t xml:space="preserve">ui-ux/specs/customer-journey.md v0.3; thao tác và giới hạn kiểm chứng</x:t>
        </x:is>
      </x:c>
      <x:c r="K212" s="24" t="inlineStr">
        <x:is>
          <x:t xml:space="preserve">Các luồng phụ/partner/admin còn đợt sau</x:t>
        </x:is>
      </x:c>
      <x:c r="L212" s="24" t="str">
        <x:f>IF(AND(OR(F212="Đã cập nhật",F212="Không áp dụng"),G212="Có",H212&lt;&gt;"",ISNUMBER(I212),J212&lt;&gt;""),"Hoàn tất","Chưa hoàn tất")</x:f>
        <x:v>Hoàn tất</x:v>
      </x:c>
    </x:row>
    <x:row r="213" ht="110" customHeight="1">
      <x:c r="A213" s="24" t="inlineStr">
        <x:is>
          <x:t xml:space="preserve">CUSTOMER-UI-20260923</x:t>
        </x:is>
      </x:c>
      <x:c r="B213" s="24" t="inlineStr">
        <x:is>
          <x:t xml:space="preserve">UI-05</x:t>
        </x:is>
      </x:c>
      <x:c r="C213" s="24" t="inlineStr">
        <x:is>
          <x:t xml:space="preserve">F06/F09/F10/F11/F13/F17</x:t>
        </x:is>
      </x:c>
      <x:c r="D213" s="24" t="inlineStr">
        <x:is>
          <x:t xml:space="preserve">DOC-053</x:t>
        </x:is>
      </x:c>
      <x:c r="E213" s="24" t="inlineStr">
        <x:is>
          <x:t xml:space="preserve">Đồng bộ UI khách và nền tảng</x:t>
        </x:is>
      </x:c>
      <x:c r="F213" s="24" t="inlineStr">
        <x:is>
          <x:t xml:space="preserve">Đã cập nhật</x:t>
        </x:is>
      </x:c>
      <x:c r="G213" s="24" t="inlineStr">
        <x:is>
          <x:t xml:space="preserve">Có</x:t>
        </x:is>
      </x:c>
      <x:c r="H213" s="24" t="inlineStr">
        <x:is>
          <x:t xml:space="preserve">Codex</x:t>
        </x:is>
      </x:c>
      <x:c r="I213" s="29" t="n">
        <x:v>46288</x:v>
      </x:c>
      <x:c r="J213" s="24" t="inlineStr">
        <x:is>
          <x:t xml:space="preserve">ui-ux/research/ui-direction-v0.2.md nội dung v0.3</x:t>
        </x:is>
      </x:c>
      <x:c r="K213" s="24" t="inlineStr">
        <x:is>
          <x:t xml:space="preserve">Giữ nguồn tham khảo và hướng thị giác</x:t>
        </x:is>
      </x:c>
      <x:c r="L213" s="24" t="str">
        <x:f>IF(AND(OR(F213="Đã cập nhật",F213="Không áp dụng"),G213="Có",H213&lt;&gt;"",ISNUMBER(I213),J213&lt;&gt;""),"Hoàn tất","Chưa hoàn tất")</x:f>
        <x:v>Hoàn tất</x:v>
      </x:c>
    </x:row>
    <x:row r="214" ht="110" customHeight="1">
      <x:c r="A214" s="24" t="inlineStr">
        <x:is>
          <x:t xml:space="preserve">CUSTOMER-UI-20260923</x:t>
        </x:is>
      </x:c>
      <x:c r="B214" s="24" t="inlineStr">
        <x:is>
          <x:t xml:space="preserve">UI-05</x:t>
        </x:is>
      </x:c>
      <x:c r="C214" s="24" t="inlineStr">
        <x:is>
          <x:t xml:space="preserve">F06/F09/F10/F11/F13/F17</x:t>
        </x:is>
      </x:c>
      <x:c r="D214" s="24" t="inlineStr">
        <x:is>
          <x:t xml:space="preserve">DOC-052</x:t>
        </x:is>
      </x:c>
      <x:c r="E214" s="24" t="inlineStr">
        <x:is>
          <x:t xml:space="preserve">Đồng bộ UI khách và nền tảng</x:t>
        </x:is>
      </x:c>
      <x:c r="F214" s="24" t="inlineStr">
        <x:is>
          <x:t xml:space="preserve">Đã cập nhật</x:t>
        </x:is>
      </x:c>
      <x:c r="G214" s="24" t="inlineStr">
        <x:is>
          <x:t xml:space="preserve">Có</x:t>
        </x:is>
      </x:c>
      <x:c r="H214" s="24" t="inlineStr">
        <x:is>
          <x:t xml:space="preserve">Codex</x:t>
        </x:is>
      </x:c>
      <x:c r="I214" s="29" t="n">
        <x:v>46288</x:v>
      </x:c>
      <x:c r="J214" s="24" t="inlineStr">
        <x:is>
          <x:t xml:space="preserve">ui-ux/research/README.md cập nhật hướng dẫn v0.3</x:t>
        </x:is>
      </x:c>
      <x:c r="K214" s="24" t="inlineStr">
        <x:is>
          <x:t xml:space="preserve">Không đổi nghiên cứu thư viện</x:t>
        </x:is>
      </x:c>
      <x:c r="L214" s="24" t="str">
        <x:f>IF(AND(OR(F214="Đã cập nhật",F214="Không áp dụng"),G214="Có",H214&lt;&gt;"",ISNUMBER(I214),J214&lt;&gt;""),"Hoàn tất","Chưa hoàn tất")</x:f>
        <x:v>Hoàn tất</x:v>
      </x:c>
    </x:row>
    <x:row r="215" ht="110" customHeight="1">
      <x:c r="A215" s="24" t="inlineStr">
        <x:is>
          <x:t xml:space="preserve">CUSTOMER-UI-20260923</x:t>
        </x:is>
      </x:c>
      <x:c r="B215" s="24" t="inlineStr">
        <x:is>
          <x:t xml:space="preserve">UI-05</x:t>
        </x:is>
      </x:c>
      <x:c r="C215" s="24" t="inlineStr">
        <x:is>
          <x:t xml:space="preserve">F06/F09/F10/F11/F13/F17</x:t>
        </x:is>
      </x:c>
      <x:c r="D215" s="24" t="inlineStr">
        <x:is>
          <x:t xml:space="preserve">DOC-054</x:t>
        </x:is>
      </x:c>
      <x:c r="E215" s="24" t="inlineStr">
        <x:is>
          <x:t xml:space="preserve">Đồng bộ UI khách và nền tảng</x:t>
        </x:is>
      </x:c>
      <x:c r="F215" s="24" t="inlineStr">
        <x:is>
          <x:t xml:space="preserve">Đã cập nhật</x:t>
        </x:is>
      </x:c>
      <x:c r="G215" s="24" t="inlineStr">
        <x:is>
          <x:t xml:space="preserve">Có</x:t>
        </x:is>
      </x:c>
      <x:c r="H215" s="24" t="inlineStr">
        <x:is>
          <x:t xml:space="preserve">Codex</x:t>
        </x:is>
      </x:c>
      <x:c r="I215" s="29" t="n">
        <x:v>46288</x:v>
      </x:c>
      <x:c r="J215" s="24" t="inlineStr">
        <x:is>
          <x:t xml:space="preserve">README gốc và ui-ux/README.md trỏ DS/luồng mới</x:t>
        </x:is>
      </x:c>
      <x:c r="K215" s="24" t="inlineStr">
        <x:is>
          <x:t xml:space="preserve">Cấu trúc thư mục không đổi</x:t>
        </x:is>
      </x:c>
      <x:c r="L215" s="24" t="str">
        <x:f>IF(AND(OR(F215="Đã cập nhật",F215="Không áp dụng"),G215="Có",H215&lt;&gt;"",ISNUMBER(I215),J215&lt;&gt;""),"Hoàn tất","Chưa hoàn tất")</x:f>
        <x:v>Hoàn tất</x:v>
      </x:c>
    </x:row>
    <x:row r="216" ht="110" customHeight="1">
      <x:c r="A216" s="24" t="inlineStr">
        <x:is>
          <x:t xml:space="preserve">CUSTOMER-UI-20260923</x:t>
        </x:is>
      </x:c>
      <x:c r="B216" s="24" t="inlineStr">
        <x:is>
          <x:t xml:space="preserve">UI-05</x:t>
        </x:is>
      </x:c>
      <x:c r="C216" s="24" t="inlineStr">
        <x:is>
          <x:t xml:space="preserve">F06/F09/F10/F11/F13/F17</x:t>
        </x:is>
      </x:c>
      <x:c r="D216" s="24" t="inlineStr">
        <x:is>
          <x:t xml:space="preserve">BRD/FR/NFR/SRS/ERD/API/UX nghiệp vụ</x:t>
        </x:is>
      </x:c>
      <x:c r="E216" s="24" t="inlineStr">
        <x:is>
          <x:t xml:space="preserve">Đồng bộ UI khách và nền tảng</x:t>
        </x:is>
      </x:c>
      <x:c r="F216" s="24" t="inlineStr">
        <x:is>
          <x:t xml:space="preserve">Không áp dụng</x:t>
        </x:is>
      </x:c>
      <x:c r="G216" s="24" t="inlineStr">
        <x:is>
          <x:t xml:space="preserve">Có</x:t>
        </x:is>
      </x:c>
      <x:c r="H216" s="24" t="inlineStr">
        <x:is>
          <x:t xml:space="preserve">Codex</x:t>
        </x:is>
      </x:c>
      <x:c r="I216" s="29" t="n">
        <x:v>46288</x:v>
      </x:c>
      <x:c r="J216" s="24" t="inlineStr">
        <x:is>
          <x:t xml:space="preserve">Đối chiếu hành vi với prototype nghiệp vụ/technical QA; không đổi quy tắc</x:t>
        </x:is>
      </x:c>
      <x:c r="K216" s="24" t="inlineStr">
        <x:is>
          <x:t xml:space="preserve">Bản React chưa thay thế mọi màn DOC-008</x:t>
        </x:is>
      </x:c>
      <x:c r="L216" s="24" t="str">
        <x:f>IF(AND(OR(F216="Đã cập nhật",F216="Không áp dụng"),G216="Có",H216&lt;&gt;"",ISNUMBER(I216),J216&lt;&gt;""),"Hoàn tất","Chưa hoàn tất")</x:f>
        <x:v>Hoàn tất</x:v>
      </x:c>
    </x:row>
    <x:row r="217" ht="110" customHeight="1">
      <x:c r="A217" s="24" t="inlineStr">
        <x:is>
          <x:t xml:space="preserve">CUSTOMER-UI-20260923</x:t>
        </x:is>
      </x:c>
      <x:c r="B217" s="24" t="inlineStr">
        <x:is>
          <x:t xml:space="preserve">UI-05</x:t>
        </x:is>
      </x:c>
      <x:c r="C217" s="24" t="inlineStr">
        <x:is>
          <x:t xml:space="preserve">F06/F09/F10/F11/F13/F17</x:t>
        </x:is>
      </x:c>
      <x:c r="D217" s="24" t="inlineStr">
        <x:is>
          <x:t xml:space="preserve">ZIP/Drive</x:t>
        </x:is>
      </x:c>
      <x:c r="E217" s="24" t="inlineStr">
        <x:is>
          <x:t xml:space="preserve">Đồng bộ UI khách và nền tảng</x:t>
        </x:is>
      </x:c>
      <x:c r="F217" s="24" t="inlineStr">
        <x:is>
          <x:t xml:space="preserve">Đã cập nhật</x:t>
        </x:is>
      </x:c>
      <x:c r="G217" s="24" t="inlineStr">
        <x:is>
          <x:t xml:space="preserve">Có</x:t>
        </x:is>
      </x:c>
      <x:c r="H217" s="24" t="inlineStr">
        <x:is>
          <x:t xml:space="preserve">Codex</x:t>
        </x:is>
      </x:c>
      <x:c r="I217" s="29" t="n">
        <x:v>46288</x:v>
      </x:c>
      <x:c r="J217" s="24" t="inlineStr">
        <x:is>
          <x:t xml:space="preserve">UI-UX-v0.4.zip; registry v1.11 cùng Drive ID, kiểm metadata sau tải</x:t>
        </x:is>
      </x:c>
      <x:c r="K217" s="24" t="inlineStr">
        <x:is>
          <x:t xml:space="preserve">Đọc lại sau upload trước báo hoàn tất</x:t>
        </x:is>
      </x:c>
      <x:c r="L217" s="24" t="str">
        <x:f>IF(AND(OR(F217="Đã cập nhật",F217="Không áp dụng"),G217="Có",H217&lt;&gt;"",ISNUMBER(I217),J217&lt;&gt;""),"Hoàn tất","Chưa hoàn tất")</x:f>
        <x:v>Hoàn tất</x:v>
      </x:c>
    </x:row>
    <x:row r="218" ht="110" customHeight="1">
      <x:c r="A218" s="24" t="inlineStr">
        <x:is>
          <x:t xml:space="preserve">PARTNER-UI-20260923</x:t>
        </x:is>
      </x:c>
      <x:c r="B218" s="24" t="inlineStr">
        <x:is>
          <x:t xml:space="preserve">UI-06</x:t>
        </x:is>
      </x:c>
      <x:c r="C218" s="24" t="inlineStr">
        <x:is>
          <x:t xml:space="preserve">F05/F08/F09/F10/F11/F12/F17</x:t>
        </x:is>
      </x:c>
      <x:c r="D218" s="24" t="inlineStr">
        <x:is>
          <x:t xml:space="preserve">DOC-050</x:t>
        </x:is>
      </x:c>
      <x:c r="E218" s="24" t="inlineStr">
        <x:is>
          <x:t xml:space="preserve">Đồng bộ thiết kế partner</x:t>
        </x:is>
      </x:c>
      <x:c r="F218" s="24" t="inlineStr">
        <x:is>
          <x:t xml:space="preserve">Đã cập nhật</x:t>
        </x:is>
      </x:c>
      <x:c r="G218" s="24" t="inlineStr">
        <x:is>
          <x:t xml:space="preserve">Có</x:t>
        </x:is>
      </x:c>
      <x:c r="H218" s="24" t="inlineStr">
        <x:is>
          <x:t xml:space="preserve">Codex</x:t>
        </x:is>
      </x:c>
      <x:c r="I218" s="29" t="n">
        <x:v>46288</x:v>
      </x:c>
      <x:c r="J218" s="24" t="inlineStr">
        <x:is>
          <x:t xml:space="preserve">React v0.4; 18 stories; 16 tests; browser ví500k→560k, rút vượt số dư bị chặn</x:t>
        </x:is>
      </x:c>
      <x:c r="K218" s="24" t="inlineStr">
        <x:is>
          <x:t xml:space="preserve">Dữ liệu mẫu; các giới hạn ghi DOC-057</x:t>
        </x:is>
      </x:c>
      <x:c r="L218" s="24" t="str">
        <x:f>IF(AND(OR(F218="Đã cập nhật",F218="Không áp dụng"),G218="Có",H218&lt;&gt;"",ISNUMBER(I218),J218&lt;&gt;""),"Hoàn tất","Chưa hoàn tất")</x:f>
        <x:v>Hoàn tất</x:v>
      </x:c>
    </x:row>
    <x:row r="219" ht="110" customHeight="1">
      <x:c r="A219" s="24" t="inlineStr">
        <x:is>
          <x:t xml:space="preserve">PARTNER-UI-20260923</x:t>
        </x:is>
      </x:c>
      <x:c r="B219" s="24" t="inlineStr">
        <x:is>
          <x:t xml:space="preserve">UI-06</x:t>
        </x:is>
      </x:c>
      <x:c r="C219" s="24" t="inlineStr">
        <x:is>
          <x:t xml:space="preserve">F05/F08/F09/F10/F11/F12/F17</x:t>
        </x:is>
      </x:c>
      <x:c r="D219" s="24" t="inlineStr">
        <x:is>
          <x:t xml:space="preserve">PLAN-006</x:t>
        </x:is>
      </x:c>
      <x:c r="E219" s="24" t="inlineStr">
        <x:is>
          <x:t xml:space="preserve">Đồng bộ thiết kế partner</x:t>
        </x:is>
      </x:c>
      <x:c r="F219" s="24" t="inlineStr">
        <x:is>
          <x:t xml:space="preserve">Đã cập nhật</x:t>
        </x:is>
      </x:c>
      <x:c r="G219" s="24" t="inlineStr">
        <x:is>
          <x:t xml:space="preserve">Có</x:t>
        </x:is>
      </x:c>
      <x:c r="H219" s="24" t="inlineStr">
        <x:is>
          <x:t xml:space="preserve">Codex</x:t>
        </x:is>
      </x:c>
      <x:c r="I219" s="29" t="n">
        <x:v>46288</x:v>
      </x:c>
      <x:c r="J219" s="24" t="inlineStr">
        <x:is>
          <x:t xml:space="preserve">design-system.md v0.2; component partner trong Storybook</x:t>
        </x:is>
      </x:c>
      <x:c r="K219" s="24" t="inlineStr">
        <x:is>
          <x:t xml:space="preserve">Dữ liệu mẫu; các giới hạn ghi DOC-057</x:t>
        </x:is>
      </x:c>
      <x:c r="L219" s="24" t="str">
        <x:f>IF(AND(OR(F219="Đã cập nhật",F219="Không áp dụng"),G219="Có",H219&lt;&gt;"",ISNUMBER(I219),J219&lt;&gt;""),"Hoàn tất","Chưa hoàn tất")</x:f>
        <x:v>Hoàn tất</x:v>
      </x:c>
    </x:row>
    <x:row r="220" ht="110" customHeight="1">
      <x:c r="A220" s="24" t="inlineStr">
        <x:is>
          <x:t xml:space="preserve">PARTNER-UI-20260923</x:t>
        </x:is>
      </x:c>
      <x:c r="B220" s="24" t="inlineStr">
        <x:is>
          <x:t xml:space="preserve">UI-06</x:t>
        </x:is>
      </x:c>
      <x:c r="C220" s="24" t="inlineStr">
        <x:is>
          <x:t xml:space="preserve">F05/F08/F09/F10/F11/F12/F17</x:t>
        </x:is>
      </x:c>
      <x:c r="D220" s="24" t="inlineStr">
        <x:is>
          <x:t xml:space="preserve">DOC-057</x:t>
        </x:is>
      </x:c>
      <x:c r="E220" s="24" t="inlineStr">
        <x:is>
          <x:t xml:space="preserve">Đồng bộ thiết kế partner</x:t>
        </x:is>
      </x:c>
      <x:c r="F220" s="24" t="inlineStr">
        <x:is>
          <x:t xml:space="preserve">Đã cập nhật</x:t>
        </x:is>
      </x:c>
      <x:c r="G220" s="24" t="inlineStr">
        <x:is>
          <x:t xml:space="preserve">Có</x:t>
        </x:is>
      </x:c>
      <x:c r="H220" s="24" t="inlineStr">
        <x:is>
          <x:t xml:space="preserve">Codex</x:t>
        </x:is>
      </x:c>
      <x:c r="I220" s="29" t="n">
        <x:v>46288</x:v>
      </x:c>
      <x:c r="J220" s="24" t="inlineStr">
        <x:is>
          <x:t xml:space="preserve">partner-journey.md v0.4; phạm vi, hướng dẫn và QA</x:t>
        </x:is>
      </x:c>
      <x:c r="K220" s="24" t="inlineStr">
        <x:is>
          <x:t xml:space="preserve">Dữ liệu mẫu; các giới hạn ghi DOC-057</x:t>
        </x:is>
      </x:c>
      <x:c r="L220" s="24" t="str">
        <x:f>IF(AND(OR(F220="Đã cập nhật",F220="Không áp dụng"),G220="Có",H220&lt;&gt;"",ISNUMBER(I220),J220&lt;&gt;""),"Hoàn tất","Chưa hoàn tất")</x:f>
        <x:v>Hoàn tất</x:v>
      </x:c>
    </x:row>
    <x:row r="221" ht="110" customHeight="1">
      <x:c r="A221" s="24" t="inlineStr">
        <x:is>
          <x:t xml:space="preserve">PARTNER-UI-20260923</x:t>
        </x:is>
      </x:c>
      <x:c r="B221" s="24" t="inlineStr">
        <x:is>
          <x:t xml:space="preserve">UI-06</x:t>
        </x:is>
      </x:c>
      <x:c r="C221" s="24" t="inlineStr">
        <x:is>
          <x:t xml:space="preserve">F05/F08/F09/F10/F11/F12/F17</x:t>
        </x:is>
      </x:c>
      <x:c r="D221" s="24" t="inlineStr">
        <x:is>
          <x:t xml:space="preserve">DOC-056</x:t>
        </x:is>
      </x:c>
      <x:c r="E221" s="24" t="inlineStr">
        <x:is>
          <x:t xml:space="preserve">Đồng bộ thiết kế partner</x:t>
        </x:is>
      </x:c>
      <x:c r="F221" s="24" t="inlineStr">
        <x:is>
          <x:t xml:space="preserve">Đã cập nhật</x:t>
        </x:is>
      </x:c>
      <x:c r="G221" s="24" t="inlineStr">
        <x:is>
          <x:t xml:space="preserve">Có</x:t>
        </x:is>
      </x:c>
      <x:c r="H221" s="24" t="inlineStr">
        <x:is>
          <x:t xml:space="preserve">Codex</x:t>
        </x:is>
      </x:c>
      <x:c r="I221" s="29" t="n">
        <x:v>46288</x:v>
      </x:c>
      <x:c r="J221" s="24" t="inlineStr">
        <x:is>
          <x:t xml:space="preserve">customer-journey.md v0.4; hướng dẫn chuyển vai trò thay panel cũ</x:t>
        </x:is>
      </x:c>
      <x:c r="K221" s="24" t="inlineStr">
        <x:is>
          <x:t xml:space="preserve">Dữ liệu mẫu; các giới hạn ghi DOC-057</x:t>
        </x:is>
      </x:c>
      <x:c r="L221" s="24" t="str">
        <x:f>IF(AND(OR(F221="Đã cập nhật",F221="Không áp dụng"),G221="Có",H221&lt;&gt;"",ISNUMBER(I221),J221&lt;&gt;""),"Hoàn tất","Chưa hoàn tất")</x:f>
        <x:v>Hoàn tất</x:v>
      </x:c>
    </x:row>
    <x:row r="222" ht="110" customHeight="1">
      <x:c r="A222" s="24" t="inlineStr">
        <x:is>
          <x:t xml:space="preserve">PARTNER-UI-20260923</x:t>
        </x:is>
      </x:c>
      <x:c r="B222" s="24" t="inlineStr">
        <x:is>
          <x:t xml:space="preserve">UI-06</x:t>
        </x:is>
      </x:c>
      <x:c r="C222" s="24" t="inlineStr">
        <x:is>
          <x:t xml:space="preserve">F05/F08/F09/F10/F11/F12/F17</x:t>
        </x:is>
      </x:c>
      <x:c r="D222" s="24" t="inlineStr">
        <x:is>
          <x:t xml:space="preserve">DOC-053</x:t>
        </x:is>
      </x:c>
      <x:c r="E222" s="24" t="inlineStr">
        <x:is>
          <x:t xml:space="preserve">Đồng bộ thiết kế partner</x:t>
        </x:is>
      </x:c>
      <x:c r="F222" s="24" t="inlineStr">
        <x:is>
          <x:t xml:space="preserve">Đã cập nhật</x:t>
        </x:is>
      </x:c>
      <x:c r="G222" s="24" t="inlineStr">
        <x:is>
          <x:t xml:space="preserve">Có</x:t>
        </x:is>
      </x:c>
      <x:c r="H222" s="24" t="inlineStr">
        <x:is>
          <x:t xml:space="preserve">Codex</x:t>
        </x:is>
      </x:c>
      <x:c r="I222" s="29" t="n">
        <x:v>46288</x:v>
      </x:c>
      <x:c r="J222" s="24" t="inlineStr">
        <x:is>
          <x:t xml:space="preserve">Hướng UI v0.4, tham chiếu nhóm partner</x:t>
        </x:is>
      </x:c>
      <x:c r="K222" s="24" t="inlineStr">
        <x:is>
          <x:t xml:space="preserve">Dữ liệu mẫu; các giới hạn ghi DOC-057</x:t>
        </x:is>
      </x:c>
      <x:c r="L222" s="24" t="str">
        <x:f>IF(AND(OR(F222="Đã cập nhật",F222="Không áp dụng"),G222="Có",H222&lt;&gt;"",ISNUMBER(I222),J222&lt;&gt;""),"Hoàn tất","Chưa hoàn tất")</x:f>
        <x:v>Hoàn tất</x:v>
      </x:c>
    </x:row>
    <x:row r="223" ht="110" customHeight="1">
      <x:c r="A223" s="24" t="inlineStr">
        <x:is>
          <x:t xml:space="preserve">PARTNER-UI-20260923</x:t>
        </x:is>
      </x:c>
      <x:c r="B223" s="24" t="inlineStr">
        <x:is>
          <x:t xml:space="preserve">UI-06</x:t>
        </x:is>
      </x:c>
      <x:c r="C223" s="24" t="inlineStr">
        <x:is>
          <x:t xml:space="preserve">F05/F08/F09/F10/F11/F12/F17</x:t>
        </x:is>
      </x:c>
      <x:c r="D223" s="24" t="inlineStr">
        <x:is>
          <x:t xml:space="preserve">DOC-052</x:t>
        </x:is>
      </x:c>
      <x:c r="E223" s="24" t="inlineStr">
        <x:is>
          <x:t xml:space="preserve">Đồng bộ thiết kế partner</x:t>
        </x:is>
      </x:c>
      <x:c r="F223" s="24" t="inlineStr">
        <x:is>
          <x:t xml:space="preserve">Đã cập nhật</x:t>
        </x:is>
      </x:c>
      <x:c r="G223" s="24" t="inlineStr">
        <x:is>
          <x:t xml:space="preserve">Có</x:t>
        </x:is>
      </x:c>
      <x:c r="H223" s="24" t="inlineStr">
        <x:is>
          <x:t xml:space="preserve">Codex</x:t>
        </x:is>
      </x:c>
      <x:c r="I223" s="29" t="n">
        <x:v>46288</x:v>
      </x:c>
      <x:c r="J223" s="24" t="inlineStr">
        <x:is>
          <x:t xml:space="preserve">README hướng dẫn thử và bản build hiện hành</x:t>
        </x:is>
      </x:c>
      <x:c r="K223" s="24" t="inlineStr">
        <x:is>
          <x:t xml:space="preserve">Dữ liệu mẫu; các giới hạn ghi DOC-057</x:t>
        </x:is>
      </x:c>
      <x:c r="L223" s="24" t="str">
        <x:f>IF(AND(OR(F223="Đã cập nhật",F223="Không áp dụng"),G223="Có",H223&lt;&gt;"",ISNUMBER(I223),J223&lt;&gt;""),"Hoàn tất","Chưa hoàn tất")</x:f>
        <x:v>Hoàn tất</x:v>
      </x:c>
    </x:row>
    <x:row r="224" ht="110" customHeight="1">
      <x:c r="A224" s="24" t="inlineStr">
        <x:is>
          <x:t xml:space="preserve">PARTNER-UI-20260923</x:t>
        </x:is>
      </x:c>
      <x:c r="B224" s="24" t="inlineStr">
        <x:is>
          <x:t xml:space="preserve">UI-06</x:t>
        </x:is>
      </x:c>
      <x:c r="C224" s="24" t="inlineStr">
        <x:is>
          <x:t xml:space="preserve">F05/F08/F09/F10/F11/F12/F17</x:t>
        </x:is>
      </x:c>
      <x:c r="D224" s="24" t="inlineStr">
        <x:is>
          <x:t xml:space="preserve">DOC-054</x:t>
        </x:is>
      </x:c>
      <x:c r="E224" s="24" t="inlineStr">
        <x:is>
          <x:t xml:space="preserve">Đồng bộ thiết kế partner</x:t>
        </x:is>
      </x:c>
      <x:c r="F224" s="24" t="inlineStr">
        <x:is>
          <x:t xml:space="preserve">Đã cập nhật</x:t>
        </x:is>
      </x:c>
      <x:c r="G224" s="24" t="inlineStr">
        <x:is>
          <x:t xml:space="preserve">Có</x:t>
        </x:is>
      </x:c>
      <x:c r="H224" s="24" t="inlineStr">
        <x:is>
          <x:t xml:space="preserve">Codex</x:t>
        </x:is>
      </x:c>
      <x:c r="I224" s="29" t="n">
        <x:v>46288</x:v>
      </x:c>
      <x:c r="J224" s="24" t="inlineStr">
        <x:is>
          <x:t xml:space="preserve">README gốc/ui-ux trỏ nguồn mới; giữ cấu trúc</x:t>
        </x:is>
      </x:c>
      <x:c r="K224" s="24" t="inlineStr">
        <x:is>
          <x:t xml:space="preserve">Dữ liệu mẫu; các giới hạn ghi DOC-057</x:t>
        </x:is>
      </x:c>
      <x:c r="L224" s="24" t="str">
        <x:f>IF(AND(OR(F224="Đã cập nhật",F224="Không áp dụng"),G224="Có",H224&lt;&gt;"",ISNUMBER(I224),J224&lt;&gt;""),"Hoàn tất","Chưa hoàn tất")</x:f>
        <x:v>Hoàn tất</x:v>
      </x:c>
    </x:row>
    <x:row r="225" ht="110" customHeight="1">
      <x:c r="A225" s="24" t="inlineStr">
        <x:is>
          <x:t xml:space="preserve">PARTNER-UI-20260923</x:t>
        </x:is>
      </x:c>
      <x:c r="B225" s="24" t="inlineStr">
        <x:is>
          <x:t xml:space="preserve">UI-06</x:t>
        </x:is>
      </x:c>
      <x:c r="C225" s="24" t="inlineStr">
        <x:is>
          <x:t xml:space="preserve">F05/F08/F09/F10/F11/F12/F17</x:t>
        </x:is>
      </x:c>
      <x:c r="D225" s="24" t="inlineStr">
        <x:is>
          <x:t xml:space="preserve">BRD/FR/NFR/SRS/quyền/ERD/API/DOC-008</x:t>
        </x:is>
      </x:c>
      <x:c r="E225" s="24" t="inlineStr">
        <x:is>
          <x:t xml:space="preserve">Đồng bộ thiết kế partner</x:t>
        </x:is>
      </x:c>
      <x:c r="F225" s="24" t="inlineStr">
        <x:is>
          <x:t xml:space="preserve">Không áp dụng</x:t>
        </x:is>
      </x:c>
      <x:c r="G225" s="24" t="inlineStr">
        <x:is>
          <x:t xml:space="preserve">Có</x:t>
        </x:is>
      </x:c>
      <x:c r="H225" s="24" t="inlineStr">
        <x:is>
          <x:t xml:space="preserve">Codex</x:t>
        </x:is>
      </x:c>
      <x:c r="I225" s="29" t="n">
        <x:v>46288</x:v>
      </x:c>
      <x:c r="J225" s="24" t="inlineStr">
        <x:is>
          <x:t xml:space="preserve">Không thay nghiệp vụ; UI React chưa thay toàn bộ màn phụ trong wireframe</x:t>
        </x:is>
      </x:c>
      <x:c r="K225" s="24" t="inlineStr">
        <x:is>
          <x:t xml:space="preserve">Nguồn nghiệp vụ đã có; không bổ sung phạm vi mới</x:t>
        </x:is>
      </x:c>
      <x:c r="L225" s="24" t="str">
        <x:f>IF(AND(OR(F225="Đã cập nhật",F225="Không áp dụng"),G225="Có",H225&lt;&gt;"",ISNUMBER(I225),J225&lt;&gt;""),"Hoàn tất","Chưa hoàn tất")</x:f>
        <x:v>Hoàn tất</x:v>
      </x:c>
    </x:row>
    <x:row r="226" ht="110" customHeight="1">
      <x:c r="A226" s="24" t="inlineStr">
        <x:is>
          <x:t xml:space="preserve">PARTNER-UI-20260923</x:t>
        </x:is>
      </x:c>
      <x:c r="B226" s="24" t="inlineStr">
        <x:is>
          <x:t xml:space="preserve">UI-06</x:t>
        </x:is>
      </x:c>
      <x:c r="C226" s="24" t="inlineStr">
        <x:is>
          <x:t xml:space="preserve">F05/F08/F09/F10/F11/F12/F17</x:t>
        </x:is>
      </x:c>
      <x:c r="D226" s="24" t="inlineStr">
        <x:is>
          <x:t xml:space="preserve">ZIP/Drive</x:t>
        </x:is>
      </x:c>
      <x:c r="E226" s="24" t="inlineStr">
        <x:is>
          <x:t xml:space="preserve">Đồng bộ thiết kế partner</x:t>
        </x:is>
      </x:c>
      <x:c r="F226" s="24" t="inlineStr">
        <x:is>
          <x:t xml:space="preserve">Đã cập nhật</x:t>
        </x:is>
      </x:c>
      <x:c r="G226" s="24" t="inlineStr">
        <x:is>
          <x:t xml:space="preserve">Có</x:t>
        </x:is>
      </x:c>
      <x:c r="H226" s="24" t="inlineStr">
        <x:is>
          <x:t xml:space="preserve">Codex</x:t>
        </x:is>
      </x:c>
      <x:c r="I226" s="29" t="n">
        <x:v>46288</x:v>
      </x:c>
      <x:c r="J226" s="24" t="inlineStr">
        <x:is>
          <x:t xml:space="preserve">UI-UX-v0.5.zip và registry v1.12 cùng Drive ID; đọc lại metadata sau upload</x:t>
        </x:is>
      </x:c>
      <x:c r="K226" s="24" t="inlineStr">
        <x:is>
          <x:t xml:space="preserve">Dữ liệu mẫu; các giới hạn ghi DOC-057</x:t>
        </x:is>
      </x:c>
      <x:c r="L226" s="24" t="str">
        <x:f>IF(AND(OR(F226="Đã cập nhật",F226="Không áp dụng"),G226="Có",H226&lt;&gt;"",ISNUMBER(I226),J226&lt;&gt;""),"Hoàn tất","Chưa hoàn tất")</x:f>
        <x:v>Hoàn tất</x:v>
      </x:c>
    </x:row>
    <x:row r="227" ht="120" customHeight="1">
      <x:c r="A227" s="24" t="inlineStr">
        <x:is>
          <x:t xml:space="preserve">BOTTOM-NAV-20260923</x:t>
        </x:is>
      </x:c>
      <x:c r="B227" s="24" t="inlineStr">
        <x:is>
          <x:t xml:space="preserve">UI-07</x:t>
        </x:is>
      </x:c>
      <x:c r="C227" s="24" t="inlineStr">
        <x:is>
          <x:t xml:space="preserve">F17</x:t>
        </x:is>
      </x:c>
      <x:c r="D227" s="24" t="inlineStr">
        <x:is>
          <x:t xml:space="preserve">DOC-050</x:t>
        </x:is>
      </x:c>
      <x:c r="E227" s="24" t="inlineStr">
        <x:is>
          <x:t xml:space="preserve">Đồng bộ điều hướng mobile</x:t>
        </x:is>
      </x:c>
      <x:c r="F227" s="24" t="inlineStr">
        <x:is>
          <x:t xml:space="preserve">Đã cập nhật</x:t>
        </x:is>
      </x:c>
      <x:c r="G227" s="24" t="inlineStr">
        <x:is>
          <x:t xml:space="preserve">Có</x:t>
        </x:is>
      </x:c>
      <x:c r="H227" s="24" t="inlineStr">
        <x:is>
          <x:t xml:space="preserve">Codex</x:t>
        </x:is>
      </x:c>
      <x:c r="I227" s="29" t="n">
        <x:v>46288</x:v>
      </x:c>
      <x:c r="J227" s="24" t="inlineStr">
        <x:is>
          <x:t xml:space="preserve">React v0.4a; build Vite và Storybook; mobile fixed 360/390/768, desktop static 1440; không tràn ngang.</x:t>
        </x:is>
      </x:c>
      <x:c r="K227" s="24" t="inlineStr">
        <x:is>
          <x:t xml:space="preserve">Thiết kế mẫu</x:t>
        </x:is>
      </x:c>
      <x:c r="L227" s="24" t="str">
        <x:f>IF(AND(OR(F227="Đã cập nhật",F227="Không áp dụng"),G227="Có",H227&lt;&gt;"",ISNUMBER(I227),J227&lt;&gt;""),"Hoàn tất","Chưa hoàn tất")</x:f>
        <x:v>Hoàn tất</x:v>
      </x:c>
    </x:row>
    <x:row r="228" ht="120" customHeight="1">
      <x:c r="A228" s="24" t="inlineStr">
        <x:is>
          <x:t xml:space="preserve">BOTTOM-NAV-20260923</x:t>
        </x:is>
      </x:c>
      <x:c r="B228" s="24" t="inlineStr">
        <x:is>
          <x:t xml:space="preserve">UI-07</x:t>
        </x:is>
      </x:c>
      <x:c r="C228" s="24" t="inlineStr">
        <x:is>
          <x:t xml:space="preserve">F17</x:t>
        </x:is>
      </x:c>
      <x:c r="D228" s="24" t="inlineStr">
        <x:is>
          <x:t xml:space="preserve">PLAN-006/DOC-057</x:t>
        </x:is>
      </x:c>
      <x:c r="E228" s="24" t="inlineStr">
        <x:is>
          <x:t xml:space="preserve">Đồng bộ điều hướng mobile</x:t>
        </x:is>
      </x:c>
      <x:c r="F228" s="24" t="inlineStr">
        <x:is>
          <x:t xml:space="preserve">Đã cập nhật</x:t>
        </x:is>
      </x:c>
      <x:c r="G228" s="24" t="inlineStr">
        <x:is>
          <x:t xml:space="preserve">Có</x:t>
        </x:is>
      </x:c>
      <x:c r="H228" s="24" t="inlineStr">
        <x:is>
          <x:t xml:space="preserve">Codex</x:t>
        </x:is>
      </x:c>
      <x:c r="I228" s="29" t="n">
        <x:v>46288</x:v>
      </x:c>
      <x:c r="J228" s="24" t="inlineStr">
        <x:is>
          <x:t xml:space="preserve">Design system v0.2a và partner journey v0.4a ghi điều hướng theo vai trò, safe area.</x:t>
        </x:is>
      </x:c>
      <x:c r="K228" s="24" t="inlineStr">
        <x:is>
          <x:t xml:space="preserve">Thiết kế mẫu</x:t>
        </x:is>
      </x:c>
      <x:c r="L228" s="24" t="str">
        <x:f>IF(AND(OR(F228="Đã cập nhật",F228="Không áp dụng"),G228="Có",H228&lt;&gt;"",ISNUMBER(I228),J228&lt;&gt;""),"Hoàn tất","Chưa hoàn tất")</x:f>
        <x:v>Hoàn tất</x:v>
      </x:c>
    </x:row>
    <x:row r="229" ht="120" customHeight="1">
      <x:c r="A229" s="24" t="inlineStr">
        <x:is>
          <x:t xml:space="preserve">BOTTOM-NAV-20260923</x:t>
        </x:is>
      </x:c>
      <x:c r="B229" s="24" t="inlineStr">
        <x:is>
          <x:t xml:space="preserve">UI-07</x:t>
        </x:is>
      </x:c>
      <x:c r="C229" s="24" t="inlineStr">
        <x:is>
          <x:t xml:space="preserve">F17</x:t>
        </x:is>
      </x:c>
      <x:c r="D229" s="24" t="inlineStr">
        <x:is>
          <x:t xml:space="preserve">DOC-052/DOC-053/DOC-054</x:t>
        </x:is>
      </x:c>
      <x:c r="E229" s="24" t="inlineStr">
        <x:is>
          <x:t xml:space="preserve">Đồng bộ điều hướng mobile</x:t>
        </x:is>
      </x:c>
      <x:c r="F229" s="24" t="inlineStr">
        <x:is>
          <x:t xml:space="preserve">Đã cập nhật</x:t>
        </x:is>
      </x:c>
      <x:c r="G229" s="24" t="inlineStr">
        <x:is>
          <x:t xml:space="preserve">Có</x:t>
        </x:is>
      </x:c>
      <x:c r="H229" s="24" t="inlineStr">
        <x:is>
          <x:t xml:space="preserve">Codex</x:t>
        </x:is>
      </x:c>
      <x:c r="I229" s="29" t="n">
        <x:v>46288</x:v>
      </x:c>
      <x:c r="J229" s="24" t="inlineStr">
        <x:is>
          <x:t xml:space="preserve">README và hướng UI v0.4a; ZIP hiện hành v0.5a.</x:t>
        </x:is>
      </x:c>
      <x:c r="K229" s="24" t="inlineStr">
        <x:is>
          <x:t xml:space="preserve">Thiết kế mẫu</x:t>
        </x:is>
      </x:c>
      <x:c r="L229" s="24" t="str">
        <x:f>IF(AND(OR(F229="Đã cập nhật",F229="Không áp dụng"),G229="Có",H229&lt;&gt;"",ISNUMBER(I229),J229&lt;&gt;""),"Hoàn tất","Chưa hoàn tất")</x:f>
        <x:v>Hoàn tất</x:v>
      </x:c>
    </x:row>
    <x:row r="230" ht="120" customHeight="1">
      <x:c r="A230" s="24" t="inlineStr">
        <x:is>
          <x:t xml:space="preserve">BOTTOM-NAV-20260923</x:t>
        </x:is>
      </x:c>
      <x:c r="B230" s="24" t="inlineStr">
        <x:is>
          <x:t xml:space="preserve">UI-07</x:t>
        </x:is>
      </x:c>
      <x:c r="C230" s="24" t="inlineStr">
        <x:is>
          <x:t xml:space="preserve">F17</x:t>
        </x:is>
      </x:c>
      <x:c r="D230" s="24" t="inlineStr">
        <x:is>
          <x:t xml:space="preserve">DOC-056/BRD/FR/NFR/SRS/ERD/API/quyền</x:t>
        </x:is>
      </x:c>
      <x:c r="E230" s="24" t="inlineStr">
        <x:is>
          <x:t xml:space="preserve">Đồng bộ điều hướng mobile</x:t>
        </x:is>
      </x:c>
      <x:c r="F230" s="24" t="inlineStr">
        <x:is>
          <x:t xml:space="preserve">Không áp dụng</x:t>
        </x:is>
      </x:c>
      <x:c r="G230" s="24" t="inlineStr">
        <x:is>
          <x:t xml:space="preserve">Có</x:t>
        </x:is>
      </x:c>
      <x:c r="H230" s="24" t="inlineStr">
        <x:is>
          <x:t xml:space="preserve">Codex</x:t>
        </x:is>
      </x:c>
      <x:c r="I230" s="29" t="n">
        <x:v>46288</x:v>
      </x:c>
      <x:c r="J230" s="24" t="inlineStr">
        <x:is>
          <x:t xml:space="preserve">Không áp dụng: chỉ vị trí thanh điều hướng partner, không đổi khách hoặc quy tắc nghiệp vụ.</x:t>
        </x:is>
      </x:c>
      <x:c r="K230" s="24" t="inlineStr">
        <x:is>
          <x:t xml:space="preserve">Nghiệp vụ giữ nguyên</x:t>
        </x:is>
      </x:c>
      <x:c r="L230" s="24" t="str">
        <x:f>IF(AND(OR(F230="Đã cập nhật",F230="Không áp dụng"),G230="Có",H230&lt;&gt;"",ISNUMBER(I230),J230&lt;&gt;""),"Hoàn tất","Chưa hoàn tất")</x:f>
        <x:v>Hoàn tất</x:v>
      </x:c>
    </x:row>
    <x:row r="231" ht="120" customHeight="1">
      <x:c r="A231" s="24" t="inlineStr">
        <x:is>
          <x:t xml:space="preserve">BOTTOM-NAV-20260923</x:t>
        </x:is>
      </x:c>
      <x:c r="B231" s="24" t="inlineStr">
        <x:is>
          <x:t xml:space="preserve">UI-07</x:t>
        </x:is>
      </x:c>
      <x:c r="C231" s="24" t="inlineStr">
        <x:is>
          <x:t xml:space="preserve">F17</x:t>
        </x:is>
      </x:c>
      <x:c r="D231" s="24" t="inlineStr">
        <x:is>
          <x:t xml:space="preserve">ZIP/Drive</x:t>
        </x:is>
      </x:c>
      <x:c r="E231" s="24" t="inlineStr">
        <x:is>
          <x:t xml:space="preserve">Đồng bộ điều hướng mobile</x:t>
        </x:is>
      </x:c>
      <x:c r="F231" s="24" t="inlineStr">
        <x:is>
          <x:t xml:space="preserve">Đã cập nhật</x:t>
        </x:is>
      </x:c>
      <x:c r="G231" s="24" t="inlineStr">
        <x:is>
          <x:t xml:space="preserve">Có</x:t>
        </x:is>
      </x:c>
      <x:c r="H231" s="24" t="inlineStr">
        <x:is>
          <x:t xml:space="preserve">Codex</x:t>
        </x:is>
      </x:c>
      <x:c r="I231" s="29" t="n">
        <x:v>46288</x:v>
      </x:c>
      <x:c r="J231" s="24" t="inlineStr">
        <x:is>
          <x:t xml:space="preserve">UI-UX-v0.5a.zip và registry v1.13 cập nhật cùng ID; xác minh metadata sau upload.</x:t>
        </x:is>
      </x:c>
      <x:c r="K231" s="24" t="inlineStr">
        <x:is>
          <x:t xml:space="preserve">Thiết kế mẫu</x:t>
        </x:is>
      </x:c>
      <x:c r="L231" s="24" t="str">
        <x:f>IF(AND(OR(F231="Đã cập nhật",F231="Không áp dụng"),G231="Có",H231&lt;&gt;"",ISNUMBER(I231),J231&lt;&gt;""),"Hoàn tất","Chưa hoàn tất")</x:f>
        <x:v>Hoàn tất</x:v>
      </x:c>
    </x:row>
    <x:row r="232" ht="120" customHeight="1">
      <x:c r="A232" s="24" t="inlineStr">
        <x:is>
          <x:t xml:space="preserve">PROFILE-UI-20260923</x:t>
        </x:is>
      </x:c>
      <x:c r="B232" s="24" t="inlineStr">
        <x:is>
          <x:t xml:space="preserve">UI-08</x:t>
        </x:is>
      </x:c>
      <x:c r="C232" s="24" t="inlineStr">
        <x:is>
          <x:t xml:space="preserve">F02/F03/F04/F06/F17</x:t>
        </x:is>
      </x:c>
      <x:c r="D232" s="24" t="inlineStr">
        <x:is>
          <x:t xml:space="preserve">DOC-050</x:t>
        </x:is>
      </x:c>
      <x:c r="E232" s="24" t="inlineStr">
        <x:is>
          <x:t xml:space="preserve">Đồng bộ UI hồ sơ năng lực</x:t>
        </x:is>
      </x:c>
      <x:c r="F232" s="24" t="inlineStr">
        <x:is>
          <x:t xml:space="preserve">Đã cập nhật</x:t>
        </x:is>
      </x:c>
      <x:c r="G232" s="24" t="inlineStr">
        <x:is>
          <x:t xml:space="preserve">Có</x:t>
        </x:is>
      </x:c>
      <x:c r="H232" s="24" t="inlineStr">
        <x:is>
          <x:t xml:space="preserve">Codex</x:t>
        </x:is>
      </x:c>
      <x:c r="I232" s="29" t="n">
        <x:v>46288</x:v>
      </x:c>
      <x:c r="J232" s="24" t="inlineStr">
        <x:is>
          <x:t xml:space="preserve">React v0.5; ProfileEditor, dữ liệu chung. Build Vite/Storybook, 16 tests; kiểm browser sửa kỹ năng→tìm không dấu→thuê đúng kỹ năng.</x:t>
        </x:is>
      </x:c>
      <x:c r="K232" s="24" t="inlineStr">
        <x:is>
          <x:t xml:space="preserve">Bản thử; chưa server/geocode</x:t>
        </x:is>
      </x:c>
      <x:c r="L232" s="24" t="str">
        <x:f>IF(AND(OR(F232="Đã cập nhật",F232="Không áp dụng"),G232="Có",H232&lt;&gt;"",ISNUMBER(I232),J232&lt;&gt;""),"Hoàn tất","Chưa hoàn tất")</x:f>
        <x:v>Hoàn tất</x:v>
      </x:c>
    </x:row>
    <x:row r="233" ht="120" customHeight="1">
      <x:c r="A233" s="24" t="inlineStr">
        <x:is>
          <x:t xml:space="preserve">PROFILE-UI-20260923</x:t>
        </x:is>
      </x:c>
      <x:c r="B233" s="24" t="inlineStr">
        <x:is>
          <x:t xml:space="preserve">UI-08</x:t>
        </x:is>
      </x:c>
      <x:c r="C233" s="24" t="inlineStr">
        <x:is>
          <x:t xml:space="preserve">F02/F03/F04/F06/F17</x:t>
        </x:is>
      </x:c>
      <x:c r="D233" s="24" t="inlineStr">
        <x:is>
          <x:t xml:space="preserve">PLAN-006/DOC-057</x:t>
        </x:is>
      </x:c>
      <x:c r="E233" s="24" t="inlineStr">
        <x:is>
          <x:t xml:space="preserve">Đồng bộ UI hồ sơ năng lực</x:t>
        </x:is>
      </x:c>
      <x:c r="F233" s="24" t="inlineStr">
        <x:is>
          <x:t xml:space="preserve">Đã cập nhật</x:t>
        </x:is>
      </x:c>
      <x:c r="G233" s="24" t="inlineStr">
        <x:is>
          <x:t xml:space="preserve">Có</x:t>
        </x:is>
      </x:c>
      <x:c r="H233" s="24" t="inlineStr">
        <x:is>
          <x:t xml:space="preserve">Codex</x:t>
        </x:is>
      </x:c>
      <x:c r="I233" s="29" t="n">
        <x:v>46288</x:v>
      </x:c>
      <x:c r="J233" s="24" t="inlineStr">
        <x:is>
          <x:t xml:space="preserve">Design system v0.3; partner journey v0.5: thiết kế, hướng dẫn, giới hạn và QA.</x:t>
        </x:is>
      </x:c>
      <x:c r="K233" s="24" t="inlineStr">
        <x:is>
          <x:t xml:space="preserve">Bản thử; chưa server/geocode</x:t>
        </x:is>
      </x:c>
      <x:c r="L233" s="24" t="str">
        <x:f>IF(AND(OR(F233="Đã cập nhật",F233="Không áp dụng"),G233="Có",H233&lt;&gt;"",ISNUMBER(I233),J233&lt;&gt;""),"Hoàn tất","Chưa hoàn tất")</x:f>
        <x:v>Hoàn tất</x:v>
      </x:c>
    </x:row>
    <x:row r="234" ht="120" customHeight="1">
      <x:c r="A234" s="24" t="inlineStr">
        <x:is>
          <x:t xml:space="preserve">PROFILE-UI-20260923</x:t>
        </x:is>
      </x:c>
      <x:c r="B234" s="24" t="inlineStr">
        <x:is>
          <x:t xml:space="preserve">UI-08</x:t>
        </x:is>
      </x:c>
      <x:c r="C234" s="24" t="inlineStr">
        <x:is>
          <x:t xml:space="preserve">F02/F03/F04/F06/F17</x:t>
        </x:is>
      </x:c>
      <x:c r="D234" s="24" t="inlineStr">
        <x:is>
          <x:t xml:space="preserve">DOC-052/DOC-053/DOC-054/DOC-056</x:t>
        </x:is>
      </x:c>
      <x:c r="E234" s="24" t="inlineStr">
        <x:is>
          <x:t xml:space="preserve">Đồng bộ UI hồ sơ năng lực</x:t>
        </x:is>
      </x:c>
      <x:c r="F234" s="24" t="inlineStr">
        <x:is>
          <x:t xml:space="preserve">Đã cập nhật</x:t>
        </x:is>
      </x:c>
      <x:c r="G234" s="24" t="inlineStr">
        <x:is>
          <x:t xml:space="preserve">Có</x:t>
        </x:is>
      </x:c>
      <x:c r="H234" s="24" t="inlineStr">
        <x:is>
          <x:t xml:space="preserve">Codex</x:t>
        </x:is>
      </x:c>
      <x:c r="I234" s="29" t="n">
        <x:v>46288</x:v>
      </x:c>
      <x:c r="J234" s="24" t="inlineStr">
        <x:is>
          <x:t xml:space="preserve">README/hướng UI/luồng khách cập nhật nhóm hồ sơ v0.5 và ZIP v0.6.</x:t>
        </x:is>
      </x:c>
      <x:c r="K234" s="24" t="inlineStr">
        <x:is>
          <x:t xml:space="preserve">Bản thử; chưa server/geocode</x:t>
        </x:is>
      </x:c>
      <x:c r="L234" s="24" t="str">
        <x:f>IF(AND(OR(F234="Đã cập nhật",F234="Không áp dụng"),G234="Có",H234&lt;&gt;"",ISNUMBER(I234),J234&lt;&gt;""),"Hoàn tất","Chưa hoàn tất")</x:f>
        <x:v>Hoàn tất</x:v>
      </x:c>
    </x:row>
    <x:row r="235" ht="120" customHeight="1">
      <x:c r="A235" s="24" t="inlineStr">
        <x:is>
          <x:t xml:space="preserve">PROFILE-UI-20260923</x:t>
        </x:is>
      </x:c>
      <x:c r="B235" s="24" t="inlineStr">
        <x:is>
          <x:t xml:space="preserve">UI-08</x:t>
        </x:is>
      </x:c>
      <x:c r="C235" s="24" t="inlineStr">
        <x:is>
          <x:t xml:space="preserve">F02/F03/F04/F06/F17</x:t>
        </x:is>
      </x:c>
      <x:c r="D235" s="24" t="inlineStr">
        <x:is>
          <x:t xml:space="preserve">BRD/FR/NFR/SRS/ERD/API/quyền/DOC-008</x:t>
        </x:is>
      </x:c>
      <x:c r="E235" s="24" t="inlineStr">
        <x:is>
          <x:t xml:space="preserve">Đồng bộ UI hồ sơ năng lực</x:t>
        </x:is>
      </x:c>
      <x:c r="F235" s="24" t="inlineStr">
        <x:is>
          <x:t xml:space="preserve">Không áp dụng</x:t>
        </x:is>
      </x:c>
      <x:c r="G235" s="24" t="inlineStr">
        <x:is>
          <x:t xml:space="preserve">Có</x:t>
        </x:is>
      </x:c>
      <x:c r="H235" s="24" t="inlineStr">
        <x:is>
          <x:t xml:space="preserve">Codex</x:t>
        </x:is>
      </x:c>
      <x:c r="I235" s="29" t="n">
        <x:v>46288</x:v>
      </x:c>
      <x:c r="J235" s="24" t="inlineStr">
        <x:is>
          <x:t xml:space="preserve">Không áp dụng: nghiệp vụ năng lực đã được chốt; UI mới áp dụng tập dữ liệu mẫu, không thay taxonomy hay quy tắc quyền.</x:t>
        </x:is>
      </x:c>
      <x:c r="K235" s="24" t="inlineStr">
        <x:is>
          <x:t xml:space="preserve">Không đổi nghiệp vụ</x:t>
        </x:is>
      </x:c>
      <x:c r="L235" s="24" t="str">
        <x:f>IF(AND(OR(F235="Đã cập nhật",F235="Không áp dụng"),G235="Có",H235&lt;&gt;"",ISNUMBER(I235),J235&lt;&gt;""),"Hoàn tất","Chưa hoàn tất")</x:f>
        <x:v>Hoàn tất</x:v>
      </x:c>
    </x:row>
    <x:row r="236" ht="120" customHeight="1">
      <x:c r="A236" s="24" t="inlineStr">
        <x:is>
          <x:t xml:space="preserve">PROFILE-UI-20260923</x:t>
        </x:is>
      </x:c>
      <x:c r="B236" s="24" t="inlineStr">
        <x:is>
          <x:t xml:space="preserve">UI-08</x:t>
        </x:is>
      </x:c>
      <x:c r="C236" s="24" t="inlineStr">
        <x:is>
          <x:t xml:space="preserve">F02/F03/F04/F06/F17</x:t>
        </x:is>
      </x:c>
      <x:c r="D236" s="24" t="inlineStr">
        <x:is>
          <x:t xml:space="preserve">ZIP/Drive</x:t>
        </x:is>
      </x:c>
      <x:c r="E236" s="24" t="inlineStr">
        <x:is>
          <x:t xml:space="preserve">Đồng bộ UI hồ sơ năng lực</x:t>
        </x:is>
      </x:c>
      <x:c r="F236" s="24" t="inlineStr">
        <x:is>
          <x:t xml:space="preserve">Đã cập nhật</x:t>
        </x:is>
      </x:c>
      <x:c r="G236" s="24" t="inlineStr">
        <x:is>
          <x:t xml:space="preserve">Có</x:t>
        </x:is>
      </x:c>
      <x:c r="H236" s="24" t="inlineStr">
        <x:is>
          <x:t xml:space="preserve">Codex</x:t>
        </x:is>
      </x:c>
      <x:c r="I236" s="29" t="n">
        <x:v>46288</x:v>
      </x:c>
      <x:c r="J236" s="24" t="inlineStr">
        <x:is>
          <x:t xml:space="preserve">UI-UX-v0.6.zip và registry v1.14 cùng Drive ID; kiểm metadata sau upload.</x:t>
        </x:is>
      </x:c>
      <x:c r="K236" s="24" t="inlineStr">
        <x:is>
          <x:t xml:space="preserve">Bản thử; chưa server/geocode</x:t>
        </x:is>
      </x:c>
      <x:c r="L236" s="24" t="str">
        <x:f>IF(AND(OR(F236="Đã cập nhật",F236="Không áp dụng"),G236="Có",H236&lt;&gt;"",ISNUMBER(I236),J236&lt;&gt;""),"Hoàn tất","Chưa hoàn tất")</x:f>
        <x:v>Hoàn tất</x:v>
      </x:c>
    </x:row>
    <x:row r="237" ht="120" customHeight="1">
      <x:c r="A237" s="24" t="inlineStr">
        <x:is>
          <x:t xml:space="preserve">SKILLS-UI-20260923</x:t>
        </x:is>
      </x:c>
      <x:c r="B237" s="24" t="inlineStr">
        <x:is>
          <x:t xml:space="preserve">UI-09</x:t>
        </x:is>
      </x:c>
      <x:c r="C237" s="24" t="inlineStr">
        <x:is>
          <x:t xml:space="preserve">F02/F03/F04/F06/F17</x:t>
        </x:is>
      </x:c>
      <x:c r="D237" s="24" t="inlineStr">
        <x:is>
          <x:t xml:space="preserve">DOC-050</x:t>
        </x:is>
      </x:c>
      <x:c r="E237" s="24" t="inlineStr">
        <x:is>
          <x:t xml:space="preserve">Đồng bộ bộ chọn kỹ năng đa ngành</x:t>
        </x:is>
      </x:c>
      <x:c r="F237" s="24" t="inlineStr">
        <x:is>
          <x:t xml:space="preserve">Đã cập nhật</x:t>
        </x:is>
      </x:c>
      <x:c r="G237" s="24" t="inlineStr">
        <x:is>
          <x:t xml:space="preserve">Có</x:t>
        </x:is>
      </x:c>
      <x:c r="H237" s="24" t="inlineStr">
        <x:is>
          <x:t xml:space="preserve">Codex</x:t>
        </x:is>
      </x:c>
      <x:c r="I237" s="29" t="n">
        <x:v>46288</x:v>
      </x:c>
      <x:c r="J237" s="24" t="inlineStr">
        <x:is>
          <x:t xml:space="preserve">React v0.6; SkillPicker và catalog 10 ngành/20 kỹ năng; kiểm thêm camera ngoài ngành, lọc/tìm không dấu/bỏ chọn và form thuê. 16 tests cũ đạt.</x:t>
        </x:is>
      </x:c>
      <x:c r="K237" s="24" t="inlineStr">
        <x:is>
          <x:t xml:space="preserve">Bản thử; chưa server/geocode</x:t>
        </x:is>
      </x:c>
      <x:c r="L237" s="24" t="str">
        <x:f>IF(AND(OR(F237="Đã cập nhật",F237="Không áp dụng"),G237="Có",H237&lt;&gt;"",ISNUMBER(I237),J237&lt;&gt;""),"Hoàn tất","Chưa hoàn tất")</x:f>
        <x:v>Hoàn tất</x:v>
      </x:c>
    </x:row>
    <x:row r="238" ht="120" customHeight="1">
      <x:c r="A238" s="24" t="inlineStr">
        <x:is>
          <x:t xml:space="preserve">SKILLS-UI-20260923</x:t>
        </x:is>
      </x:c>
      <x:c r="B238" s="24" t="inlineStr">
        <x:is>
          <x:t xml:space="preserve">UI-09</x:t>
        </x:is>
      </x:c>
      <x:c r="C238" s="24" t="inlineStr">
        <x:is>
          <x:t xml:space="preserve">F02/F03/F04/F06/F17</x:t>
        </x:is>
      </x:c>
      <x:c r="D238" s="24" t="inlineStr">
        <x:is>
          <x:t xml:space="preserve">PLAN-006/DOC-057</x:t>
        </x:is>
      </x:c>
      <x:c r="E238" s="24" t="inlineStr">
        <x:is>
          <x:t xml:space="preserve">Đồng bộ bộ chọn kỹ năng đa ngành</x:t>
        </x:is>
      </x:c>
      <x:c r="F238" s="24" t="inlineStr">
        <x:is>
          <x:t xml:space="preserve">Đã cập nhật</x:t>
        </x:is>
      </x:c>
      <x:c r="G238" s="24" t="inlineStr">
        <x:is>
          <x:t xml:space="preserve">Có</x:t>
        </x:is>
      </x:c>
      <x:c r="H238" s="24" t="inlineStr">
        <x:is>
          <x:t xml:space="preserve">Codex</x:t>
        </x:is>
      </x:c>
      <x:c r="I238" s="29" t="n">
        <x:v>46288</x:v>
      </x:c>
      <x:c r="J238" s="24" t="inlineStr">
        <x:is>
          <x:t xml:space="preserve">Design system v0.4; partner journey v0.6: thiết kế, hướng dẫn, giới hạn và QA.</x:t>
        </x:is>
      </x:c>
      <x:c r="K238" s="24" t="inlineStr">
        <x:is>
          <x:t xml:space="preserve">Bản thử; chưa server/geocode</x:t>
        </x:is>
      </x:c>
      <x:c r="L238" s="24" t="str">
        <x:f>IF(AND(OR(F238="Đã cập nhật",F238="Không áp dụng"),G238="Có",H238&lt;&gt;"",ISNUMBER(I238),J238&lt;&gt;""),"Hoàn tất","Chưa hoàn tất")</x:f>
        <x:v>Hoàn tất</x:v>
      </x:c>
    </x:row>
    <x:row r="239" ht="120" customHeight="1">
      <x:c r="A239" s="24" t="inlineStr">
        <x:is>
          <x:t xml:space="preserve">SKILLS-UI-20260923</x:t>
        </x:is>
      </x:c>
      <x:c r="B239" s="24" t="inlineStr">
        <x:is>
          <x:t xml:space="preserve">UI-09</x:t>
        </x:is>
      </x:c>
      <x:c r="C239" s="24" t="inlineStr">
        <x:is>
          <x:t xml:space="preserve">F02/F03/F04/F06/F17</x:t>
        </x:is>
      </x:c>
      <x:c r="D239" s="24" t="inlineStr">
        <x:is>
          <x:t xml:space="preserve">DOC-052/DOC-053/DOC-054/DOC-056</x:t>
        </x:is>
      </x:c>
      <x:c r="E239" s="24" t="inlineStr">
        <x:is>
          <x:t xml:space="preserve">Đồng bộ bộ chọn kỹ năng đa ngành</x:t>
        </x:is>
      </x:c>
      <x:c r="F239" s="24" t="inlineStr">
        <x:is>
          <x:t xml:space="preserve">Đã cập nhật</x:t>
        </x:is>
      </x:c>
      <x:c r="G239" s="24" t="inlineStr">
        <x:is>
          <x:t xml:space="preserve">Có</x:t>
        </x:is>
      </x:c>
      <x:c r="H239" s="24" t="inlineStr">
        <x:is>
          <x:t xml:space="preserve">Codex</x:t>
        </x:is>
      </x:c>
      <x:c r="I239" s="29" t="n">
        <x:v>46288</x:v>
      </x:c>
      <x:c r="J239" s="24" t="inlineStr">
        <x:is>
          <x:t xml:space="preserve">README/hướng UI/luồng khách cập nhật nhóm kỹ năng v0.6 và ZIP v0.7.</x:t>
        </x:is>
      </x:c>
      <x:c r="K239" s="24" t="inlineStr">
        <x:is>
          <x:t xml:space="preserve">Bản thử; chưa server/geocode</x:t>
        </x:is>
      </x:c>
      <x:c r="L239" s="24" t="str">
        <x:f>IF(AND(OR(F239="Đã cập nhật",F239="Không áp dụng"),G239="Có",H239&lt;&gt;"",ISNUMBER(I239),J239&lt;&gt;""),"Hoàn tất","Chưa hoàn tất")</x:f>
        <x:v>Hoàn tất</x:v>
      </x:c>
    </x:row>
    <x:row r="240" ht="120" customHeight="1">
      <x:c r="A240" s="24" t="inlineStr">
        <x:is>
          <x:t xml:space="preserve">SKILLS-UI-20260923</x:t>
        </x:is>
      </x:c>
      <x:c r="B240" s="24" t="inlineStr">
        <x:is>
          <x:t xml:space="preserve">UI-09</x:t>
        </x:is>
      </x:c>
      <x:c r="C240" s="24" t="inlineStr">
        <x:is>
          <x:t xml:space="preserve">F02/F03/F04/F06/F17</x:t>
        </x:is>
      </x:c>
      <x:c r="D240" s="24" t="inlineStr">
        <x:is>
          <x:t xml:space="preserve">BRD/FR/NFR/SRS/ERD/API/quyền/DOC-008</x:t>
        </x:is>
      </x:c>
      <x:c r="E240" s="24" t="inlineStr">
        <x:is>
          <x:t xml:space="preserve">Đồng bộ bộ chọn kỹ năng đa ngành</x:t>
        </x:is>
      </x:c>
      <x:c r="F240" s="24" t="inlineStr">
        <x:is>
          <x:t xml:space="preserve">Không áp dụng</x:t>
        </x:is>
      </x:c>
      <x:c r="G240" s="24" t="inlineStr">
        <x:is>
          <x:t xml:space="preserve">Có</x:t>
        </x:is>
      </x:c>
      <x:c r="H240" s="24" t="inlineStr">
        <x:is>
          <x:t xml:space="preserve">Codex</x:t>
        </x:is>
      </x:c>
      <x:c r="I240" s="29" t="n">
        <x:v>46288</x:v>
      </x:c>
      <x:c r="J240" s="24" t="inlineStr">
        <x:is>
          <x:t xml:space="preserve">Không áp dụng: nghiệp vụ năng lực đã được chốt; UI mới áp dụng tập dữ liệu mẫu, không thay taxonomy hay quy tắc quyền.</x:t>
        </x:is>
      </x:c>
      <x:c r="K240" s="24" t="inlineStr">
        <x:is>
          <x:t xml:space="preserve">Không đổi nghiệp vụ</x:t>
        </x:is>
      </x:c>
      <x:c r="L240" s="24" t="str">
        <x:f>IF(AND(OR(F240="Đã cập nhật",F240="Không áp dụng"),G240="Có",H240&lt;&gt;"",ISNUMBER(I240),J240&lt;&gt;""),"Hoàn tất","Chưa hoàn tất")</x:f>
        <x:v>Hoàn tất</x:v>
      </x:c>
    </x:row>
    <x:row r="241" ht="120" customHeight="1">
      <x:c r="A241" s="24" t="inlineStr">
        <x:is>
          <x:t xml:space="preserve">SKILLS-UI-20260923</x:t>
        </x:is>
      </x:c>
      <x:c r="B241" s="24" t="inlineStr">
        <x:is>
          <x:t xml:space="preserve">UI-09</x:t>
        </x:is>
      </x:c>
      <x:c r="C241" s="24" t="inlineStr">
        <x:is>
          <x:t xml:space="preserve">F02/F03/F04/F06/F17</x:t>
        </x:is>
      </x:c>
      <x:c r="D241" s="24" t="inlineStr">
        <x:is>
          <x:t xml:space="preserve">ZIP/Drive</x:t>
        </x:is>
      </x:c>
      <x:c r="E241" s="24" t="inlineStr">
        <x:is>
          <x:t xml:space="preserve">Đồng bộ bộ chọn kỹ năng đa ngành</x:t>
        </x:is>
      </x:c>
      <x:c r="F241" s="24" t="inlineStr">
        <x:is>
          <x:t xml:space="preserve">Đã cập nhật</x:t>
        </x:is>
      </x:c>
      <x:c r="G241" s="24" t="inlineStr">
        <x:is>
          <x:t xml:space="preserve">Có</x:t>
        </x:is>
      </x:c>
      <x:c r="H241" s="24" t="inlineStr">
        <x:is>
          <x:t xml:space="preserve">Codex</x:t>
        </x:is>
      </x:c>
      <x:c r="I241" s="29" t="n">
        <x:v>46288</x:v>
      </x:c>
      <x:c r="J241" s="24" t="inlineStr">
        <x:is>
          <x:t xml:space="preserve">UI-UX-v0.7.zip và registry v1.15 cùng Drive ID; kiểm metadata sau upload.</x:t>
        </x:is>
      </x:c>
      <x:c r="K241" s="24" t="inlineStr">
        <x:is>
          <x:t xml:space="preserve">Bản thử; chưa server/geocode</x:t>
        </x:is>
      </x:c>
      <x:c r="L241" s="24" t="str">
        <x:f>IF(AND(OR(F241="Đã cập nhật",F241="Không áp dụng"),G241="Có",H241&lt;&gt;"",ISNUMBER(I241),J241&lt;&gt;""),"Hoàn tất","Chưa hoàn tất")</x:f>
        <x:v>Hoàn tất</x:v>
      </x:c>
    </x:row>
    <x:row r="242" ht="120" customHeight="1">
      <x:c r="A242" s="24" t="inlineStr">
        <x:is>
          <x:t xml:space="preserve">TEAM-UI-20260923</x:t>
        </x:is>
      </x:c>
      <x:c r="B242" s="24" t="inlineStr">
        <x:is>
          <x:t xml:space="preserve">UI-10</x:t>
        </x:is>
      </x:c>
      <x:c r="C242" s="24" t="inlineStr">
        <x:is>
          <x:t xml:space="preserve">F08/F09/F17</x:t>
        </x:is>
      </x:c>
      <x:c r="D242" s="24" t="inlineStr">
        <x:is>
          <x:t xml:space="preserve">DOC-050</x:t>
        </x:is>
      </x:c>
      <x:c r="E242" s="24" t="inlineStr">
        <x:is>
          <x:t xml:space="preserve">Đồng bộ UI đội ngũ</x:t>
        </x:is>
      </x:c>
      <x:c r="F242" s="24" t="inlineStr">
        <x:is>
          <x:t xml:space="preserve">Đã cập nhật</x:t>
        </x:is>
      </x:c>
      <x:c r="G242" s="24" t="inlineStr">
        <x:is>
          <x:t xml:space="preserve">Có</x:t>
        </x:is>
      </x:c>
      <x:c r="H242" s="24" t="inlineStr">
        <x:is>
          <x:t xml:space="preserve">Codex</x:t>
        </x:is>
      </x:c>
      <x:c r="I242" s="29" t="n">
        <x:v>46288</x:v>
      </x:c>
      <x:c r="J242" s="24" t="inlineStr">
        <x:is>
          <x:t xml:space="preserve">React v0.7: Team/team-model, dữ liệu chung với phân công/chat. 20 tests, build Vite/Storybook, browser mời-giao-gỡ; 360/390/768/1440px.</x:t>
        </x:is>
      </x:c>
      <x:c r="K242" s="24" t="inlineStr">
        <x:is>
          <x:t xml:space="preserve">Chưa SMS/OTP/backend; quyền tùy chỉnh chưa chuyển</x:t>
        </x:is>
      </x:c>
      <x:c r="L242" s="24" t="str">
        <x:f>IF(AND(OR(F242="Đã cập nhật",F242="Không áp dụng"),G242="Có",H242&lt;&gt;"",ISNUMBER(I242),J242&lt;&gt;""),"Hoàn tất","Chưa hoàn tất")</x:f>
        <x:v>Hoàn tất</x:v>
      </x:c>
    </x:row>
    <x:row r="243" ht="120" customHeight="1">
      <x:c r="A243" s="24" t="inlineStr">
        <x:is>
          <x:t xml:space="preserve">TEAM-UI-20260923</x:t>
        </x:is>
      </x:c>
      <x:c r="B243" s="24" t="inlineStr">
        <x:is>
          <x:t xml:space="preserve">UI-10</x:t>
        </x:is>
      </x:c>
      <x:c r="C243" s="24" t="inlineStr">
        <x:is>
          <x:t xml:space="preserve">F08/F09/F17</x:t>
        </x:is>
      </x:c>
      <x:c r="D243" s="24" t="inlineStr">
        <x:is>
          <x:t xml:space="preserve">PLAN-006/DOC-057</x:t>
        </x:is>
      </x:c>
      <x:c r="E243" s="24" t="inlineStr">
        <x:is>
          <x:t xml:space="preserve">Đồng bộ UI đội ngũ</x:t>
        </x:is>
      </x:c>
      <x:c r="F243" s="24" t="inlineStr">
        <x:is>
          <x:t xml:space="preserve">Đã cập nhật</x:t>
        </x:is>
      </x:c>
      <x:c r="G243" s="24" t="inlineStr">
        <x:is>
          <x:t xml:space="preserve">Có</x:t>
        </x:is>
      </x:c>
      <x:c r="H243" s="24" t="inlineStr">
        <x:is>
          <x:t xml:space="preserve">Codex</x:t>
        </x:is>
      </x:c>
      <x:c r="I243" s="29" t="n">
        <x:v>46288</x:v>
      </x:c>
      <x:c r="J243" s="24" t="inlineStr">
        <x:is>
          <x:t xml:space="preserve">Design system v0.5; partner journey v0.7 ghi phạm vi, kiểm chứng và phần chưa chuyển.</x:t>
        </x:is>
      </x:c>
      <x:c r="K243" s="24" t="inlineStr">
        <x:is>
          <x:t xml:space="preserve">Chưa SMS/OTP/backend; quyền tùy chỉnh chưa chuyển</x:t>
        </x:is>
      </x:c>
      <x:c r="L243" s="24" t="str">
        <x:f>IF(AND(OR(F243="Đã cập nhật",F243="Không áp dụng"),G243="Có",H243&lt;&gt;"",ISNUMBER(I243),J243&lt;&gt;""),"Hoàn tất","Chưa hoàn tất")</x:f>
        <x:v>Hoàn tất</x:v>
      </x:c>
    </x:row>
    <x:row r="244" ht="120" customHeight="1">
      <x:c r="A244" s="24" t="inlineStr">
        <x:is>
          <x:t xml:space="preserve">TEAM-UI-20260923</x:t>
        </x:is>
      </x:c>
      <x:c r="B244" s="24" t="inlineStr">
        <x:is>
          <x:t xml:space="preserve">UI-10</x:t>
        </x:is>
      </x:c>
      <x:c r="C244" s="24" t="inlineStr">
        <x:is>
          <x:t xml:space="preserve">F08/F09/F17</x:t>
        </x:is>
      </x:c>
      <x:c r="D244" s="24" t="inlineStr">
        <x:is>
          <x:t xml:space="preserve">DOC-052/DOC-053/DOC-054/DOC-056</x:t>
        </x:is>
      </x:c>
      <x:c r="E244" s="24" t="inlineStr">
        <x:is>
          <x:t xml:space="preserve">Đồng bộ UI đội ngũ</x:t>
        </x:is>
      </x:c>
      <x:c r="F244" s="24" t="inlineStr">
        <x:is>
          <x:t xml:space="preserve">Đã cập nhật</x:t>
        </x:is>
      </x:c>
      <x:c r="G244" s="24" t="inlineStr">
        <x:is>
          <x:t xml:space="preserve">Có</x:t>
        </x:is>
      </x:c>
      <x:c r="H244" s="24" t="inlineStr">
        <x:is>
          <x:t xml:space="preserve">Codex</x:t>
        </x:is>
      </x:c>
      <x:c r="I244" s="29" t="n">
        <x:v>46288</x:v>
      </x:c>
      <x:c r="J244" s="24" t="inlineStr">
        <x:is>
          <x:t xml:space="preserve">README/hướng UI/luồng khách đồng bộ v0.7; ZIP v0.8.</x:t>
        </x:is>
      </x:c>
      <x:c r="K244" s="24" t="inlineStr">
        <x:is>
          <x:t xml:space="preserve">Chưa SMS/OTP/backend; quyền tùy chỉnh chưa chuyển</x:t>
        </x:is>
      </x:c>
      <x:c r="L244" s="24" t="str">
        <x:f>IF(AND(OR(F244="Đã cập nhật",F244="Không áp dụng"),G244="Có",H244&lt;&gt;"",ISNUMBER(I244),J244&lt;&gt;""),"Hoàn tất","Chưa hoàn tất")</x:f>
        <x:v>Hoàn tất</x:v>
      </x:c>
    </x:row>
    <x:row r="245" ht="120" customHeight="1">
      <x:c r="A245" s="24" t="inlineStr">
        <x:is>
          <x:t xml:space="preserve">TEAM-UI-20260923</x:t>
        </x:is>
      </x:c>
      <x:c r="B245" s="24" t="inlineStr">
        <x:is>
          <x:t xml:space="preserve">UI-10</x:t>
        </x:is>
      </x:c>
      <x:c r="C245" s="24" t="inlineStr">
        <x:is>
          <x:t xml:space="preserve">F08/F09/F17</x:t>
        </x:is>
      </x:c>
      <x:c r="D245" s="24" t="inlineStr">
        <x:is>
          <x:t xml:space="preserve">BRD/FR/NFR/SRS/ERD/API/quyền/DOC-008</x:t>
        </x:is>
      </x:c>
      <x:c r="E245" s="24" t="inlineStr">
        <x:is>
          <x:t xml:space="preserve">Đồng bộ UI đội ngũ</x:t>
        </x:is>
      </x:c>
      <x:c r="F245" s="24" t="inlineStr">
        <x:is>
          <x:t xml:space="preserve">Không áp dụng</x:t>
        </x:is>
      </x:c>
      <x:c r="G245" s="24" t="inlineStr">
        <x:is>
          <x:t xml:space="preserve">Có</x:t>
        </x:is>
      </x:c>
      <x:c r="H245" s="24" t="inlineStr">
        <x:is>
          <x:t xml:space="preserve">Codex</x:t>
        </x:is>
      </x:c>
      <x:c r="I245" s="29" t="n">
        <x:v>46288</x:v>
      </x:c>
      <x:c r="J245" s="24" t="inlineStr">
        <x:is>
          <x:t xml:space="preserve">Không áp dụng: dùng quy tắc lời mời 7 ngày và gỡ đã có trong wireframe, không đổi quyền nghiệp vụ.</x:t>
        </x:is>
      </x:c>
      <x:c r="K245" s="24" t="inlineStr">
        <x:is>
          <x:t xml:space="preserve">Không đổi nghiệp vụ</x:t>
        </x:is>
      </x:c>
      <x:c r="L245" s="24" t="str">
        <x:f>IF(AND(OR(F245="Đã cập nhật",F245="Không áp dụng"),G245="Có",H245&lt;&gt;"",ISNUMBER(I245),J245&lt;&gt;""),"Hoàn tất","Chưa hoàn tất")</x:f>
        <x:v>Hoàn tất</x:v>
      </x:c>
    </x:row>
    <x:row r="246" ht="120" customHeight="1">
      <x:c r="A246" s="24" t="inlineStr">
        <x:is>
          <x:t xml:space="preserve">TEAM-UI-20260923</x:t>
        </x:is>
      </x:c>
      <x:c r="B246" s="24" t="inlineStr">
        <x:is>
          <x:t xml:space="preserve">UI-10</x:t>
        </x:is>
      </x:c>
      <x:c r="C246" s="24" t="inlineStr">
        <x:is>
          <x:t xml:space="preserve">F08/F09/F17</x:t>
        </x:is>
      </x:c>
      <x:c r="D246" s="24" t="inlineStr">
        <x:is>
          <x:t xml:space="preserve">ZIP/Drive</x:t>
        </x:is>
      </x:c>
      <x:c r="E246" s="24" t="inlineStr">
        <x:is>
          <x:t xml:space="preserve">Đồng bộ UI đội ngũ</x:t>
        </x:is>
      </x:c>
      <x:c r="F246" s="24" t="inlineStr">
        <x:is>
          <x:t xml:space="preserve">Đã cập nhật</x:t>
        </x:is>
      </x:c>
      <x:c r="G246" s="24" t="inlineStr">
        <x:is>
          <x:t xml:space="preserve">Có</x:t>
        </x:is>
      </x:c>
      <x:c r="H246" s="24" t="inlineStr">
        <x:is>
          <x:t xml:space="preserve">Codex</x:t>
        </x:is>
      </x:c>
      <x:c r="I246" s="29" t="n">
        <x:v>46288</x:v>
      </x:c>
      <x:c r="J246" s="24" t="inlineStr">
        <x:is>
          <x:t xml:space="preserve">UI-UX-v0.8.zip và registry v1.16 cùng Drive ID; kiểm metadata sau upload.</x:t>
        </x:is>
      </x:c>
      <x:c r="K246" s="24" t="inlineStr">
        <x:is>
          <x:t xml:space="preserve">Chưa SMS/OTP/backend; quyền tùy chỉnh chưa chuyển</x:t>
        </x:is>
      </x:c>
      <x:c r="L246" s="24" t="str">
        <x:f>IF(AND(OR(F246="Đã cập nhật",F246="Không áp dụng"),G246="Có",H246&lt;&gt;"",ISNUMBER(I246),J246&lt;&gt;""),"Hoàn tất","Chưa hoàn tất")</x:f>
        <x:v>Hoàn tất</x:v>
      </x:c>
    </x:row>
    <x:row r="247" ht="120" customHeight="1">
      <x:c r="A247" s="24" t="inlineStr">
        <x:is>
          <x:t xml:space="preserve">MEMBERSHIP-UI-20260923</x:t>
        </x:is>
      </x:c>
      <x:c r="B247" s="24" t="inlineStr">
        <x:is>
          <x:t xml:space="preserve">UI-11</x:t>
        </x:is>
      </x:c>
      <x:c r="C247" s="24" t="inlineStr">
        <x:is>
          <x:t xml:space="preserve">F08/F09/F17</x:t>
        </x:is>
      </x:c>
      <x:c r="D247" s="24" t="inlineStr">
        <x:is>
          <x:t xml:space="preserve">DOC-050</x:t>
        </x:is>
      </x:c>
      <x:c r="E247" s="24" t="inlineStr">
        <x:is>
          <x:t xml:space="preserve">Đồng bộ UI lời mời/tự rời</x:t>
        </x:is>
      </x:c>
      <x:c r="F247" s="24" t="inlineStr">
        <x:is>
          <x:t xml:space="preserve">Đã cập nhật</x:t>
        </x:is>
      </x:c>
      <x:c r="G247" s="24" t="inlineStr">
        <x:is>
          <x:t xml:space="preserve">Có</x:t>
        </x:is>
      </x:c>
      <x:c r="H247" s="24" t="inlineStr">
        <x:is>
          <x:t xml:space="preserve">Codex</x:t>
        </x:is>
      </x:c>
      <x:c r="I247" s="29" t="n">
        <x:v>46288</x:v>
      </x:c>
      <x:c r="J247" s="24" t="inlineStr">
        <x:is>
          <x:t xml:space="preserve">React v0.8, 24 stories. 22 tests; browser resend thay lời mời cũ, tự rời và phân công lại, 360/390/768/1440px.</x:t>
        </x:is>
      </x:c>
      <x:c r="K247" s="24" t="inlineStr">
        <x:is>
          <x:t xml:space="preserve">Bản thử; chưa xác thực/backend thật</x:t>
        </x:is>
      </x:c>
      <x:c r="L247" s="24" t="str">
        <x:f>IF(AND(OR(F247="Đã cập nhật",F247="Không áp dụng"),G247="Có",H247&lt;&gt;"",ISNUMBER(I247),J247&lt;&gt;""),"Hoàn tất","Chưa hoàn tất")</x:f>
        <x:v>Hoàn tất</x:v>
      </x:c>
    </x:row>
    <x:row r="248" ht="120" customHeight="1">
      <x:c r="A248" s="24" t="inlineStr">
        <x:is>
          <x:t xml:space="preserve">MEMBERSHIP-UI-20260923</x:t>
        </x:is>
      </x:c>
      <x:c r="B248" s="24" t="inlineStr">
        <x:is>
          <x:t xml:space="preserve">UI-11</x:t>
        </x:is>
      </x:c>
      <x:c r="C248" s="24" t="inlineStr">
        <x:is>
          <x:t xml:space="preserve">F08/F09/F17</x:t>
        </x:is>
      </x:c>
      <x:c r="D248" s="24" t="inlineStr">
        <x:is>
          <x:t xml:space="preserve">PLAN-006/DOC-057</x:t>
        </x:is>
      </x:c>
      <x:c r="E248" s="24" t="inlineStr">
        <x:is>
          <x:t xml:space="preserve">Đồng bộ UI lời mời/tự rời</x:t>
        </x:is>
      </x:c>
      <x:c r="F248" s="24" t="inlineStr">
        <x:is>
          <x:t xml:space="preserve">Đã cập nhật</x:t>
        </x:is>
      </x:c>
      <x:c r="G248" s="24" t="inlineStr">
        <x:is>
          <x:t xml:space="preserve">Có</x:t>
        </x:is>
      </x:c>
      <x:c r="H248" s="24" t="inlineStr">
        <x:is>
          <x:t xml:space="preserve">Codex</x:t>
        </x:is>
      </x:c>
      <x:c r="I248" s="29" t="n">
        <x:v>46288</x:v>
      </x:c>
      <x:c r="J248" s="24" t="inlineStr">
        <x:is>
          <x:t xml:space="preserve">Design system v0.6, partner v0.8 ghi điều hướng nhân viên và giới hạn.</x:t>
        </x:is>
      </x:c>
      <x:c r="K248" s="24" t="inlineStr">
        <x:is>
          <x:t xml:space="preserve">Bản thử; chưa xác thực/backend thật</x:t>
        </x:is>
      </x:c>
      <x:c r="L248" s="24" t="str">
        <x:f>IF(AND(OR(F248="Đã cập nhật",F248="Không áp dụng"),G248="Có",H248&lt;&gt;"",ISNUMBER(I248),J248&lt;&gt;""),"Hoàn tất","Chưa hoàn tất")</x:f>
        <x:v>Hoàn tất</x:v>
      </x:c>
    </x:row>
    <x:row r="249" ht="120" customHeight="1">
      <x:c r="A249" s="24" t="inlineStr">
        <x:is>
          <x:t xml:space="preserve">MEMBERSHIP-UI-20260923</x:t>
        </x:is>
      </x:c>
      <x:c r="B249" s="24" t="inlineStr">
        <x:is>
          <x:t xml:space="preserve">UI-11</x:t>
        </x:is>
      </x:c>
      <x:c r="C249" s="24" t="inlineStr">
        <x:is>
          <x:t xml:space="preserve">F08/F09/F17</x:t>
        </x:is>
      </x:c>
      <x:c r="D249" s="24" t="inlineStr">
        <x:is>
          <x:t xml:space="preserve">DOC-052/DOC-053/DOC-054/DOC-056</x:t>
        </x:is>
      </x:c>
      <x:c r="E249" s="24" t="inlineStr">
        <x:is>
          <x:t xml:space="preserve">Đồng bộ UI lời mời/tự rời</x:t>
        </x:is>
      </x:c>
      <x:c r="F249" s="24" t="inlineStr">
        <x:is>
          <x:t xml:space="preserve">Đã cập nhật</x:t>
        </x:is>
      </x:c>
      <x:c r="G249" s="24" t="inlineStr">
        <x:is>
          <x:t xml:space="preserve">Có</x:t>
        </x:is>
      </x:c>
      <x:c r="H249" s="24" t="inlineStr">
        <x:is>
          <x:t xml:space="preserve">Codex</x:t>
        </x:is>
      </x:c>
      <x:c r="I249" s="29" t="n">
        <x:v>46288</x:v>
      </x:c>
      <x:c r="J249" s="24" t="inlineStr">
        <x:is>
          <x:t xml:space="preserve">README, hướng UI và luồng khách đồng bộ v0.8, ZIP v0.9.</x:t>
        </x:is>
      </x:c>
      <x:c r="K249" s="24" t="inlineStr">
        <x:is>
          <x:t xml:space="preserve">Bản thử; chưa xác thực/backend thật</x:t>
        </x:is>
      </x:c>
      <x:c r="L249" s="24" t="str">
        <x:f>IF(AND(OR(F249="Đã cập nhật",F249="Không áp dụng"),G249="Có",H249&lt;&gt;"",ISNUMBER(I249),J249&lt;&gt;""),"Hoàn tất","Chưa hoàn tất")</x:f>
        <x:v>Hoàn tất</x:v>
      </x:c>
    </x:row>
    <x:row r="250" ht="120" customHeight="1">
      <x:c r="A250" s="24" t="inlineStr">
        <x:is>
          <x:t xml:space="preserve">MEMBERSHIP-UI-20260923</x:t>
        </x:is>
      </x:c>
      <x:c r="B250" s="24" t="inlineStr">
        <x:is>
          <x:t xml:space="preserve">UI-11</x:t>
        </x:is>
      </x:c>
      <x:c r="C250" s="24" t="inlineStr">
        <x:is>
          <x:t xml:space="preserve">F08/F09/F17</x:t>
        </x:is>
      </x:c>
      <x:c r="D250" s="24" t="inlineStr">
        <x:is>
          <x:t xml:space="preserve">BRD/FR/NFR/SRS/ERD/API/quyền/DOC-008</x:t>
        </x:is>
      </x:c>
      <x:c r="E250" s="24" t="inlineStr">
        <x:is>
          <x:t xml:space="preserve">Đồng bộ UI lời mời/tự rời</x:t>
        </x:is>
      </x:c>
      <x:c r="F250" s="24" t="inlineStr">
        <x:is>
          <x:t xml:space="preserve">Không áp dụng</x:t>
        </x:is>
      </x:c>
      <x:c r="G250" s="24" t="inlineStr">
        <x:is>
          <x:t xml:space="preserve">Có</x:t>
        </x:is>
      </x:c>
      <x:c r="H250" s="24" t="inlineStr">
        <x:is>
          <x:t xml:space="preserve">Codex</x:t>
        </x:is>
      </x:c>
      <x:c r="I250" s="29" t="n">
        <x:v>46288</x:v>
      </x:c>
      <x:c r="J250" s="24" t="inlineStr">
        <x:is>
          <x:t xml:space="preserve">Không áp dụng: quy tắc gửi lại và tự rời đã có trong wireframe; không đổi nghiệp vụ.</x:t>
        </x:is>
      </x:c>
      <x:c r="K250" s="24" t="inlineStr">
        <x:is>
          <x:t xml:space="preserve">Bản thử; chưa xác thực/backend thật</x:t>
        </x:is>
      </x:c>
      <x:c r="L250" s="24" t="str">
        <x:f>IF(AND(OR(F250="Đã cập nhật",F250="Không áp dụng"),G250="Có",H250&lt;&gt;"",ISNUMBER(I250),J250&lt;&gt;""),"Hoàn tất","Chưa hoàn tất")</x:f>
        <x:v>Hoàn tất</x:v>
      </x:c>
    </x:row>
    <x:row r="251" ht="120" customHeight="1">
      <x:c r="A251" s="24" t="inlineStr">
        <x:is>
          <x:t xml:space="preserve">MEMBERSHIP-UI-20260923</x:t>
        </x:is>
      </x:c>
      <x:c r="B251" s="24" t="inlineStr">
        <x:is>
          <x:t xml:space="preserve">UI-11</x:t>
        </x:is>
      </x:c>
      <x:c r="C251" s="24" t="inlineStr">
        <x:is>
          <x:t xml:space="preserve">F08/F09/F17</x:t>
        </x:is>
      </x:c>
      <x:c r="D251" s="24" t="inlineStr">
        <x:is>
          <x:t xml:space="preserve">ZIP/Drive</x:t>
        </x:is>
      </x:c>
      <x:c r="E251" s="24" t="inlineStr">
        <x:is>
          <x:t xml:space="preserve">Đồng bộ UI lời mời/tự rời</x:t>
        </x:is>
      </x:c>
      <x:c r="F251" s="24" t="inlineStr">
        <x:is>
          <x:t xml:space="preserve">Đã cập nhật</x:t>
        </x:is>
      </x:c>
      <x:c r="G251" s="24" t="inlineStr">
        <x:is>
          <x:t xml:space="preserve">Có</x:t>
        </x:is>
      </x:c>
      <x:c r="H251" s="24" t="inlineStr">
        <x:is>
          <x:t xml:space="preserve">Codex</x:t>
        </x:is>
      </x:c>
      <x:c r="I251" s="29" t="n">
        <x:v>46288</x:v>
      </x:c>
      <x:c r="J251" s="24" t="inlineStr">
        <x:is>
          <x:t xml:space="preserve">UI-UX-v0.9.zip và registry v1.17 cùng Drive ID; xác minh metadata sau upload.</x:t>
        </x:is>
      </x:c>
      <x:c r="K251" s="24" t="inlineStr">
        <x:is>
          <x:t xml:space="preserve">Bản thử; chưa xác thực/backend thật</x:t>
        </x:is>
      </x:c>
      <x:c r="L251" s="24" t="str">
        <x:f>IF(AND(OR(F251="Đã cập nhật",F251="Không áp dụng"),G251="Có",H251&lt;&gt;"",ISNUMBER(I251),J251&lt;&gt;""),"Hoàn tất","Chưa hoàn tất")</x:f>
        <x:v>Hoàn tất</x:v>
      </x:c>
    </x:row>
    <x:row r="252" ht="120" customHeight="1">
      <x:c r="A252" s="24" t="inlineStr">
        <x:is>
          <x:t xml:space="preserve">ACCOUNT-BATCH-20260923</x:t>
        </x:is>
      </x:c>
      <x:c r="B252" s="24" t="inlineStr">
        <x:is>
          <x:t xml:space="preserve">UI-12</x:t>
        </x:is>
      </x:c>
      <x:c r="C252" s="24" t="inlineStr">
        <x:is>
          <x:t xml:space="preserve">F01/F03/F04/F06/F17</x:t>
        </x:is>
      </x:c>
      <x:c r="D252" s="24" t="inlineStr">
        <x:is>
          <x:t xml:space="preserve">DOC-050</x:t>
        </x:is>
      </x:c>
      <x:c r="E252" s="24" t="inlineStr">
        <x:is>
          <x:t xml:space="preserve">Đồng bộ đợt 1</x:t>
        </x:is>
      </x:c>
      <x:c r="F252" s="24" t="inlineStr">
        <x:is>
          <x:t xml:space="preserve">Đã cập nhật</x:t>
        </x:is>
      </x:c>
      <x:c r="G252" s="24" t="inlineStr">
        <x:is>
          <x:t xml:space="preserve">Có</x:t>
        </x:is>
      </x:c>
      <x:c r="H252" s="24" t="inlineStr">
        <x:is>
          <x:t xml:space="preserve">Codex</x:t>
        </x:is>
      </x:c>
      <x:c r="I252" s="29" t="n">
        <x:v>46288</x:v>
      </x:c>
      <x:c r="J252" s="24" t="inlineStr">
        <x:is>
          <x:t xml:space="preserve">React v0.9 / 31 stories / 29 tests. Browser OTP, login tiếp chat, đổi kênh hai bước, địa chỉ và công bố/xác minh partner.</x:t>
        </x:is>
      </x:c>
      <x:c r="K252" s="24" t="inlineStr">
        <x:is>
          <x:t xml:space="preserve">Giới hạn và phần admin đợt 4: DOC-058</x:t>
        </x:is>
      </x:c>
      <x:c r="L252" s="24" t="str">
        <x:f>IF(AND(OR(F252="Đã cập nhật",F252="Không áp dụng"),G252="Có",H252&lt;&gt;"",ISNUMBER(I252),J252&lt;&gt;""),"Hoàn tất","Chưa hoàn tất")</x:f>
        <x:v>Hoàn tất</x:v>
      </x:c>
    </x:row>
    <x:row r="253" ht="120" customHeight="1">
      <x:c r="A253" s="24" t="inlineStr">
        <x:is>
          <x:t xml:space="preserve">ACCOUNT-BATCH-20260923</x:t>
        </x:is>
      </x:c>
      <x:c r="B253" s="24" t="inlineStr">
        <x:is>
          <x:t xml:space="preserve">UI-12</x:t>
        </x:is>
      </x:c>
      <x:c r="C253" s="24" t="inlineStr">
        <x:is>
          <x:t xml:space="preserve">F01/F03/F04/F06/F17</x:t>
        </x:is>
      </x:c>
      <x:c r="D253" s="24" t="inlineStr">
        <x:is>
          <x:t xml:space="preserve">DOC-058/PLAN-006</x:t>
        </x:is>
      </x:c>
      <x:c r="E253" s="24" t="inlineStr">
        <x:is>
          <x:t xml:space="preserve">Đồng bộ đợt 1</x:t>
        </x:is>
      </x:c>
      <x:c r="F253" s="24" t="inlineStr">
        <x:is>
          <x:t xml:space="preserve">Đã cập nhật</x:t>
        </x:is>
      </x:c>
      <x:c r="G253" s="24" t="inlineStr">
        <x:is>
          <x:t xml:space="preserve">Có</x:t>
        </x:is>
      </x:c>
      <x:c r="H253" s="24" t="inlineStr">
        <x:is>
          <x:t xml:space="preserve">Codex</x:t>
        </x:is>
      </x:c>
      <x:c r="I253" s="29" t="n">
        <x:v>46288</x:v>
      </x:c>
      <x:c r="J253" s="24" t="inlineStr">
        <x:is>
          <x:t xml:space="preserve">account-batch.md v0.9; design system v0.7 ghi luồng, giới hạn và bằng chứng.</x:t>
        </x:is>
      </x:c>
      <x:c r="K253" s="24" t="inlineStr">
        <x:is>
          <x:t xml:space="preserve">Giới hạn và phần admin đợt 4: DOC-058</x:t>
        </x:is>
      </x:c>
      <x:c r="L253" s="24" t="str">
        <x:f>IF(AND(OR(F253="Đã cập nhật",F253="Không áp dụng"),G253="Có",H253&lt;&gt;"",ISNUMBER(I253),J253&lt;&gt;""),"Hoàn tất","Chưa hoàn tất")</x:f>
        <x:v>Hoàn tất</x:v>
      </x:c>
    </x:row>
    <x:row r="254" ht="120" customHeight="1">
      <x:c r="A254" s="24" t="inlineStr">
        <x:is>
          <x:t xml:space="preserve">ACCOUNT-BATCH-20260923</x:t>
        </x:is>
      </x:c>
      <x:c r="B254" s="24" t="inlineStr">
        <x:is>
          <x:t xml:space="preserve">UI-12</x:t>
        </x:is>
      </x:c>
      <x:c r="C254" s="24" t="inlineStr">
        <x:is>
          <x:t xml:space="preserve">F01/F03/F04/F06/F17</x:t>
        </x:is>
      </x:c>
      <x:c r="D254" s="24" t="inlineStr">
        <x:is>
          <x:t xml:space="preserve">DOC-052/053/054/056/057</x:t>
        </x:is>
      </x:c>
      <x:c r="E254" s="24" t="inlineStr">
        <x:is>
          <x:t xml:space="preserve">Đồng bộ đợt 1</x:t>
        </x:is>
      </x:c>
      <x:c r="F254" s="24" t="inlineStr">
        <x:is>
          <x:t xml:space="preserve">Đã cập nhật</x:t>
        </x:is>
      </x:c>
      <x:c r="G254" s="24" t="inlineStr">
        <x:is>
          <x:t xml:space="preserve">Có</x:t>
        </x:is>
      </x:c>
      <x:c r="H254" s="24" t="inlineStr">
        <x:is>
          <x:t xml:space="preserve">Codex</x:t>
        </x:is>
      </x:c>
      <x:c r="I254" s="29" t="n">
        <x:v>46288</x:v>
      </x:c>
      <x:c r="J254" s="24" t="inlineStr">
        <x:is>
          <x:t xml:space="preserve">README/hướng UI/luồng khách/partner cùng phiên bản React v0.9, tham chiếu DOC-058.</x:t>
        </x:is>
      </x:c>
      <x:c r="K254" s="24" t="inlineStr">
        <x:is>
          <x:t xml:space="preserve">Giới hạn và phần admin đợt 4: DOC-058</x:t>
        </x:is>
      </x:c>
      <x:c r="L254" s="24" t="str">
        <x:f>IF(AND(OR(F254="Đã cập nhật",F254="Không áp dụng"),G254="Có",H254&lt;&gt;"",ISNUMBER(I254),J254&lt;&gt;""),"Hoàn tất","Chưa hoàn tất")</x:f>
        <x:v>Hoàn tất</x:v>
      </x:c>
    </x:row>
    <x:row r="255" ht="120" customHeight="1">
      <x:c r="A255" s="24" t="inlineStr">
        <x:is>
          <x:t xml:space="preserve">ACCOUNT-BATCH-20260923</x:t>
        </x:is>
      </x:c>
      <x:c r="B255" s="24" t="inlineStr">
        <x:is>
          <x:t xml:space="preserve">UI-12</x:t>
        </x:is>
      </x:c>
      <x:c r="C255" s="24" t="inlineStr">
        <x:is>
          <x:t xml:space="preserve">F01/F03/F04/F06/F17</x:t>
        </x:is>
      </x:c>
      <x:c r="D255" s="24" t="inlineStr">
        <x:is>
          <x:t xml:space="preserve">BRD/FR/NFR/SRS/ERD/API/quyền/DOC-008</x:t>
        </x:is>
      </x:c>
      <x:c r="E255" s="24" t="inlineStr">
        <x:is>
          <x:t xml:space="preserve">Đồng bộ đợt 1</x:t>
        </x:is>
      </x:c>
      <x:c r="F255" s="24" t="inlineStr">
        <x:is>
          <x:t xml:space="preserve">Không áp dụng</x:t>
        </x:is>
      </x:c>
      <x:c r="G255" s="24" t="inlineStr">
        <x:is>
          <x:t xml:space="preserve">Có</x:t>
        </x:is>
      </x:c>
      <x:c r="H255" s="24" t="inlineStr">
        <x:is>
          <x:t xml:space="preserve">Codex</x:t>
        </x:is>
      </x:c>
      <x:c r="I255" s="29" t="n">
        <x:v>46288</x:v>
      </x:c>
      <x:c r="J255" s="24" t="inlineStr">
        <x:is>
          <x:t xml:space="preserve">Không áp dụng: chuyển nghiệp vụ có sẵn; các quy ước OTP/mật khẩu/định vị chỉ là mô phỏng, không thay yêu cầu sản phẩm.</x:t>
        </x:is>
      </x:c>
      <x:c r="K255" s="24" t="inlineStr">
        <x:is>
          <x:t xml:space="preserve">Giới hạn và phần admin đợt 4: DOC-058</x:t>
        </x:is>
      </x:c>
      <x:c r="L255" s="24" t="str">
        <x:f>IF(AND(OR(F255="Đã cập nhật",F255="Không áp dụng"),G255="Có",H255&lt;&gt;"",ISNUMBER(I255),J255&lt;&gt;""),"Hoàn tất","Chưa hoàn tất")</x:f>
        <x:v>Hoàn tất</x:v>
      </x:c>
    </x:row>
    <x:row r="256" ht="120" customHeight="1">
      <x:c r="A256" s="24" t="inlineStr">
        <x:is>
          <x:t xml:space="preserve">ACCOUNT-BATCH-20260923</x:t>
        </x:is>
      </x:c>
      <x:c r="B256" s="24" t="inlineStr">
        <x:is>
          <x:t xml:space="preserve">UI-12</x:t>
        </x:is>
      </x:c>
      <x:c r="C256" s="24" t="inlineStr">
        <x:is>
          <x:t xml:space="preserve">F01/F03/F04/F06/F17</x:t>
        </x:is>
      </x:c>
      <x:c r="D256" s="24" t="inlineStr">
        <x:is>
          <x:t xml:space="preserve">ZIP/Drive</x:t>
        </x:is>
      </x:c>
      <x:c r="E256" s="24" t="inlineStr">
        <x:is>
          <x:t xml:space="preserve">Đồng bộ đợt 1</x:t>
        </x:is>
      </x:c>
      <x:c r="F256" s="24" t="inlineStr">
        <x:is>
          <x:t xml:space="preserve">Đã cập nhật</x:t>
        </x:is>
      </x:c>
      <x:c r="G256" s="24" t="inlineStr">
        <x:is>
          <x:t xml:space="preserve">Có</x:t>
        </x:is>
      </x:c>
      <x:c r="H256" s="24" t="inlineStr">
        <x:is>
          <x:t xml:space="preserve">Codex</x:t>
        </x:is>
      </x:c>
      <x:c r="I256" s="29" t="n">
        <x:v>46288</x:v>
      </x:c>
      <x:c r="J256" s="24" t="inlineStr">
        <x:is>
          <x:t xml:space="preserve">UI-UX-v0.10.zip và registry v1.18 cùng ID; kiểm metadata sau upload.</x:t>
        </x:is>
      </x:c>
      <x:c r="K256" s="24" t="inlineStr">
        <x:is>
          <x:t xml:space="preserve">Giới hạn và phần admin đợt 4: DOC-058</x:t>
        </x:is>
      </x:c>
      <x:c r="L256" s="24" t="str">
        <x:f>IF(AND(OR(F256="Đã cập nhật",F256="Không áp dụng"),G256="Có",H256&lt;&gt;"",ISNUMBER(I256),J256&lt;&gt;""),"Hoàn tất","Chưa hoàn tất")</x:f>
        <x:v>Hoàn tất</x:v>
      </x:c>
    </x:row>
    <x:row r="257">
      <x:c r="A257" t="inlineStr">
        <x:is>
          <x:t xml:space="preserve">POINT-LAYOUT-20260923</x:t>
        </x:is>
      </x:c>
      <x:c r="B257" t="inlineStr">
        <x:is>
          <x:t xml:space="preserve">UI-13</x:t>
        </x:is>
      </x:c>
      <x:c r="C257" t="inlineStr">
        <x:is>
          <x:t xml:space="preserve">F01/F17</x:t>
        </x:is>
      </x:c>
      <x:c r="D257" t="inlineStr">
        <x:is>
          <x:t xml:space="preserve">DOC-050/DOC-058/PLAN-006</x:t>
        </x:is>
      </x:c>
      <x:c r="E257" t="inlineStr">
        <x:is>
          <x:t xml:space="preserve">Bố cục Point</x:t>
        </x:is>
      </x:c>
      <x:c r="F257" t="inlineStr">
        <x:is>
          <x:t xml:space="preserve">Đã cập nhật</x:t>
        </x:is>
      </x:c>
      <x:c r="G257" t="inlineStr">
        <x:is>
          <x:t xml:space="preserve">Có</x:t>
        </x:is>
      </x:c>
      <x:c r="H257" t="inlineStr">
        <x:is>
          <x:t xml:space="preserve">Codex</x:t>
        </x:is>
      </x:c>
      <x:c r="I257" s="30" t="n">
        <x:v>46288</x:v>
      </x:c>
      <x:c r="J257" t="inlineStr">
        <x:is>
          <x:t xml:space="preserve">AccountHub/account.css, account-batch.md, design-system.md; build Vite/Storybook đạt; browser mobile xác nhận thứ tự.</x:t>
        </x:is>
      </x:c>
      <x:c r="L257" t="str">
        <x:f>IF(AND(OR(F257="Đã cập nhật",F257="Không áp dụng"),G257="Có",H257&lt;&gt;"",ISNUMBER(I257),J257&lt;&gt;""),"Hoàn tất","Chưa hoàn tất")</x:f>
        <x:v>Hoàn tất</x:v>
      </x:c>
    </x:row>
    <x:row r="258">
      <x:c r="A258" t="inlineStr">
        <x:is>
          <x:t xml:space="preserve">POINT-LAYOUT-20260923</x:t>
        </x:is>
      </x:c>
      <x:c r="B258" t="inlineStr">
        <x:is>
          <x:t xml:space="preserve">UI-13</x:t>
        </x:is>
      </x:c>
      <x:c r="C258" t="inlineStr">
        <x:is>
          <x:t xml:space="preserve">F01/F17</x:t>
        </x:is>
      </x:c>
      <x:c r="D258" t="inlineStr">
        <x:is>
          <x:t xml:space="preserve">BRD/SRS/FR/NFR/API/ERD</x:t>
        </x:is>
      </x:c>
      <x:c r="E258" t="inlineStr">
        <x:is>
          <x:t xml:space="preserve">Bố cục Point</x:t>
        </x:is>
      </x:c>
      <x:c r="F258" t="inlineStr">
        <x:is>
          <x:t xml:space="preserve">Không áp dụng</x:t>
        </x:is>
      </x:c>
      <x:c r="G258" t="inlineStr">
        <x:is>
          <x:t xml:space="preserve">Có</x:t>
        </x:is>
      </x:c>
      <x:c r="H258" t="inlineStr">
        <x:is>
          <x:t xml:space="preserve">Codex</x:t>
        </x:is>
      </x:c>
      <x:c r="I258" s="30" t="n">
        <x:v>46288</x:v>
      </x:c>
      <x:c r="J258" t="inlineStr">
        <x:is>
          <x:t xml:space="preserve">Chỉ đổi vị trí hiển thị; quy tắc tiền/point/quyền không đổi.</x:t>
        </x:is>
      </x:c>
      <x:c r="L258" t="str">
        <x:f>IF(AND(OR(F258="Đã cập nhật",F258="Không áp dụng"),G258="Có",H258&lt;&gt;"",ISNUMBER(I258),J258&lt;&gt;""),"Hoàn tất","Chưa hoàn tất")</x:f>
        <x:v>Hoàn tất</x:v>
      </x:c>
    </x:row>
    <x:row r="259">
      <x:c r="A259" t="inlineStr">
        <x:is>
          <x:t xml:space="preserve">POINT-LAYOUT-20260923</x:t>
        </x:is>
      </x:c>
      <x:c r="B259" t="inlineStr">
        <x:is>
          <x:t xml:space="preserve">UI-13</x:t>
        </x:is>
      </x:c>
      <x:c r="C259" t="inlineStr">
        <x:is>
          <x:t xml:space="preserve">F01/F17</x:t>
        </x:is>
      </x:c>
      <x:c r="D259" t="inlineStr">
        <x:is>
          <x:t xml:space="preserve">README/ZIP/Drive</x:t>
        </x:is>
      </x:c>
      <x:c r="E259" t="inlineStr">
        <x:is>
          <x:t xml:space="preserve">Bố cục Point</x:t>
        </x:is>
      </x:c>
      <x:c r="F259" t="inlineStr">
        <x:is>
          <x:t xml:space="preserve">Đã cập nhật</x:t>
        </x:is>
      </x:c>
      <x:c r="G259" t="inlineStr">
        <x:is>
          <x:t xml:space="preserve">Có</x:t>
        </x:is>
      </x:c>
      <x:c r="H259" t="inlineStr">
        <x:is>
          <x:t xml:space="preserve">Codex</x:t>
        </x:is>
      </x:c>
      <x:c r="I259" s="30" t="n">
        <x:v>46288</x:v>
      </x:c>
      <x:c r="J259" t="inlineStr">
        <x:is>
          <x:t xml:space="preserve">UI-UX-v0.11.zip; registry v1.19; Drive cùng ID, kiểm metadata sau upload.</x:t>
        </x:is>
      </x:c>
      <x:c r="L259" t="str">
        <x:f>IF(AND(OR(F259="Đã cập nhật",F259="Không áp dụng"),G259="Có",H259&lt;&gt;"",ISNUMBER(I259),J259&lt;&gt;""),"Hoàn tất","Chưa hoàn tất")</x:f>
        <x:v>Hoàn tất</x:v>
      </x:c>
    </x:row>
    <x:row r="260">
      <x:c r="A260" t="inlineStr">
        <x:is>
          <x:t xml:space="preserve">ACTIVITY-BATCH-20260923</x:t>
        </x:is>
      </x:c>
      <x:c r="B260" t="inlineStr">
        <x:is>
          <x:t xml:space="preserve">UI-14</x:t>
        </x:is>
      </x:c>
      <x:c r="C260" t="inlineStr">
        <x:is>
          <x:t xml:space="preserve">F06/F07/F09/F13/F17</x:t>
        </x:is>
      </x:c>
      <x:c r="D260" t="inlineStr">
        <x:is>
          <x:t xml:space="preserve">DOC-050/DOC-059</x:t>
        </x:is>
      </x:c>
      <x:c r="E260" t="inlineStr">
        <x:is>
          <x:t xml:space="preserve">Đợt 2</x:t>
        </x:is>
      </x:c>
      <x:c r="F260" t="inlineStr">
        <x:is>
          <x:t xml:space="preserve">Đã cập nhật</x:t>
        </x:is>
      </x:c>
      <x:c r="G260" t="inlineStr">
        <x:is>
          <x:t xml:space="preserve">Có</x:t>
        </x:is>
      </x:c>
      <x:c r="H260" t="inlineStr">
        <x:is>
          <x:t xml:space="preserve">Codex</x:t>
        </x:is>
      </x:c>
      <x:c r="I260" s="30" t="n">
        <x:v>46288</x:v>
      </x:c>
      <x:c r="J260" t="inlineStr">
        <x:is>
          <x:t xml:space="preserve">React v0.10, 37 stories; 33 tests, build Vite/Storybook và browser; DOC-059 nêu bằng chứng và giới hạn.</x:t>
        </x:is>
      </x:c>
      <x:c r="K260" t="inlineStr">
        <x:is>
          <x:t xml:space="preserve">Admin/push/WebRTC thật chưa triển khai</x:t>
        </x:is>
      </x:c>
      <x:c r="L260" t="str">
        <x:f>IF(AND(OR(F260="Đã cập nhật",F260="Không áp dụng"),G260="Có",H260&lt;&gt;"",ISNUMBER(I260),J260&lt;&gt;""),"Hoàn tất","Chưa hoàn tất")</x:f>
        <x:v>Hoàn tất</x:v>
      </x:c>
    </x:row>
    <x:row r="261">
      <x:c r="A261" t="inlineStr">
        <x:is>
          <x:t xml:space="preserve">ACTIVITY-BATCH-20260923</x:t>
        </x:is>
      </x:c>
      <x:c r="B261" t="inlineStr">
        <x:is>
          <x:t xml:space="preserve">UI-14</x:t>
        </x:is>
      </x:c>
      <x:c r="C261" t="inlineStr">
        <x:is>
          <x:t xml:space="preserve">F06/F07/F09/F13/F17</x:t>
        </x:is>
      </x:c>
      <x:c r="D261" t="inlineStr">
        <x:is>
          <x:t xml:space="preserve">DOC-052/053/056/057/058/PLAN-006/README</x:t>
        </x:is>
      </x:c>
      <x:c r="E261" t="inlineStr">
        <x:is>
          <x:t xml:space="preserve">Đợt 2</x:t>
        </x:is>
      </x:c>
      <x:c r="F261" t="inlineStr">
        <x:is>
          <x:t xml:space="preserve">Đã cập nhật</x:t>
        </x:is>
      </x:c>
      <x:c r="G261" t="inlineStr">
        <x:is>
          <x:t xml:space="preserve">Có</x:t>
        </x:is>
      </x:c>
      <x:c r="H261" t="inlineStr">
        <x:is>
          <x:t xml:space="preserve">Codex</x:t>
        </x:is>
      </x:c>
      <x:c r="I261" s="30" t="n">
        <x:v>46288</x:v>
      </x:c>
      <x:c r="J261" t="inlineStr">
        <x:is>
          <x:t xml:space="preserve">Đường dẫn DOC-059 và phạm vi hiện hành; Point giữ UI-13.</x:t>
        </x:is>
      </x:c>
      <x:c r="K261" t="inlineStr">
        <x:is>
          <x:t xml:space="preserve">Admin/push/WebRTC thật chưa triển khai</x:t>
        </x:is>
      </x:c>
      <x:c r="L261" t="str">
        <x:f>IF(AND(OR(F261="Đã cập nhật",F261="Không áp dụng"),G261="Có",H261&lt;&gt;"",ISNUMBER(I261),J261&lt;&gt;""),"Hoàn tất","Chưa hoàn tất")</x:f>
        <x:v>Hoàn tất</x:v>
      </x:c>
    </x:row>
    <x:row r="262">
      <x:c r="A262" t="inlineStr">
        <x:is>
          <x:t xml:space="preserve">ACTIVITY-BATCH-20260923</x:t>
        </x:is>
      </x:c>
      <x:c r="B262" t="inlineStr">
        <x:is>
          <x:t xml:space="preserve">UI-14</x:t>
        </x:is>
      </x:c>
      <x:c r="C262" t="inlineStr">
        <x:is>
          <x:t xml:space="preserve">F06/F07/F09/F13/F17</x:t>
        </x:is>
      </x:c>
      <x:c r="D262" t="inlineStr">
        <x:is>
          <x:t xml:space="preserve">BRD/FR/NFR/SRS/API/ERD/wireframe</x:t>
        </x:is>
      </x:c>
      <x:c r="E262" t="inlineStr">
        <x:is>
          <x:t xml:space="preserve">Đợt 2</x:t>
        </x:is>
      </x:c>
      <x:c r="F262" t="inlineStr">
        <x:is>
          <x:t xml:space="preserve">Không áp dụng</x:t>
        </x:is>
      </x:c>
      <x:c r="G262" t="inlineStr">
        <x:is>
          <x:t xml:space="preserve">Có</x:t>
        </x:is>
      </x:c>
      <x:c r="H262" t="inlineStr">
        <x:is>
          <x:t xml:space="preserve">Codex</x:t>
        </x:is>
      </x:c>
      <x:c r="I262" s="30" t="n">
        <x:v>46288</x:v>
      </x:c>
      <x:c r="J262" t="inlineStr">
        <x:is>
          <x:t xml:space="preserve">Nghiệp vụ giữ nguyên; dữ liệu/call/push/ảnh vẫn mẫu, không đổi API hoặc quyết định tiền.</x:t>
        </x:is>
      </x:c>
      <x:c r="K262" t="inlineStr">
        <x:is>
          <x:t xml:space="preserve">Admin/push/WebRTC thật chưa triển khai</x:t>
        </x:is>
      </x:c>
      <x:c r="L262" t="str">
        <x:f>IF(AND(OR(F262="Đã cập nhật",F262="Không áp dụng"),G262="Có",H262&lt;&gt;"",ISNUMBER(I262),J262&lt;&gt;""),"Hoàn tất","Chưa hoàn tất")</x:f>
        <x:v>Hoàn tất</x:v>
      </x:c>
    </x:row>
    <x:row r="263">
      <x:c r="A263" t="inlineStr">
        <x:is>
          <x:t xml:space="preserve">ACTIVITY-BATCH-20260923</x:t>
        </x:is>
      </x:c>
      <x:c r="B263" t="inlineStr">
        <x:is>
          <x:t xml:space="preserve">UI-14</x:t>
        </x:is>
      </x:c>
      <x:c r="C263" t="inlineStr">
        <x:is>
          <x:t xml:space="preserve">F06/F07/F09/F13/F17</x:t>
        </x:is>
      </x:c>
      <x:c r="D263" t="inlineStr">
        <x:is>
          <x:t xml:space="preserve">ZIP/Drive</x:t>
        </x:is>
      </x:c>
      <x:c r="E263" t="inlineStr">
        <x:is>
          <x:t xml:space="preserve">Đợt 2</x:t>
        </x:is>
      </x:c>
      <x:c r="F263" t="inlineStr">
        <x:is>
          <x:t xml:space="preserve">Đã cập nhật</x:t>
        </x:is>
      </x:c>
      <x:c r="G263" t="inlineStr">
        <x:is>
          <x:t xml:space="preserve">Có</x:t>
        </x:is>
      </x:c>
      <x:c r="H263" t="inlineStr">
        <x:is>
          <x:t xml:space="preserve">Codex</x:t>
        </x:is>
      </x:c>
      <x:c r="I263" s="30" t="n">
        <x:v>46288</x:v>
      </x:c>
      <x:c r="J263" t="inlineStr">
        <x:is>
          <x:t xml:space="preserve">UI-UX-v0.12.zip và registry v1.20 cùng Drive ID; kiểm metadata sau upload.</x:t>
        </x:is>
      </x:c>
      <x:c r="K263" t="inlineStr">
        <x:is>
          <x:t xml:space="preserve">Admin/push/WebRTC thật chưa triển khai</x:t>
        </x:is>
      </x:c>
      <x:c r="L263" t="str">
        <x:f>IF(AND(OR(F263="Đã cập nhật",F263="Không áp dụng"),G263="Có",H263&lt;&gt;"",ISNUMBER(I263),J263&lt;&gt;""),"Hoàn tất","Chưa hoàn tất")</x:f>
        <x:v>Hoàn tất</x:v>
      </x:c>
    </x:row>
    <x:row r="264">
      <x:c r="A264" t="inlineStr">
        <x:is>
          <x:t xml:space="preserve">NOTIFICATION-NAV-20260923</x:t>
        </x:is>
      </x:c>
      <x:c r="B264" t="inlineStr">
        <x:is>
          <x:t xml:space="preserve">UI-15</x:t>
        </x:is>
      </x:c>
      <x:c r="C264" t="inlineStr">
        <x:is>
          <x:t xml:space="preserve">F01/F08/F09/F17</x:t>
        </x:is>
      </x:c>
      <x:c r="D264" t="inlineStr">
        <x:is>
          <x:t xml:space="preserve">DOC-050/052/053/056/057/058/059/PLAN-006</x:t>
        </x:is>
      </x:c>
      <x:c r="E264" t="inlineStr">
        <x:is>
          <x:t xml:space="preserve">Điều hướng mới</x:t>
        </x:is>
      </x:c>
      <x:c r="F264" t="inlineStr">
        <x:is>
          <x:t xml:space="preserve">Đã cập nhật</x:t>
        </x:is>
      </x:c>
      <x:c r="G264" t="inlineStr">
        <x:is>
          <x:t xml:space="preserve">Có</x:t>
        </x:is>
      </x:c>
      <x:c r="H264" t="inlineStr">
        <x:is>
          <x:t xml:space="preserve">Codex</x:t>
        </x:is>
      </x:c>
      <x:c r="I264" s="30" t="n">
        <x:v>46288</x:v>
      </x:c>
      <x:c r="J264" t="inlineStr">
        <x:is>
          <x:t xml:space="preserve">React v0.10a, 39 stories; build đạt; browser chuông/lọc/đánh dấu/mở chat và cài đặt; mobile không tràn.</x:t>
        </x:is>
      </x:c>
      <x:c r="K264" t="inlineStr">
        <x:is>
          <x:t xml:space="preserve">Không triển khai push thật</x:t>
        </x:is>
      </x:c>
      <x:c r="L264" t="str">
        <x:f>IF(AND(OR(F264="Đã cập nhật",F264="Không áp dụng"),G264="Có",H264&lt;&gt;"",ISNUMBER(I264),J264&lt;&gt;""),"Hoàn tất","Chưa hoàn tất")</x:f>
        <x:v>Hoàn tất</x:v>
      </x:c>
    </x:row>
    <x:row r="265">
      <x:c r="A265" t="inlineStr">
        <x:is>
          <x:t xml:space="preserve">NOTIFICATION-NAV-20260923</x:t>
        </x:is>
      </x:c>
      <x:c r="B265" t="inlineStr">
        <x:is>
          <x:t xml:space="preserve">UI-15</x:t>
        </x:is>
      </x:c>
      <x:c r="C265" t="inlineStr">
        <x:is>
          <x:t xml:space="preserve">F01/F08/F09/F17</x:t>
        </x:is>
      </x:c>
      <x:c r="D265" t="inlineStr">
        <x:is>
          <x:t xml:space="preserve">BRD/FR/NFR/SRS/API/ERD; wireframe nghiệp vụ cũ</x:t>
        </x:is>
      </x:c>
      <x:c r="E265" t="inlineStr">
        <x:is>
          <x:t xml:space="preserve">Điều hướng mới</x:t>
        </x:is>
      </x:c>
      <x:c r="F265" t="inlineStr">
        <x:is>
          <x:t xml:space="preserve">Không áp dụng</x:t>
        </x:is>
      </x:c>
      <x:c r="G265" t="inlineStr">
        <x:is>
          <x:t xml:space="preserve">Có</x:t>
        </x:is>
      </x:c>
      <x:c r="H265" t="inlineStr">
        <x:is>
          <x:t xml:space="preserve">Codex</x:t>
        </x:is>
      </x:c>
      <x:c r="I265" s="30" t="n">
        <x:v>46288</x:v>
      </x:c>
      <x:c r="J265" t="inlineStr">
        <x:is>
          <x:t xml:space="preserve">Chỉ đổi bố cục React. Quyền/dữ liệu/nghiệp vụ giữ nguyên; wireframe v0.24 vẫn để tra nghiệp vụ, UI hiện hành theo DOC-059 UI-15.</x:t>
        </x:is>
      </x:c>
      <x:c r="K265" t="inlineStr">
        <x:is>
          <x:t xml:space="preserve">Không triển khai push thật</x:t>
        </x:is>
      </x:c>
      <x:c r="L265" t="str">
        <x:f>IF(AND(OR(F265="Đã cập nhật",F265="Không áp dụng"),G265="Có",H265&lt;&gt;"",ISNUMBER(I265),J265&lt;&gt;""),"Hoàn tất","Chưa hoàn tất")</x:f>
        <x:v>Hoàn tất</x:v>
      </x:c>
    </x:row>
    <x:row r="266">
      <x:c r="A266" t="inlineStr">
        <x:is>
          <x:t xml:space="preserve">NOTIFICATION-NAV-20260923</x:t>
        </x:is>
      </x:c>
      <x:c r="B266" t="inlineStr">
        <x:is>
          <x:t xml:space="preserve">UI-15</x:t>
        </x:is>
      </x:c>
      <x:c r="C266" t="inlineStr">
        <x:is>
          <x:t xml:space="preserve">F01/F08/F09/F17</x:t>
        </x:is>
      </x:c>
      <x:c r="D266" t="inlineStr">
        <x:is>
          <x:t xml:space="preserve">README/ZIP/Drive</x:t>
        </x:is>
      </x:c>
      <x:c r="E266" t="inlineStr">
        <x:is>
          <x:t xml:space="preserve">Điều hướng mới</x:t>
        </x:is>
      </x:c>
      <x:c r="F266" t="inlineStr">
        <x:is>
          <x:t xml:space="preserve">Đã cập nhật</x:t>
        </x:is>
      </x:c>
      <x:c r="G266" t="inlineStr">
        <x:is>
          <x:t xml:space="preserve">Có</x:t>
        </x:is>
      </x:c>
      <x:c r="H266" t="inlineStr">
        <x:is>
          <x:t xml:space="preserve">Codex</x:t>
        </x:is>
      </x:c>
      <x:c r="I266" s="30" t="n">
        <x:v>46288</x:v>
      </x:c>
      <x:c r="J266" t="inlineStr">
        <x:is>
          <x:t xml:space="preserve">UI-UX-v0.13.zip và registry v1.21 cùng Drive ID; kiểm metadata sau upload.</x:t>
        </x:is>
      </x:c>
      <x:c r="K266" t="inlineStr">
        <x:is>
          <x:t xml:space="preserve">Không triển khai push thật</x:t>
        </x:is>
      </x:c>
      <x:c r="L266" t="str">
        <x:f>IF(AND(OR(F266="Đã cập nhật",F266="Không áp dụng"),G266="Có",H266&lt;&gt;"",ISNUMBER(I266),J266&lt;&gt;""),"Hoàn tất","Chưa hoàn tất")</x:f>
        <x:v>Hoàn tất</x:v>
      </x:c>
    </x:row>
    <x:row r="267">
      <x:c r="A267" t="inlineStr">
        <x:is>
          <x:t xml:space="preserve">NOTIFICATION-TAB-20260923</x:t>
        </x:is>
      </x:c>
      <x:c r="B267" t="inlineStr">
        <x:is>
          <x:t xml:space="preserve">UI-16</x:t>
        </x:is>
      </x:c>
      <x:c r="C267" t="inlineStr">
        <x:is>
          <x:t xml:space="preserve">F01/F08/F09/F17</x:t>
        </x:is>
      </x:c>
      <x:c r="D267" t="inlineStr">
        <x:is>
          <x:t xml:space="preserve">DOC-050/052/053/056/057/058/059/PLAN-006</x:t>
        </x:is>
      </x:c>
      <x:c r="E267" t="inlineStr">
        <x:is>
          <x:t xml:space="preserve">Điều hướng mới</x:t>
        </x:is>
      </x:c>
      <x:c r="F267" t="inlineStr">
        <x:is>
          <x:t xml:space="preserve">Đã cập nhật</x:t>
        </x:is>
      </x:c>
      <x:c r="G267" t="inlineStr">
        <x:is>
          <x:t xml:space="preserve">Có</x:t>
        </x:is>
      </x:c>
      <x:c r="H267" t="inlineStr">
        <x:is>
          <x:t xml:space="preserve">Codex</x:t>
        </x:is>
      </x:c>
      <x:c r="I267" s="30" t="n">
        <x:v>46288</x:v>
      </x:c>
      <x:c r="J267" t="inlineStr">
        <x:is>
          <x:t xml:space="preserve">React v0.10b, 39 stories; build đạt; browser tab Thông báo và avatar Tài khoản; mobile không tràn.</x:t>
        </x:is>
      </x:c>
      <x:c r="K267" t="inlineStr">
        <x:is>
          <x:t xml:space="preserve">Không triển khai push thật</x:t>
        </x:is>
      </x:c>
      <x:c r="L267" t="str">
        <x:f>IF(AND(OR(F267="Đã cập nhật",F267="Không áp dụng"),G267="Có",H267&lt;&gt;"",ISNUMBER(I267),J267&lt;&gt;""),"Hoàn tất","Chưa hoàn tất")</x:f>
        <x:v>Hoàn tất</x:v>
      </x:c>
    </x:row>
    <x:row r="268">
      <x:c r="A268" t="inlineStr">
        <x:is>
          <x:t xml:space="preserve">NOTIFICATION-TAB-20260923</x:t>
        </x:is>
      </x:c>
      <x:c r="B268" t="inlineStr">
        <x:is>
          <x:t xml:space="preserve">UI-16</x:t>
        </x:is>
      </x:c>
      <x:c r="C268" t="inlineStr">
        <x:is>
          <x:t xml:space="preserve">F01/F08/F09/F17</x:t>
        </x:is>
      </x:c>
      <x:c r="D268" t="inlineStr">
        <x:is>
          <x:t xml:space="preserve">BRD/FR/NFR/SRS/API/ERD; wireframe nghiệp vụ cũ</x:t>
        </x:is>
      </x:c>
      <x:c r="E268" t="inlineStr">
        <x:is>
          <x:t xml:space="preserve">Điều hướng mới</x:t>
        </x:is>
      </x:c>
      <x:c r="F268" t="inlineStr">
        <x:is>
          <x:t xml:space="preserve">Không áp dụng</x:t>
        </x:is>
      </x:c>
      <x:c r="G268" t="inlineStr">
        <x:is>
          <x:t xml:space="preserve">Có</x:t>
        </x:is>
      </x:c>
      <x:c r="H268" t="inlineStr">
        <x:is>
          <x:t xml:space="preserve">Codex</x:t>
        </x:is>
      </x:c>
      <x:c r="I268" s="30" t="n">
        <x:v>46288</x:v>
      </x:c>
      <x:c r="J268" t="inlineStr">
        <x:is>
          <x:t xml:space="preserve">Chỉ đổi bố cục React. Quyền/dữ liệu/nghiệp vụ giữ nguyên; wireframe v0.24 vẫn để tra nghiệp vụ, UI hiện hành theo DOC-059 UI-16.</x:t>
        </x:is>
      </x:c>
      <x:c r="K268" t="inlineStr">
        <x:is>
          <x:t xml:space="preserve">Không triển khai push thật</x:t>
        </x:is>
      </x:c>
      <x:c r="L268" t="str">
        <x:f>IF(AND(OR(F268="Đã cập nhật",F268="Không áp dụng"),G268="Có",H268&lt;&gt;"",ISNUMBER(I268),J268&lt;&gt;""),"Hoàn tất","Chưa hoàn tất")</x:f>
        <x:v>Hoàn tất</x:v>
      </x:c>
    </x:row>
    <x:row r="269">
      <x:c r="A269" t="inlineStr">
        <x:is>
          <x:t xml:space="preserve">NOTIFICATION-TAB-20260923</x:t>
        </x:is>
      </x:c>
      <x:c r="B269" t="inlineStr">
        <x:is>
          <x:t xml:space="preserve">UI-16</x:t>
        </x:is>
      </x:c>
      <x:c r="C269" t="inlineStr">
        <x:is>
          <x:t xml:space="preserve">F01/F08/F09/F17</x:t>
        </x:is>
      </x:c>
      <x:c r="D269" t="inlineStr">
        <x:is>
          <x:t xml:space="preserve">README/ZIP/Drive</x:t>
        </x:is>
      </x:c>
      <x:c r="E269" t="inlineStr">
        <x:is>
          <x:t xml:space="preserve">Điều hướng mới</x:t>
        </x:is>
      </x:c>
      <x:c r="F269" t="inlineStr">
        <x:is>
          <x:t xml:space="preserve">Đã cập nhật</x:t>
        </x:is>
      </x:c>
      <x:c r="G269" t="inlineStr">
        <x:is>
          <x:t xml:space="preserve">Có</x:t>
        </x:is>
      </x:c>
      <x:c r="H269" t="inlineStr">
        <x:is>
          <x:t xml:space="preserve">Codex</x:t>
        </x:is>
      </x:c>
      <x:c r="I269" s="30" t="n">
        <x:v>46288</x:v>
      </x:c>
      <x:c r="J269" t="inlineStr">
        <x:is>
          <x:t xml:space="preserve">UI-UX-v0.14.zip và registry v1.22 cùng Drive ID; kiểm metadata sau upload.</x:t>
        </x:is>
      </x:c>
      <x:c r="K269" t="inlineStr">
        <x:is>
          <x:t xml:space="preserve">Không triển khai push thật</x:t>
        </x:is>
      </x:c>
      <x:c r="L269" t="str">
        <x:f>IF(AND(OR(F269="Đã cập nhật",F269="Không áp dụng"),G269="Có",H269&lt;&gt;"",ISNUMBER(I269),J269&lt;&gt;""),"Hoàn tất","Chưa hoàn tất")</x:f>
        <x:v>Hoàn tất</x:v>
      </x:c>
    </x:row>
    <x:row r="270">
      <x:c r="A270" t="inlineStr">
        <x:is>
          <x:t xml:space="preserve">FINANCE-UI-20260926</x:t>
        </x:is>
      </x:c>
      <x:c r="B270" t="inlineStr">
        <x:is>
          <x:t xml:space="preserve">UI-17</x:t>
        </x:is>
      </x:c>
      <x:c r="C270" t="inlineStr">
        <x:is>
          <x:t xml:space="preserve">F08/F12/F17</x:t>
        </x:is>
      </x:c>
      <x:c r="D270" t="inlineStr">
        <x:is>
          <x:t xml:space="preserve">DOC-050/052/053/057/060/PLAN-006/README</x:t>
        </x:is>
      </x:c>
      <x:c r="E270" t="inlineStr">
        <x:is>
          <x:t xml:space="preserve">Ví và ngân hàng; xem quyền</x:t>
        </x:is>
      </x:c>
      <x:c r="F270" t="inlineStr">
        <x:is>
          <x:t xml:space="preserve">Đã cập nhật</x:t>
        </x:is>
      </x:c>
      <x:c r="G270" t="inlineStr">
        <x:is>
          <x:t xml:space="preserve">Có</x:t>
        </x:is>
      </x:c>
      <x:c r="H270" t="inlineStr">
        <x:is>
          <x:t xml:space="preserve">Codex</x:t>
        </x:is>
      </x:c>
      <x:c r="I270" s="30" t="n">
        <x:v>46291</x:v>
      </x:c>
      <x:c r="J270" t="inlineStr">
        <x:is>
          <x:t xml:space="preserve">React v0.11, 42 stories; 35 tests và build đạt; browser rút 100k, giữ tiền, chặn đổi ngân hàng, đề nghị mới giữ bank cũ; mobile/desktop.</x:t>
        </x:is>
      </x:c>
      <x:c r="K270" t="inlineStr">
        <x:is>
          <x:t xml:space="preserve">Cấp quyền tùy chỉnh và admin duyệt chưa chuyển; không production</x:t>
        </x:is>
      </x:c>
      <x:c r="L270" t="str">
        <x:f>IF(AND(OR(F270="Đã cập nhật",F270="Không áp dụng"),G270="Có",H270&lt;&gt;"",ISNUMBER(I270),J270&lt;&gt;""),"Hoàn tất","Chưa hoàn tất")</x:f>
        <x:v>Hoàn tất</x:v>
      </x:c>
    </x:row>
    <x:row r="271">
      <x:c r="A271" t="inlineStr">
        <x:is>
          <x:t xml:space="preserve">FINANCE-UI-20260926</x:t>
        </x:is>
      </x:c>
      <x:c r="B271" t="inlineStr">
        <x:is>
          <x:t xml:space="preserve">UI-17</x:t>
        </x:is>
      </x:c>
      <x:c r="C271" t="inlineStr">
        <x:is>
          <x:t xml:space="preserve">F08/F12/F17</x:t>
        </x:is>
      </x:c>
      <x:c r="D271" t="inlineStr">
        <x:is>
          <x:t xml:space="preserve">BRD/FR/NFR/SRS/API/ERD; wireframe nghiệp vụ</x:t>
        </x:is>
      </x:c>
      <x:c r="E271" t="inlineStr">
        <x:is>
          <x:t xml:space="preserve">Ví và ngân hàng; xem quyền</x:t>
        </x:is>
      </x:c>
      <x:c r="F271" t="inlineStr">
        <x:is>
          <x:t xml:space="preserve">Không áp dụng</x:t>
        </x:is>
      </x:c>
      <x:c r="G271" t="inlineStr">
        <x:is>
          <x:t xml:space="preserve">Có</x:t>
        </x:is>
      </x:c>
      <x:c r="H271" t="inlineStr">
        <x:is>
          <x:t xml:space="preserve">Codex</x:t>
        </x:is>
      </x:c>
      <x:c r="I271" s="30" t="n">
        <x:v>46291</x:v>
      </x:c>
      <x:c r="J271" t="inlineStr">
        <x:is>
          <x:t xml:space="preserve">Giữ nghiệp vụ DOC-007; chưa đổi mô hình quyền/tiền/API. Những phần React chưa có nêu DOC-060.</x:t>
        </x:is>
      </x:c>
      <x:c r="K271" t="inlineStr">
        <x:is>
          <x:t xml:space="preserve">Cấp quyền tùy chỉnh và admin duyệt chưa chuyển; không production</x:t>
        </x:is>
      </x:c>
      <x:c r="L271" t="str">
        <x:f>IF(AND(OR(F271="Đã cập nhật",F271="Không áp dụng"),G271="Có",H271&lt;&gt;"",ISNUMBER(I271),J271&lt;&gt;""),"Hoàn tất","Chưa hoàn tất")</x:f>
        <x:v>Hoàn tất</x:v>
      </x:c>
    </x:row>
    <x:row r="272">
      <x:c r="A272" t="inlineStr">
        <x:is>
          <x:t xml:space="preserve">FINANCE-UI-20260926</x:t>
        </x:is>
      </x:c>
      <x:c r="B272" t="inlineStr">
        <x:is>
          <x:t xml:space="preserve">UI-17</x:t>
        </x:is>
      </x:c>
      <x:c r="C272" t="inlineStr">
        <x:is>
          <x:t xml:space="preserve">F08/F12/F17</x:t>
        </x:is>
      </x:c>
      <x:c r="D272" t="inlineStr">
        <x:is>
          <x:t xml:space="preserve">ZIP/Drive/registry</x:t>
        </x:is>
      </x:c>
      <x:c r="E272" t="inlineStr">
        <x:is>
          <x:t xml:space="preserve">Ví và ngân hàng; xem quyền</x:t>
        </x:is>
      </x:c>
      <x:c r="F272" t="inlineStr">
        <x:is>
          <x:t xml:space="preserve">Đã cập nhật</x:t>
        </x:is>
      </x:c>
      <x:c r="G272" t="inlineStr">
        <x:is>
          <x:t xml:space="preserve">Có</x:t>
        </x:is>
      </x:c>
      <x:c r="H272" t="inlineStr">
        <x:is>
          <x:t xml:space="preserve">Codex</x:t>
        </x:is>
      </x:c>
      <x:c r="I272" s="30" t="n">
        <x:v>46291</x:v>
      </x:c>
      <x:c r="J272" t="inlineStr">
        <x:is>
          <x:t xml:space="preserve">UI-UX-v0.15.zip; registry v1.23; tải cùng ID và đọc metadata xác nhận.</x:t>
        </x:is>
      </x:c>
      <x:c r="K272" t="inlineStr">
        <x:is>
          <x:t xml:space="preserve">Cấp quyền tùy chỉnh và admin duyệt chưa chuyển; không production</x:t>
        </x:is>
      </x:c>
      <x:c r="L272" t="str">
        <x:f>IF(AND(OR(F272="Đã cập nhật",F272="Không áp dụng"),G272="Có",H272&lt;&gt;"",ISNUMBER(I272),J272&lt;&gt;""),"Hoàn tất","Chưa hoàn tất")</x:f>
        <x:v>Hoàn tất</x:v>
      </x:c>
    </x:row>
    <x:row r="273">
      <x:c r="A273" t="inlineStr">
        <x:is>
          <x:t xml:space="preserve">FINANCE-ADMIN-20260927</x:t>
        </x:is>
      </x:c>
      <x:c r="B273" t="inlineStr">
        <x:is>
          <x:t xml:space="preserve">UI-18</x:t>
        </x:is>
      </x:c>
      <x:c r="C273" t="inlineStr">
        <x:is>
          <x:t xml:space="preserve">F08/F12/F16/F17</x:t>
        </x:is>
      </x:c>
      <x:c r="D273" t="inlineStr">
        <x:is>
          <x:t xml:space="preserve">DOC-050/052/053/057/060/PLAN-006/README</x:t>
        </x:is>
      </x:c>
      <x:c r="E273" t="inlineStr">
        <x:is>
          <x:t xml:space="preserve">Cấp quyền và duyệt tài chính</x:t>
        </x:is>
      </x:c>
      <x:c r="F273" t="inlineStr">
        <x:is>
          <x:t xml:space="preserve">Đã cập nhật</x:t>
        </x:is>
      </x:c>
      <x:c r="G273" t="inlineStr">
        <x:is>
          <x:t xml:space="preserve">Có</x:t>
        </x:is>
      </x:c>
      <x:c r="H273" t="inlineStr">
        <x:is>
          <x:t xml:space="preserve">Codex</x:t>
        </x:is>
      </x:c>
      <x:c r="I273" s="30" t="n">
        <x:v>46292</x:v>
      </x:c>
      <x:c r="J273" t="inlineStr">
        <x:is>
          <x:t xml:space="preserve">React v0.12, 45 stories; 39 tests, build; browser bank đầu, nạp +100k, rút -200k, cấp/thu hồi wallet.read; DOC-060 QA.</x:t>
        </x:is>
      </x:c>
      <x:c r="K273" t="inlineStr">
        <x:is>
          <x:t xml:space="preserve">Admin nghiệp vụ còn lại chưa chuyển; tài chính thật chưa có</x:t>
        </x:is>
      </x:c>
      <x:c r="L273" t="str">
        <x:f>IF(AND(OR(F273="Đã cập nhật",F273="Không áp dụng"),G273="Có",H273&lt;&gt;"",ISNUMBER(I273),J273&lt;&gt;""),"Hoàn tất","Chưa hoàn tất")</x:f>
        <x:v>Hoàn tất</x:v>
      </x:c>
    </x:row>
    <x:row r="274">
      <x:c r="A274" t="inlineStr">
        <x:is>
          <x:t xml:space="preserve">FINANCE-ADMIN-20260927</x:t>
        </x:is>
      </x:c>
      <x:c r="B274" t="inlineStr">
        <x:is>
          <x:t xml:space="preserve">UI-18</x:t>
        </x:is>
      </x:c>
      <x:c r="C274" t="inlineStr">
        <x:is>
          <x:t xml:space="preserve">F08/F12/F16/F17</x:t>
        </x:is>
      </x:c>
      <x:c r="D274" t="inlineStr">
        <x:is>
          <x:t xml:space="preserve">BRD/FR/NFR/SRS/API/ERD; wireframe nghiệp vụ</x:t>
        </x:is>
      </x:c>
      <x:c r="E274" t="inlineStr">
        <x:is>
          <x:t xml:space="preserve">Cấp quyền và duyệt tài chính</x:t>
        </x:is>
      </x:c>
      <x:c r="F274" t="inlineStr">
        <x:is>
          <x:t xml:space="preserve">Không áp dụng</x:t>
        </x:is>
      </x:c>
      <x:c r="G274" t="inlineStr">
        <x:is>
          <x:t xml:space="preserve">Có</x:t>
        </x:is>
      </x:c>
      <x:c r="H274" t="inlineStr">
        <x:is>
          <x:t xml:space="preserve">Codex</x:t>
        </x:is>
      </x:c>
      <x:c r="I274" s="30" t="n">
        <x:v>46292</x:v>
      </x:c>
      <x:c r="J274" t="inlineStr">
        <x:is>
          <x:t xml:space="preserve">Theo ma trận kiến trúc và DOC-007; không thay yêu cầu nghiệp vụ hoặc hợp đồng API.</x:t>
        </x:is>
      </x:c>
      <x:c r="K274" t="inlineStr">
        <x:is>
          <x:t xml:space="preserve">Admin nghiệp vụ còn lại chưa chuyển; tài chính thật chưa có</x:t>
        </x:is>
      </x:c>
      <x:c r="L274" t="str">
        <x:f>IF(AND(OR(F274="Đã cập nhật",F274="Không áp dụng"),G274="Có",H274&lt;&gt;"",ISNUMBER(I274),J274&lt;&gt;""),"Hoàn tất","Chưa hoàn tất")</x:f>
        <x:v>Hoàn tất</x:v>
      </x:c>
    </x:row>
    <x:row r="275">
      <x:c r="A275" t="inlineStr">
        <x:is>
          <x:t xml:space="preserve">FINANCE-ADMIN-20260927</x:t>
        </x:is>
      </x:c>
      <x:c r="B275" t="inlineStr">
        <x:is>
          <x:t xml:space="preserve">UI-18</x:t>
        </x:is>
      </x:c>
      <x:c r="C275" t="inlineStr">
        <x:is>
          <x:t xml:space="preserve">F08/F12/F16/F17</x:t>
        </x:is>
      </x:c>
      <x:c r="D275" t="inlineStr">
        <x:is>
          <x:t xml:space="preserve">ZIP/Drive/registry; con trỏ DOC-056/058/059</x:t>
        </x:is>
      </x:c>
      <x:c r="E275" t="inlineStr">
        <x:is>
          <x:t xml:space="preserve">Cấp quyền và duyệt tài chính</x:t>
        </x:is>
      </x:c>
      <x:c r="F275" t="inlineStr">
        <x:is>
          <x:t xml:space="preserve">Đã cập nhật</x:t>
        </x:is>
      </x:c>
      <x:c r="G275" t="inlineStr">
        <x:is>
          <x:t xml:space="preserve">Có</x:t>
        </x:is>
      </x:c>
      <x:c r="H275" t="inlineStr">
        <x:is>
          <x:t xml:space="preserve">Codex</x:t>
        </x:is>
      </x:c>
      <x:c r="I275" s="30" t="n">
        <x:v>46292</x:v>
      </x:c>
      <x:c r="J275" t="inlineStr">
        <x:is>
          <x:t xml:space="preserve">UI-UX-v0.16.zip; registry v1.24 cùng ID; đọc metadata đối chiếu bytes sau upload.</x:t>
        </x:is>
      </x:c>
      <x:c r="K275" t="inlineStr">
        <x:is>
          <x:t xml:space="preserve">Admin nghiệp vụ còn lại chưa chuyển; tài chính thật chưa có</x:t>
        </x:is>
      </x:c>
      <x:c r="L275" t="str">
        <x:f>IF(AND(OR(F275="Đã cập nhật",F275="Không áp dụng"),G275="Có",H275&lt;&gt;"",ISNUMBER(I275),J275&lt;&gt;""),"Hoàn tất","Chưa hoàn tất")</x:f>
        <x:v>Hoàn tất</x:v>
      </x:c>
    </x:row>
    <x:row r="276">
      <x:c r="A276" t="inlineStr">
        <x:is>
          <x:t xml:space="preserve">SUPPORT-UI-20260927</x:t>
        </x:is>
      </x:c>
      <x:c r="B276" t="inlineStr">
        <x:is>
          <x:t xml:space="preserve">UI-19</x:t>
        </x:is>
      </x:c>
      <x:c r="C276" t="inlineStr">
        <x:is>
          <x:t xml:space="preserve">F03/F13/F14/F16/F17</x:t>
        </x:is>
      </x:c>
      <x:c r="D276" t="inlineStr">
        <x:is>
          <x:t xml:space="preserve">DOC-050/052/053/056/057/058/059/060/061/PLAN-006/README</x:t>
        </x:is>
      </x:c>
      <x:c r="E276" t="inlineStr">
        <x:is>
          <x:t xml:space="preserve">Hỗ trợ và kiểm duyệt</x:t>
        </x:is>
      </x:c>
      <x:c r="F276" t="inlineStr">
        <x:is>
          <x:t xml:space="preserve">Đã cập nhật</x:t>
        </x:is>
      </x:c>
      <x:c r="G276" t="inlineStr">
        <x:is>
          <x:t xml:space="preserve">Có</x:t>
        </x:is>
      </x:c>
      <x:c r="H276" t="inlineStr">
        <x:is>
          <x:t xml:space="preserve">Codex</x:t>
        </x:is>
      </x:c>
      <x:c r="I276" s="30" t="n">
        <x:v>46292</x:v>
      </x:c>
      <x:c r="J276" t="inlineStr">
        <x:is>
          <x:t xml:space="preserve">React v0.13, 48 stories; 42 tests, build; browser báo cáo/bổ sung, duyệt hồ sơ, ẩn/khôi phục đánh giá; mobile/desktop. DOC-061 QA.</x:t>
        </x:is>
      </x:c>
      <x:c r="K276" t="inlineStr">
        <x:is>
          <x:t xml:space="preserve">Tài khoản/danh mục/đình chỉ/báo cáo tổng chưa chuyển; không production</x:t>
        </x:is>
      </x:c>
      <x:c r="L276" t="str">
        <x:f>IF(AND(OR(F276="Đã cập nhật",F276="Không áp dụng"),G276="Có",H276&lt;&gt;"",ISNUMBER(I276),J276&lt;&gt;""),"Hoàn tất","Chưa hoàn tất")</x:f>
        <x:v>Hoàn tất</x:v>
      </x:c>
    </x:row>
    <x:row r="277">
      <x:c r="A277" t="inlineStr">
        <x:is>
          <x:t xml:space="preserve">SUPPORT-UI-20260927</x:t>
        </x:is>
      </x:c>
      <x:c r="B277" t="inlineStr">
        <x:is>
          <x:t xml:space="preserve">UI-19</x:t>
        </x:is>
      </x:c>
      <x:c r="C277" t="inlineStr">
        <x:is>
          <x:t xml:space="preserve">F03/F13/F14/F16/F17</x:t>
        </x:is>
      </x:c>
      <x:c r="D277" t="inlineStr">
        <x:is>
          <x:t xml:space="preserve">BRD/FR/NFR/SRS/API/ERD; wireframe nghiệp vụ</x:t>
        </x:is>
      </x:c>
      <x:c r="E277" t="inlineStr">
        <x:is>
          <x:t xml:space="preserve">Hỗ trợ và kiểm duyệt</x:t>
        </x:is>
      </x:c>
      <x:c r="F277" t="inlineStr">
        <x:is>
          <x:t xml:space="preserve">Không áp dụng</x:t>
        </x:is>
      </x:c>
      <x:c r="G277" t="inlineStr">
        <x:is>
          <x:t xml:space="preserve">Có</x:t>
        </x:is>
      </x:c>
      <x:c r="H277" t="inlineStr">
        <x:is>
          <x:t xml:space="preserve">Codex</x:t>
        </x:is>
      </x:c>
      <x:c r="I277" s="30" t="n">
        <x:v>46292</x:v>
      </x:c>
      <x:c r="J277" t="inlineStr">
        <x:is>
          <x:t xml:space="preserve">Nghiệp vụ giữ nguyên. Báo cáo không sửa tài chính; chứng cứ chỉ tên tệp. Giới hạn triển khai và admin còn lại được ghi DOC-061.</x:t>
        </x:is>
      </x:c>
      <x:c r="K277" t="inlineStr">
        <x:is>
          <x:t xml:space="preserve">Tài khoản/danh mục/đình chỉ/báo cáo tổng chưa chuyển; không production</x:t>
        </x:is>
      </x:c>
      <x:c r="L277" t="str">
        <x:f>IF(AND(OR(F277="Đã cập nhật",F277="Không áp dụng"),G277="Có",H277&lt;&gt;"",ISNUMBER(I277),J277&lt;&gt;""),"Hoàn tất","Chưa hoàn tất")</x:f>
        <x:v>Hoàn tất</x:v>
      </x:c>
    </x:row>
    <x:row r="278">
      <x:c r="A278" t="inlineStr">
        <x:is>
          <x:t xml:space="preserve">SUPPORT-UI-20260927</x:t>
        </x:is>
      </x:c>
      <x:c r="B278" t="inlineStr">
        <x:is>
          <x:t xml:space="preserve">UI-19</x:t>
        </x:is>
      </x:c>
      <x:c r="C278" t="inlineStr">
        <x:is>
          <x:t xml:space="preserve">F03/F13/F14/F16/F17</x:t>
        </x:is>
      </x:c>
      <x:c r="D278" t="inlineStr">
        <x:is>
          <x:t xml:space="preserve">ZIP/Drive/registry</x:t>
        </x:is>
      </x:c>
      <x:c r="E278" t="inlineStr">
        <x:is>
          <x:t xml:space="preserve">Hỗ trợ và kiểm duyệt</x:t>
        </x:is>
      </x:c>
      <x:c r="F278" t="inlineStr">
        <x:is>
          <x:t xml:space="preserve">Đã cập nhật</x:t>
        </x:is>
      </x:c>
      <x:c r="G278" t="inlineStr">
        <x:is>
          <x:t xml:space="preserve">Có</x:t>
        </x:is>
      </x:c>
      <x:c r="H278" t="inlineStr">
        <x:is>
          <x:t xml:space="preserve">Codex</x:t>
        </x:is>
      </x:c>
      <x:c r="I278" s="30" t="n">
        <x:v>46292</x:v>
      </x:c>
      <x:c r="J278" t="inlineStr">
        <x:is>
          <x:t xml:space="preserve">UI-UX-v0.17.zip; registry v1.25 cùng ID; đọc metadata kiểm bytes sau upload.</x:t>
        </x:is>
      </x:c>
      <x:c r="K278" t="inlineStr">
        <x:is>
          <x:t xml:space="preserve">Tài khoản/danh mục/đình chỉ/báo cáo tổng chưa chuyển; không production</x:t>
        </x:is>
      </x:c>
      <x:c r="L278" t="str">
        <x:f>IF(AND(OR(F278="Đã cập nhật",F278="Không áp dụng"),G278="Có",H278&lt;&gt;"",ISNUMBER(I278),J278&lt;&gt;""),"Hoàn tất","Chưa hoàn tất")</x:f>
        <x:v>Hoàn tất</x:v>
      </x:c>
    </x:row>
    <x:row r="279">
      <x:c r="A279" t="inlineStr">
        <x:is>
          <x:t xml:space="preserve">ADMIN-UI-20260927</x:t>
        </x:is>
      </x:c>
      <x:c r="B279" t="inlineStr">
        <x:is>
          <x:t xml:space="preserve">UI-20</x:t>
        </x:is>
      </x:c>
      <x:c r="C279" t="inlineStr">
        <x:is>
          <x:t xml:space="preserve">F01/F02/F03/F05/F16/F17</x:t>
        </x:is>
      </x:c>
      <x:c r="D279" t="inlineStr">
        <x:is>
          <x:t xml:space="preserve">DOC-050/052/053/056/057/058/059/060/061/062/PLAN-006/README</x:t>
        </x:is>
      </x:c>
      <x:c r="E279" t="inlineStr">
        <x:is>
          <x:t xml:space="preserve">Quản trị vận hành</x:t>
        </x:is>
      </x:c>
      <x:c r="F279" t="inlineStr">
        <x:is>
          <x:t xml:space="preserve">Đã cập nhật</x:t>
        </x:is>
      </x:c>
      <x:c r="G279" t="inlineStr">
        <x:is>
          <x:t xml:space="preserve">Có</x:t>
        </x:is>
      </x:c>
      <x:c r="H279" t="inlineStr">
        <x:is>
          <x:t xml:space="preserve">Codex</x:t>
        </x:is>
      </x:c>
      <x:c r="I279" s="30" t="n">
        <x:v>46292</x:v>
      </x:c>
      <x:c r="J279" t="inlineStr">
        <x:is>
          <x:t xml:space="preserve">React v0.14, 52 stories; 46 tests, build; browser khóa/khôi phục, đình chỉ giữ việc cũ, thêm kỹ năng; mobile 390px. DOC-062 QA.</x:t>
        </x:is>
      </x:c>
      <x:c r="K279" t="inlineStr">
        <x:is>
          <x:t xml:space="preserve">Chưa backend, chưa QA mọi thiết bị; khoản giữ treo vẫn pending</x:t>
        </x:is>
      </x:c>
      <x:c r="L279" t="str">
        <x:f>IF(AND(OR(F279="Đã cập nhật",F279="Không áp dụng"),G279="Có",H279&lt;&gt;"",ISNUMBER(I279),J279&lt;&gt;""),"Hoàn tất","Chưa hoàn tất")</x:f>
        <x:v>Hoàn tất</x:v>
      </x:c>
    </x:row>
    <x:row r="280">
      <x:c r="A280" t="inlineStr">
        <x:is>
          <x:t xml:space="preserve">ADMIN-UI-20260927</x:t>
        </x:is>
      </x:c>
      <x:c r="B280" t="inlineStr">
        <x:is>
          <x:t xml:space="preserve">UI-20</x:t>
        </x:is>
      </x:c>
      <x:c r="C280" t="inlineStr">
        <x:is>
          <x:t xml:space="preserve">F01/F02/F03/F05/F16/F17</x:t>
        </x:is>
      </x:c>
      <x:c r="D280" t="inlineStr">
        <x:is>
          <x:t xml:space="preserve">BRD/FR/NFR/SRS/API/ERD; wireframe nghiệp vụ</x:t>
        </x:is>
      </x:c>
      <x:c r="E280" t="inlineStr">
        <x:is>
          <x:t xml:space="preserve">Quản trị vận hành</x:t>
        </x:is>
      </x:c>
      <x:c r="F280" t="inlineStr">
        <x:is>
          <x:t xml:space="preserve">Không áp dụng</x:t>
        </x:is>
      </x:c>
      <x:c r="G280" t="inlineStr">
        <x:is>
          <x:t xml:space="preserve">Có</x:t>
        </x:is>
      </x:c>
      <x:c r="H280" t="inlineStr">
        <x:is>
          <x:t xml:space="preserve">Codex</x:t>
        </x:is>
      </x:c>
      <x:c r="I280" s="30" t="n">
        <x:v>46292</x:v>
      </x:c>
      <x:c r="J280" t="inlineStr">
        <x:is>
          <x:t xml:space="preserve">Nghiệp vụ giữ nguyên; chỉ chuyển thành UI React. Không sửa tài chính, không backend. Giới hạn DOC-062.</x:t>
        </x:is>
      </x:c>
      <x:c r="K280" t="inlineStr">
        <x:is>
          <x:t xml:space="preserve">Chưa backend, chưa QA mọi thiết bị; khoản giữ treo vẫn pending</x:t>
        </x:is>
      </x:c>
      <x:c r="L280" t="str">
        <x:f>IF(AND(OR(F280="Đã cập nhật",F280="Không áp dụng"),G280="Có",H280&lt;&gt;"",ISNUMBER(I280),J280&lt;&gt;""),"Hoàn tất","Chưa hoàn tất")</x:f>
        <x:v>Hoàn tất</x:v>
      </x:c>
    </x:row>
    <x:row r="281">
      <x:c r="A281" t="inlineStr">
        <x:is>
          <x:t xml:space="preserve">ADMIN-UI-20260927</x:t>
        </x:is>
      </x:c>
      <x:c r="B281" t="inlineStr">
        <x:is>
          <x:t xml:space="preserve">UI-20</x:t>
        </x:is>
      </x:c>
      <x:c r="C281" t="inlineStr">
        <x:is>
          <x:t xml:space="preserve">F01/F02/F03/F05/F16/F17</x:t>
        </x:is>
      </x:c>
      <x:c r="D281" t="inlineStr">
        <x:is>
          <x:t xml:space="preserve">ZIP/Drive/registry</x:t>
        </x:is>
      </x:c>
      <x:c r="E281" t="inlineStr">
        <x:is>
          <x:t xml:space="preserve">Quản trị vận hành</x:t>
        </x:is>
      </x:c>
      <x:c r="F281" t="inlineStr">
        <x:is>
          <x:t xml:space="preserve">Đã cập nhật</x:t>
        </x:is>
      </x:c>
      <x:c r="G281" t="inlineStr">
        <x:is>
          <x:t xml:space="preserve">Có</x:t>
        </x:is>
      </x:c>
      <x:c r="H281" t="inlineStr">
        <x:is>
          <x:t xml:space="preserve">Codex</x:t>
        </x:is>
      </x:c>
      <x:c r="I281" s="30" t="n">
        <x:v>46292</x:v>
      </x:c>
      <x:c r="J281" t="inlineStr">
        <x:is>
          <x:t xml:space="preserve">UI-UX-v0.18.zip; registry v1.26 cùng ID; đọc metadata kiểm bytes sau upload.</x:t>
        </x:is>
      </x:c>
      <x:c r="K281" t="inlineStr">
        <x:is>
          <x:t xml:space="preserve">Chưa backend, chưa QA mọi thiết bị; khoản giữ treo vẫn pending</x:t>
        </x:is>
      </x:c>
      <x:c r="L281" t="str">
        <x:f>IF(AND(OR(F281="Đã cập nhật",F281="Không áp dụng"),G281="Có",H281&lt;&gt;"",ISNUMBER(I281),J281&lt;&gt;""),"Hoàn tất","Chưa hoàn tất")</x:f>
        <x:v>Hoàn tất</x:v>
      </x:c>
    </x:row>
    <x:row r="282">
      <x:c r="A282" t="inlineStr">
        <x:is>
          <x:t xml:space="preserve">FLOW-QA-20260927</x:t>
        </x:is>
      </x:c>
      <x:c r="B282" t="inlineStr">
        <x:is>
          <x:t xml:space="preserve">UI-21</x:t>
        </x:is>
      </x:c>
      <x:c r="C282" t="inlineStr">
        <x:is>
          <x:t xml:space="preserve">F02/F05/F06/F08/F09/F10/F11/F16/F17</x:t>
        </x:is>
      </x:c>
      <x:c r="D282" t="inlineStr">
        <x:is>
          <x:t xml:space="preserve">DOC-050/054/056/057/059/062/063; README</x:t>
        </x:is>
      </x:c>
      <x:c r="E282" t="inlineStr">
        <x:is>
          <x:t xml:space="preserve">Rà soát luồng</x:t>
        </x:is>
      </x:c>
      <x:c r="F282" t="inlineStr">
        <x:is>
          <x:t xml:space="preserve">Đã cập nhật</x:t>
        </x:is>
      </x:c>
      <x:c r="G282" t="inlineStr">
        <x:is>
          <x:t xml:space="preserve">Có</x:t>
        </x:is>
      </x:c>
      <x:c r="H282" t="inlineStr">
        <x:is>
          <x:t xml:space="preserve">Codex</x:t>
        </x:is>
      </x:c>
      <x:c r="I282" s="30" t="n">
        <x:v>46292</x:v>
      </x:c>
      <x:c r="J282" t="inlineStr">
        <x:is>
          <x:t xml:space="preserve">React v0.15, 49 tests; browser thuê bị đình chỉ, chat/phân công, hóa đơn point/ ví; chi tiết DOC-063.</x:t>
        </x:is>
      </x:c>
      <x:c r="K282" t="inlineStr">
        <x:is>
          <x:t xml:space="preserve">Chưa nghiệm thu backend, mọi thiết bị hoặc tài chính thật</x:t>
        </x:is>
      </x:c>
      <x:c r="L282" t="str">
        <x:f>IF(AND(OR(F282="Đã cập nhật",F282="Không áp dụng"),G282="Có",H282&lt;&gt;"",ISNUMBER(I282),J282&lt;&gt;""),"Hoàn tất","Chưa hoàn tất")</x:f>
        <x:v>Hoàn tất</x:v>
      </x:c>
    </x:row>
    <x:row r="283">
      <x:c r="A283" t="inlineStr">
        <x:is>
          <x:t xml:space="preserve">FLOW-QA-20260927</x:t>
        </x:is>
      </x:c>
      <x:c r="B283" t="inlineStr">
        <x:is>
          <x:t xml:space="preserve">UI-21</x:t>
        </x:is>
      </x:c>
      <x:c r="C283" t="inlineStr">
        <x:is>
          <x:t xml:space="preserve">F02/F05/F06/F08/F09/F10/F11/F16/F17</x:t>
        </x:is>
      </x:c>
      <x:c r="D283" t="inlineStr">
        <x:is>
          <x:t xml:space="preserve">BRD/FR/NFR/SRS/API/ERD; wireframe nghiệp vụ; kế hoạch QA sản phẩm</x:t>
        </x:is>
      </x:c>
      <x:c r="E283" t="inlineStr">
        <x:is>
          <x:t xml:space="preserve">Rà soát luồng</x:t>
        </x:is>
      </x:c>
      <x:c r="F283" t="inlineStr">
        <x:is>
          <x:t xml:space="preserve">Không áp dụng</x:t>
        </x:is>
      </x:c>
      <x:c r="G283" t="inlineStr">
        <x:is>
          <x:t xml:space="preserve">Có</x:t>
        </x:is>
      </x:c>
      <x:c r="H283" t="inlineStr">
        <x:is>
          <x:t xml:space="preserve">Codex</x:t>
        </x:is>
      </x:c>
      <x:c r="I283" s="30" t="n">
        <x:v>46292</x:v>
      </x:c>
      <x:c r="J283" t="inlineStr">
        <x:is>
          <x:t xml:space="preserve">Sửa prototype theo yêu cầu hiện hành. Không đổi hợp đồng nghiệp vụ; QA prototype bổ sung tại DOC-063, không thay kế hoạch QA sản phẩm.</x:t>
        </x:is>
      </x:c>
      <x:c r="K283" t="inlineStr">
        <x:is>
          <x:t xml:space="preserve">Chưa nghiệm thu backend, mọi thiết bị hoặc tài chính thật</x:t>
        </x:is>
      </x:c>
      <x:c r="L283" t="str">
        <x:f>IF(AND(OR(F283="Đã cập nhật",F283="Không áp dụng"),G283="Có",H283&lt;&gt;"",ISNUMBER(I283),J283&lt;&gt;""),"Hoàn tất","Chưa hoàn tất")</x:f>
        <x:v>Hoàn tất</x:v>
      </x:c>
    </x:row>
    <x:row r="284">
      <x:c r="A284" t="inlineStr">
        <x:is>
          <x:t xml:space="preserve">FLOW-QA-20260927</x:t>
        </x:is>
      </x:c>
      <x:c r="B284" t="inlineStr">
        <x:is>
          <x:t xml:space="preserve">UI-21</x:t>
        </x:is>
      </x:c>
      <x:c r="C284" t="inlineStr">
        <x:is>
          <x:t xml:space="preserve">F02/F05/F06/F08/F09/F10/F11/F16/F17</x:t>
        </x:is>
      </x:c>
      <x:c r="D284" t="inlineStr">
        <x:is>
          <x:t xml:space="preserve">ZIP/Drive/registry</x:t>
        </x:is>
      </x:c>
      <x:c r="E284" t="inlineStr">
        <x:is>
          <x:t xml:space="preserve">Rà soát luồng</x:t>
        </x:is>
      </x:c>
      <x:c r="F284" t="inlineStr">
        <x:is>
          <x:t xml:space="preserve">Đã cập nhật</x:t>
        </x:is>
      </x:c>
      <x:c r="G284" t="inlineStr">
        <x:is>
          <x:t xml:space="preserve">Có</x:t>
        </x:is>
      </x:c>
      <x:c r="H284" t="inlineStr">
        <x:is>
          <x:t xml:space="preserve">Codex</x:t>
        </x:is>
      </x:c>
      <x:c r="I284" s="30" t="n">
        <x:v>46292</x:v>
      </x:c>
      <x:c r="J284" t="inlineStr">
        <x:is>
          <x:t xml:space="preserve">UI-UX-v0.19.zip; registry v1.27 cùng ID; đọc metadata kiểm bytes sau upload.</x:t>
        </x:is>
      </x:c>
      <x:c r="K284" t="inlineStr">
        <x:is>
          <x:t xml:space="preserve">Chưa nghiệm thu backend, mọi thiết bị hoặc tài chính thật</x:t>
        </x:is>
      </x:c>
      <x:c r="L284" t="str">
        <x:f>IF(AND(OR(F284="Đã cập nhật",F284="Không áp dụng"),G284="Có",H284&lt;&gt;"",ISNUMBER(I284),J284&lt;&gt;""),"Hoàn tất","Chưa hoàn tất")</x:f>
        <x:v>Hoàn tất</x:v>
      </x:c>
    </x:row>
    <x:row r="285">
      <x:c r="A285" t="inlineStr">
        <x:is>
          <x:t xml:space="preserve">HANDOFF-20260927</x:t>
        </x:is>
      </x:c>
      <x:c r="B285" t="inlineStr">
        <x:is>
          <x:t xml:space="preserve">HANDOFF-01</x:t>
        </x:is>
      </x:c>
      <x:c r="C285" t="inlineStr">
        <x:is>
          <x:t xml:space="preserve">F18/F19/F20</x:t>
        </x:is>
      </x:c>
      <x:c r="D285" t="inlineStr">
        <x:is>
          <x:t xml:space="preserve">DOC-064</x:t>
        </x:is>
      </x:c>
      <x:c r="E285" t="inlineStr">
        <x:is>
          <x:t xml:space="preserve">Bàn giao triển khai</x:t>
        </x:is>
      </x:c>
      <x:c r="F285" t="inlineStr">
        <x:is>
          <x:t xml:space="preserve">Đã cập nhật</x:t>
        </x:is>
      </x:c>
      <x:c r="G285" t="inlineStr">
        <x:is>
          <x:t xml:space="preserve">Có</x:t>
        </x:is>
      </x:c>
      <x:c r="H285" t="inlineStr">
        <x:is>
          <x:t xml:space="preserve">Codex</x:t>
        </x:is>
      </x:c>
      <x:c r="I285" s="30" t="n">
        <x:v>46292</x:v>
      </x:c>
      <x:c r="J285" t="inlineStr">
        <x:is>
          <x:t xml:space="preserve">Prompt v1.0; đã đọc lại, kiểm đường dẫn và giới hạn; Drive 1WnXV2mRTBnYePYztiKJvvfS6tCAjeTrW.</x:t>
        </x:is>
      </x:c>
      <x:c r="K285" t="inlineStr">
        <x:is>
          <x:t xml:space="preserve">Tài liệu hướng dẫn không phải bằng chứng triển khai</x:t>
        </x:is>
      </x:c>
      <x:c r="L285" t="str">
        <x:f>IF(AND(OR(F285="Đã cập nhật",F285="Không áp dụng"),G285="Có",H285&lt;&gt;"",ISNUMBER(I285),J285&lt;&gt;""),"Hoàn tất","Chưa hoàn tất")</x:f>
        <x:v>Hoàn tất</x:v>
      </x:c>
    </x:row>
    <x:row r="286">
      <x:c r="A286" t="inlineStr">
        <x:is>
          <x:t xml:space="preserve">HANDOFF-20260927</x:t>
        </x:is>
      </x:c>
      <x:c r="B286" t="inlineStr">
        <x:is>
          <x:t xml:space="preserve">HANDOFF-01</x:t>
        </x:is>
      </x:c>
      <x:c r="C286" t="inlineStr">
        <x:is>
          <x:t xml:space="preserve">F18/F19/F20</x:t>
        </x:is>
      </x:c>
      <x:c r="D286" t="inlineStr">
        <x:is>
          <x:t xml:space="preserve">BRD/FR/NFR/SRS/UX/API/ERD/prototype/backlog sản phẩm</x:t>
        </x:is>
      </x:c>
      <x:c r="E286" t="inlineStr">
        <x:is>
          <x:t xml:space="preserve">Bàn giao triển khai</x:t>
        </x:is>
      </x:c>
      <x:c r="F286" t="inlineStr">
        <x:is>
          <x:t xml:space="preserve">Không áp dụng</x:t>
        </x:is>
      </x:c>
      <x:c r="G286" t="inlineStr">
        <x:is>
          <x:t xml:space="preserve">Có</x:t>
        </x:is>
      </x:c>
      <x:c r="H286" t="inlineStr">
        <x:is>
          <x:t xml:space="preserve">Codex</x:t>
        </x:is>
      </x:c>
      <x:c r="I286" s="30" t="n">
        <x:v>46292</x:v>
      </x:c>
      <x:c r="J286" t="inlineStr">
        <x:is>
          <x:t xml:space="preserve">Không đổi nghiệp vụ hay code; nội dung chỉ hướng dẫn phiên sau, Đợt 1 chưa khởi chạy. Không tái xuất UI không thay đổi.</x:t>
        </x:is>
      </x:c>
      <x:c r="K286" t="inlineStr">
        <x:is>
          <x:t xml:space="preserve">Tài liệu hướng dẫn không phải bằng chứng triển khai</x:t>
        </x:is>
      </x:c>
      <x:c r="L286" t="str">
        <x:f>IF(AND(OR(F286="Đã cập nhật",F286="Không áp dụng"),G286="Có",H286&lt;&gt;"",ISNUMBER(I286),J286&lt;&gt;""),"Hoàn tất","Chưa hoàn tất")</x:f>
        <x:v>Hoàn tất</x:v>
      </x:c>
    </x:row>
    <x:row r="287">
      <x:c r="A287" t="inlineStr">
        <x:is>
          <x:t xml:space="preserve">HANDOFF-20260927</x:t>
        </x:is>
      </x:c>
      <x:c r="B287" t="inlineStr">
        <x:is>
          <x:t xml:space="preserve">HANDOFF-01</x:t>
        </x:is>
      </x:c>
      <x:c r="C287" t="inlineStr">
        <x:is>
          <x:t xml:space="preserve">F18/F19/F20</x:t>
        </x:is>
      </x:c>
      <x:c r="D287" t="inlineStr">
        <x:is>
          <x:t xml:space="preserve">Registry local/Drive</x:t>
        </x:is>
      </x:c>
      <x:c r="E287" t="inlineStr">
        <x:is>
          <x:t xml:space="preserve">Bàn giao triển khai</x:t>
        </x:is>
      </x:c>
      <x:c r="F287" t="inlineStr">
        <x:is>
          <x:t xml:space="preserve">Đã cập nhật</x:t>
        </x:is>
      </x:c>
      <x:c r="G287" t="inlineStr">
        <x:is>
          <x:t xml:space="preserve">Có</x:t>
        </x:is>
      </x:c>
      <x:c r="H287" t="inlineStr">
        <x:is>
          <x:t xml:space="preserve">Codex</x:t>
        </x:is>
      </x:c>
      <x:c r="I287" s="30" t="n">
        <x:v>46292</x:v>
      </x:c>
      <x:c r="J287" t="inlineStr">
        <x:is>
          <x:t xml:space="preserve">Registry v1.28; thêm DOC-064, HANDOFF-01, mapping; đọc lại và kiểm metadata Drive sau upload.</x:t>
        </x:is>
      </x:c>
      <x:c r="K287" t="inlineStr">
        <x:is>
          <x:t xml:space="preserve">Tài liệu hướng dẫn không phải bằng chứng triển khai</x:t>
        </x:is>
      </x:c>
      <x:c r="L287" t="str">
        <x:f>IF(AND(OR(F287="Đã cập nhật",F287="Không áp dụng"),G287="Có",H287&lt;&gt;"",ISNUMBER(I287),J287&lt;&gt;""),"Hoàn tất","Chưa hoàn tất")</x:f>
        <x:v>Hoàn tất</x:v>
      </x:c>
    </x:row>
    <x:row r="288" ht="100" customHeight="1">
      <x:c r="A288" s="24" t="inlineStr">
        <x:is>
          <x:t xml:space="preserve">FOUNDATION-20260928</x:t>
        </x:is>
      </x:c>
      <x:c r="B288" s="24" t="inlineStr">
        <x:is>
          <x:t xml:space="preserve">IMPLEMENT-01; TECH-01</x:t>
        </x:is>
      </x:c>
      <x:c r="C288" s="24" t="inlineStr">
        <x:is>
          <x:t xml:space="preserve">F02/F18/F20</x:t>
        </x:is>
      </x:c>
      <x:c r="D288" s="24" t="inlineStr">
        <x:is>
          <x:t xml:space="preserve">DOC-000</x:t>
        </x:is>
      </x:c>
      <x:c r="E288" s="24" t="inlineStr">
        <x:is>
          <x:t xml:space="preserve">Đợt 1 danh mục local</x:t>
        </x:is>
      </x:c>
      <x:c r="F288" s="24" t="inlineStr">
        <x:is>
          <x:t xml:space="preserve">Đã cập nhật</x:t>
        </x:is>
      </x:c>
      <x:c r="G288" s="24" t="inlineStr">
        <x:is>
          <x:t xml:space="preserve">Có</x:t>
        </x:is>
      </x:c>
      <x:c r="H288" s="24" t="inlineStr">
        <x:is>
          <x:t xml:space="preserve">Codex</x:t>
        </x:is>
      </x:c>
      <x:c r="I288" s="29" t="n">
        <x:v>46293</x:v>
      </x:c>
      <x:c r="J288" s="24" t="inlineStr">
        <x:is>
          <x:t xml:space="preserve">DOC-065 v1.0; DOC-066; lint/typecheck,7 unit/app,8 integration,smoke web;49 prototype tests,Vite/Storybook52 stories.</x:t>
        </x:is>
      </x:c>
      <x:c r="K288" s="24" t="inlineStr">
        <x:is>
          <x:t xml:space="preserve">Native và CI từ xa chưa kiểm; không tiền thật. Đồng bộ tài liệu không đồng nghĩa nghiệm thu các phần này.</x:t>
        </x:is>
      </x:c>
      <x:c r="L288" s="24" t="inlineStr">
        <x:is>
          <x:t xml:space="preserve">Hoàn tất</x:t>
        </x:is>
      </x:c>
    </x:row>
    <x:row r="289" ht="100" customHeight="1">
      <x:c r="A289" s="24" t="inlineStr">
        <x:is>
          <x:t xml:space="preserve">FOUNDATION-20260928</x:t>
        </x:is>
      </x:c>
      <x:c r="B289" s="24" t="inlineStr">
        <x:is>
          <x:t xml:space="preserve">IMPLEMENT-01; TECH-01</x:t>
        </x:is>
      </x:c>
      <x:c r="C289" s="24" t="inlineStr">
        <x:is>
          <x:t xml:space="preserve">F02/F18/F20</x:t>
        </x:is>
      </x:c>
      <x:c r="D289" s="24" t="inlineStr">
        <x:is>
          <x:t xml:space="preserve">DOC-001</x:t>
        </x:is>
      </x:c>
      <x:c r="E289" s="24" t="inlineStr">
        <x:is>
          <x:t xml:space="preserve">Đợt 1 danh mục local</x:t>
        </x:is>
      </x:c>
      <x:c r="F289" s="24" t="inlineStr">
        <x:is>
          <x:t xml:space="preserve">Không áp dụng</x:t>
        </x:is>
      </x:c>
      <x:c r="G289" s="24" t="inlineStr">
        <x:is>
          <x:t xml:space="preserve">Có</x:t>
        </x:is>
      </x:c>
      <x:c r="H289" s="24" t="inlineStr">
        <x:is>
          <x:t xml:space="preserve">Codex</x:t>
        </x:is>
      </x:c>
      <x:c r="I289" s="29" t="n">
        <x:v>46293</x:v>
      </x:c>
      <x:c r="J289" s="24" t="inlineStr">
        <x:is>
          <x:t xml:space="preserve">DOC-065 v1.0; DOC-066; lint/typecheck,7 unit/app,8 integration,smoke web;49 prototype tests,Vite/Storybook52 stories.</x:t>
        </x:is>
      </x:c>
      <x:c r="K289" s="24" t="inlineStr">
        <x:is>
          <x:t xml:space="preserve">Yêu cầu nghiệp vụ giữ nguyên. Đã đọc BRD/PRD/FR-NFR/SRS; trạng thái triển khai hiện hành theo DOC-065, không sửa baseline lịch sử thành nghiệm thu.</x:t>
        </x:is>
      </x:c>
      <x:c r="L289" s="24" t="inlineStr">
        <x:is>
          <x:t xml:space="preserve">Không áp dụng có lý do</x:t>
        </x:is>
      </x:c>
    </x:row>
    <x:row r="290" ht="100" customHeight="1">
      <x:c r="A290" s="24" t="inlineStr">
        <x:is>
          <x:t xml:space="preserve">FOUNDATION-20260928</x:t>
        </x:is>
      </x:c>
      <x:c r="B290" s="24" t="inlineStr">
        <x:is>
          <x:t xml:space="preserve">IMPLEMENT-01; TECH-01</x:t>
        </x:is>
      </x:c>
      <x:c r="C290" s="24" t="inlineStr">
        <x:is>
          <x:t xml:space="preserve">F02/F18/F20</x:t>
        </x:is>
      </x:c>
      <x:c r="D290" s="24" t="inlineStr">
        <x:is>
          <x:t xml:space="preserve">DOC-002</x:t>
        </x:is>
      </x:c>
      <x:c r="E290" s="24" t="inlineStr">
        <x:is>
          <x:t xml:space="preserve">Đợt 1 danh mục local</x:t>
        </x:is>
      </x:c>
      <x:c r="F290" s="24" t="inlineStr">
        <x:is>
          <x:t xml:space="preserve">Không áp dụng</x:t>
        </x:is>
      </x:c>
      <x:c r="G290" s="24" t="inlineStr">
        <x:is>
          <x:t xml:space="preserve">Có</x:t>
        </x:is>
      </x:c>
      <x:c r="H290" s="24" t="inlineStr">
        <x:is>
          <x:t xml:space="preserve">Codex</x:t>
        </x:is>
      </x:c>
      <x:c r="I290" s="29" t="n">
        <x:v>46293</x:v>
      </x:c>
      <x:c r="J290" s="24" t="inlineStr">
        <x:is>
          <x:t xml:space="preserve">DOC-065 v1.0; DOC-066; lint/typecheck,7 unit/app,8 integration,smoke web;49 prototype tests,Vite/Storybook52 stories.</x:t>
        </x:is>
      </x:c>
      <x:c r="K290" s="24" t="inlineStr">
        <x:is>
          <x:t xml:space="preserve">Yêu cầu nghiệp vụ giữ nguyên. Đã đọc BRD/PRD/FR-NFR/SRS; trạng thái triển khai hiện hành theo DOC-065, không sửa baseline lịch sử thành nghiệm thu.</x:t>
        </x:is>
      </x:c>
      <x:c r="L290" s="24" t="inlineStr">
        <x:is>
          <x:t xml:space="preserve">Không áp dụng có lý do</x:t>
        </x:is>
      </x:c>
    </x:row>
    <x:row r="291" ht="100" customHeight="1">
      <x:c r="A291" s="24" t="inlineStr">
        <x:is>
          <x:t xml:space="preserve">FOUNDATION-20260928</x:t>
        </x:is>
      </x:c>
      <x:c r="B291" s="24" t="inlineStr">
        <x:is>
          <x:t xml:space="preserve">IMPLEMENT-01; TECH-01</x:t>
        </x:is>
      </x:c>
      <x:c r="C291" s="24" t="inlineStr">
        <x:is>
          <x:t xml:space="preserve">F02/F18/F20</x:t>
        </x:is>
      </x:c>
      <x:c r="D291" s="24" t="inlineStr">
        <x:is>
          <x:t xml:space="preserve">DOC-003</x:t>
        </x:is>
      </x:c>
      <x:c r="E291" s="24" t="inlineStr">
        <x:is>
          <x:t xml:space="preserve">Đợt 1 danh mục local</x:t>
        </x:is>
      </x:c>
      <x:c r="F291" s="24" t="inlineStr">
        <x:is>
          <x:t xml:space="preserve">Không áp dụng</x:t>
        </x:is>
      </x:c>
      <x:c r="G291" s="24" t="inlineStr">
        <x:is>
          <x:t xml:space="preserve">Có</x:t>
        </x:is>
      </x:c>
      <x:c r="H291" s="24" t="inlineStr">
        <x:is>
          <x:t xml:space="preserve">Codex</x:t>
        </x:is>
      </x:c>
      <x:c r="I291" s="29" t="n">
        <x:v>46293</x:v>
      </x:c>
      <x:c r="J291" s="24" t="inlineStr">
        <x:is>
          <x:t xml:space="preserve">DOC-065 v1.0; DOC-066; lint/typecheck,7 unit/app,8 integration,smoke web;49 prototype tests,Vite/Storybook52 stories.</x:t>
        </x:is>
      </x:c>
      <x:c r="K291" s="24" t="inlineStr">
        <x:is>
          <x:t xml:space="preserve">Yêu cầu nghiệp vụ giữ nguyên. Đã đọc BRD/PRD/FR-NFR/SRS; trạng thái triển khai hiện hành theo DOC-065, không sửa baseline lịch sử thành nghiệm thu.</x:t>
        </x:is>
      </x:c>
      <x:c r="L291" s="24" t="inlineStr">
        <x:is>
          <x:t xml:space="preserve">Không áp dụng có lý do</x:t>
        </x:is>
      </x:c>
    </x:row>
    <x:row r="292" ht="100" customHeight="1">
      <x:c r="A292" s="24" t="inlineStr">
        <x:is>
          <x:t xml:space="preserve">FOUNDATION-20260928</x:t>
        </x:is>
      </x:c>
      <x:c r="B292" s="24" t="inlineStr">
        <x:is>
          <x:t xml:space="preserve">IMPLEMENT-01; TECH-01</x:t>
        </x:is>
      </x:c>
      <x:c r="C292" s="24" t="inlineStr">
        <x:is>
          <x:t xml:space="preserve">F02/F18/F20</x:t>
        </x:is>
      </x:c>
      <x:c r="D292" s="24" t="inlineStr">
        <x:is>
          <x:t xml:space="preserve">DOC-004</x:t>
        </x:is>
      </x:c>
      <x:c r="E292" s="24" t="inlineStr">
        <x:is>
          <x:t xml:space="preserve">Đợt 1 danh mục local</x:t>
        </x:is>
      </x:c>
      <x:c r="F292" s="24" t="inlineStr">
        <x:is>
          <x:t xml:space="preserve">Không áp dụng</x:t>
        </x:is>
      </x:c>
      <x:c r="G292" s="24" t="inlineStr">
        <x:is>
          <x:t xml:space="preserve">Có</x:t>
        </x:is>
      </x:c>
      <x:c r="H292" s="24" t="inlineStr">
        <x:is>
          <x:t xml:space="preserve">Codex</x:t>
        </x:is>
      </x:c>
      <x:c r="I292" s="29" t="n">
        <x:v>46293</x:v>
      </x:c>
      <x:c r="J292" s="24" t="inlineStr">
        <x:is>
          <x:t xml:space="preserve">DOC-065 v1.0; DOC-066; lint/typecheck,7 unit/app,8 integration,smoke web;49 prototype tests,Vite/Storybook52 stories.</x:t>
        </x:is>
      </x:c>
      <x:c r="K292" s="24" t="inlineStr">
        <x:is>
          <x:t xml:space="preserve">Yêu cầu nghiệp vụ giữ nguyên. Đã đọc BRD/PRD/FR-NFR/SRS; trạng thái triển khai hiện hành theo DOC-065, không sửa baseline lịch sử thành nghiệm thu.</x:t>
        </x:is>
      </x:c>
      <x:c r="L292" s="24" t="inlineStr">
        <x:is>
          <x:t xml:space="preserve">Không áp dụng có lý do</x:t>
        </x:is>
      </x:c>
    </x:row>
    <x:row r="293" ht="100" customHeight="1">
      <x:c r="A293" s="24" t="inlineStr">
        <x:is>
          <x:t xml:space="preserve">FOUNDATION-20260928</x:t>
        </x:is>
      </x:c>
      <x:c r="B293" s="24" t="inlineStr">
        <x:is>
          <x:t xml:space="preserve">IMPLEMENT-01; TECH-01</x:t>
        </x:is>
      </x:c>
      <x:c r="C293" s="24" t="inlineStr">
        <x:is>
          <x:t xml:space="preserve">F02/F18/F20</x:t>
        </x:is>
      </x:c>
      <x:c r="D293" s="24" t="inlineStr">
        <x:is>
          <x:t xml:space="preserve">DOC-005</x:t>
        </x:is>
      </x:c>
      <x:c r="E293" s="24" t="inlineStr">
        <x:is>
          <x:t xml:space="preserve">Đợt 1 danh mục local</x:t>
        </x:is>
      </x:c>
      <x:c r="F293" s="24" t="inlineStr">
        <x:is>
          <x:t xml:space="preserve">Không áp dụng</x:t>
        </x:is>
      </x:c>
      <x:c r="G293" s="24" t="inlineStr">
        <x:is>
          <x:t xml:space="preserve">Có</x:t>
        </x:is>
      </x:c>
      <x:c r="H293" s="24" t="inlineStr">
        <x:is>
          <x:t xml:space="preserve">Codex</x:t>
        </x:is>
      </x:c>
      <x:c r="I293" s="29" t="n">
        <x:v>46293</x:v>
      </x:c>
      <x:c r="J293" s="24" t="inlineStr">
        <x:is>
          <x:t xml:space="preserve">DOC-065 v1.0; DOC-066; lint/typecheck,7 unit/app,8 integration,smoke web;49 prototype tests,Vite/Storybook52 stories.</x:t>
        </x:is>
      </x:c>
      <x:c r="K293" s="24" t="inlineStr">
        <x:is>
          <x:t xml:space="preserve">Yêu cầu nghiệp vụ giữ nguyên. Đã đọc BRD/PRD/FR-NFR/SRS; trạng thái triển khai hiện hành theo DOC-065, không sửa baseline lịch sử thành nghiệm thu.</x:t>
        </x:is>
      </x:c>
      <x:c r="L293" s="24" t="inlineStr">
        <x:is>
          <x:t xml:space="preserve">Không áp dụng có lý do</x:t>
        </x:is>
      </x:c>
    </x:row>
    <x:row r="294" ht="100" customHeight="1">
      <x:c r="A294" s="24" t="inlineStr">
        <x:is>
          <x:t xml:space="preserve">FOUNDATION-20260928</x:t>
        </x:is>
      </x:c>
      <x:c r="B294" s="24" t="inlineStr">
        <x:is>
          <x:t xml:space="preserve">IMPLEMENT-01; TECH-01</x:t>
        </x:is>
      </x:c>
      <x:c r="C294" s="24" t="inlineStr">
        <x:is>
          <x:t xml:space="preserve">F02/F18/F20</x:t>
        </x:is>
      </x:c>
      <x:c r="D294" s="24" t="inlineStr">
        <x:is>
          <x:t xml:space="preserve">DOC-006</x:t>
        </x:is>
      </x:c>
      <x:c r="E294" s="24" t="inlineStr">
        <x:is>
          <x:t xml:space="preserve">Đợt 1 danh mục local</x:t>
        </x:is>
      </x:c>
      <x:c r="F294" s="24" t="inlineStr">
        <x:is>
          <x:t xml:space="preserve">Không áp dụng</x:t>
        </x:is>
      </x:c>
      <x:c r="G294" s="24" t="inlineStr">
        <x:is>
          <x:t xml:space="preserve">Có</x:t>
        </x:is>
      </x:c>
      <x:c r="H294" s="24" t="inlineStr">
        <x:is>
          <x:t xml:space="preserve">Codex</x:t>
        </x:is>
      </x:c>
      <x:c r="I294" s="29" t="n">
        <x:v>46293</x:v>
      </x:c>
      <x:c r="J294" s="24" t="inlineStr">
        <x:is>
          <x:t xml:space="preserve">DOC-065 v1.0; DOC-066; lint/typecheck,7 unit/app,8 integration,smoke web;49 prototype tests,Vite/Storybook52 stories.</x:t>
        </x:is>
      </x:c>
      <x:c r="K294" s="24" t="inlineStr">
        <x:is>
          <x:t xml:space="preserve">Yêu cầu nghiệp vụ giữ nguyên. Đã đọc BRD/PRD/FR-NFR/SRS; trạng thái triển khai hiện hành theo DOC-065, không sửa baseline lịch sử thành nghiệm thu.</x:t>
        </x:is>
      </x:c>
      <x:c r="L294" s="24" t="inlineStr">
        <x:is>
          <x:t xml:space="preserve">Không áp dụng có lý do</x:t>
        </x:is>
      </x:c>
    </x:row>
    <x:row r="295" ht="100" customHeight="1">
      <x:c r="A295" s="24" t="inlineStr">
        <x:is>
          <x:t xml:space="preserve">FOUNDATION-20260928</x:t>
        </x:is>
      </x:c>
      <x:c r="B295" s="24" t="inlineStr">
        <x:is>
          <x:t xml:space="preserve">IMPLEMENT-01; TECH-01</x:t>
        </x:is>
      </x:c>
      <x:c r="C295" s="24" t="inlineStr">
        <x:is>
          <x:t xml:space="preserve">F02/F18/F20</x:t>
        </x:is>
      </x:c>
      <x:c r="D295" s="24" t="inlineStr">
        <x:is>
          <x:t xml:space="preserve">DOC-007</x:t>
        </x:is>
      </x:c>
      <x:c r="E295" s="24" t="inlineStr">
        <x:is>
          <x:t xml:space="preserve">Đợt 1 danh mục local</x:t>
        </x:is>
      </x:c>
      <x:c r="F295" s="24" t="inlineStr">
        <x:is>
          <x:t xml:space="preserve">Không áp dụng</x:t>
        </x:is>
      </x:c>
      <x:c r="G295" s="24" t="inlineStr">
        <x:is>
          <x:t xml:space="preserve">Có</x:t>
        </x:is>
      </x:c>
      <x:c r="H295" s="24" t="inlineStr">
        <x:is>
          <x:t xml:space="preserve">Codex</x:t>
        </x:is>
      </x:c>
      <x:c r="I295" s="29" t="n">
        <x:v>46293</x:v>
      </x:c>
      <x:c r="J295" s="24" t="inlineStr">
        <x:is>
          <x:t xml:space="preserve">DOC-065 v1.0; DOC-066; lint/typecheck,7 unit/app,8 integration,smoke web;49 prototype tests,Vite/Storybook52 stories.</x:t>
        </x:is>
      </x:c>
      <x:c r="K295" s="24" t="inlineStr">
        <x:is>
          <x:t xml:space="preserve">Không đổi nghiệp vụ/quyền/trạng thái/thiết kế UI; chỉ triển khai lát danh mục theo nguồn hiện hành. Không mở các miền khác.</x:t>
        </x:is>
      </x:c>
      <x:c r="L295" s="24" t="inlineStr">
        <x:is>
          <x:t xml:space="preserve">Không áp dụng có lý do</x:t>
        </x:is>
      </x:c>
    </x:row>
    <x:row r="296" ht="100" customHeight="1">
      <x:c r="A296" s="24" t="inlineStr">
        <x:is>
          <x:t xml:space="preserve">FOUNDATION-20260928</x:t>
        </x:is>
      </x:c>
      <x:c r="B296" s="24" t="inlineStr">
        <x:is>
          <x:t xml:space="preserve">IMPLEMENT-01; TECH-01</x:t>
        </x:is>
      </x:c>
      <x:c r="C296" s="24" t="inlineStr">
        <x:is>
          <x:t xml:space="preserve">F02/F18/F20</x:t>
        </x:is>
      </x:c>
      <x:c r="D296" s="24" t="inlineStr">
        <x:is>
          <x:t xml:space="preserve">DOC-008</x:t>
        </x:is>
      </x:c>
      <x:c r="E296" s="24" t="inlineStr">
        <x:is>
          <x:t xml:space="preserve">Đợt 1 danh mục local</x:t>
        </x:is>
      </x:c>
      <x:c r="F296" s="24" t="inlineStr">
        <x:is>
          <x:t xml:space="preserve">Không áp dụng</x:t>
        </x:is>
      </x:c>
      <x:c r="G296" s="24" t="inlineStr">
        <x:is>
          <x:t xml:space="preserve">Có</x:t>
        </x:is>
      </x:c>
      <x:c r="H296" s="24" t="inlineStr">
        <x:is>
          <x:t xml:space="preserve">Codex</x:t>
        </x:is>
      </x:c>
      <x:c r="I296" s="29" t="n">
        <x:v>46293</x:v>
      </x:c>
      <x:c r="J296" s="24" t="inlineStr">
        <x:is>
          <x:t xml:space="preserve">DOC-065 v1.0; DOC-066; lint/typecheck,7 unit/app,8 integration,smoke web;49 prototype tests,Vite/Storybook52 stories.</x:t>
        </x:is>
      </x:c>
      <x:c r="K296" s="24" t="inlineStr">
        <x:is>
          <x:t xml:space="preserve">Không đổi nghiệp vụ/quyền/trạng thái/thiết kế UI; chỉ triển khai lát danh mục theo nguồn hiện hành. Không mở các miền khác.</x:t>
        </x:is>
      </x:c>
      <x:c r="L296" s="24" t="inlineStr">
        <x:is>
          <x:t xml:space="preserve">Không áp dụng có lý do</x:t>
        </x:is>
      </x:c>
    </x:row>
    <x:row r="297" ht="100" customHeight="1">
      <x:c r="A297" s="24" t="inlineStr">
        <x:is>
          <x:t xml:space="preserve">FOUNDATION-20260928</x:t>
        </x:is>
      </x:c>
      <x:c r="B297" s="24" t="inlineStr">
        <x:is>
          <x:t xml:space="preserve">IMPLEMENT-01; TECH-01</x:t>
        </x:is>
      </x:c>
      <x:c r="C297" s="24" t="inlineStr">
        <x:is>
          <x:t xml:space="preserve">F02/F18/F20</x:t>
        </x:is>
      </x:c>
      <x:c r="D297" s="24" t="inlineStr">
        <x:is>
          <x:t xml:space="preserve">DOC-011</x:t>
        </x:is>
      </x:c>
      <x:c r="E297" s="24" t="inlineStr">
        <x:is>
          <x:t xml:space="preserve">Đợt 1 danh mục local</x:t>
        </x:is>
      </x:c>
      <x:c r="F297" s="24" t="inlineStr">
        <x:is>
          <x:t xml:space="preserve">Đã cập nhật</x:t>
        </x:is>
      </x:c>
      <x:c r="G297" s="24" t="inlineStr">
        <x:is>
          <x:t xml:space="preserve">Có</x:t>
        </x:is>
      </x:c>
      <x:c r="H297" s="24" t="inlineStr">
        <x:is>
          <x:t xml:space="preserve">Codex</x:t>
        </x:is>
      </x:c>
      <x:c r="I297" s="29" t="n">
        <x:v>46293</x:v>
      </x:c>
      <x:c r="J297" s="24" t="inlineStr">
        <x:is>
          <x:t xml:space="preserve">DOC-065 v1.0; DOC-066; lint/typecheck,7 unit/app,8 integration,smoke web;49 prototype tests,Vite/Storybook52 stories.</x:t>
        </x:is>
      </x:c>
      <x:c r="K297" s="24" t="inlineStr">
        <x:is>
          <x:t xml:space="preserve">Native và CI từ xa chưa kiểm; không tiền thật. Đồng bộ tài liệu không đồng nghĩa nghiệm thu các phần này.</x:t>
        </x:is>
      </x:c>
      <x:c r="L297" s="24" t="inlineStr">
        <x:is>
          <x:t xml:space="preserve">Hoàn tất</x:t>
        </x:is>
      </x:c>
    </x:row>
    <x:row r="298" ht="100" customHeight="1">
      <x:c r="A298" s="24" t="inlineStr">
        <x:is>
          <x:t xml:space="preserve">FOUNDATION-20260928</x:t>
        </x:is>
      </x:c>
      <x:c r="B298" s="24" t="inlineStr">
        <x:is>
          <x:t xml:space="preserve">IMPLEMENT-01; TECH-01</x:t>
        </x:is>
      </x:c>
      <x:c r="C298" s="24" t="inlineStr">
        <x:is>
          <x:t xml:space="preserve">F02/F18/F20</x:t>
        </x:is>
      </x:c>
      <x:c r="D298" s="24" t="inlineStr">
        <x:is>
          <x:t xml:space="preserve">DOC-012</x:t>
        </x:is>
      </x:c>
      <x:c r="E298" s="24" t="inlineStr">
        <x:is>
          <x:t xml:space="preserve">Đợt 1 danh mục local</x:t>
        </x:is>
      </x:c>
      <x:c r="F298" s="24" t="inlineStr">
        <x:is>
          <x:t xml:space="preserve">Không áp dụng</x:t>
        </x:is>
      </x:c>
      <x:c r="G298" s="24" t="inlineStr">
        <x:is>
          <x:t xml:space="preserve">Có</x:t>
        </x:is>
      </x:c>
      <x:c r="H298" s="24" t="inlineStr">
        <x:is>
          <x:t xml:space="preserve">Codex</x:t>
        </x:is>
      </x:c>
      <x:c r="I298" s="29" t="n">
        <x:v>46293</x:v>
      </x:c>
      <x:c r="J298" s="24" t="inlineStr">
        <x:is>
          <x:t xml:space="preserve">DOC-065 v1.0; DOC-066; lint/typecheck,7 unit/app,8 integration,smoke web;49 prototype tests,Vite/Storybook52 stories.</x:t>
        </x:is>
      </x:c>
      <x:c r="K298" s="24" t="inlineStr">
        <x:is>
          <x:t xml:space="preserve">Không đổi nghiệp vụ/quyền/trạng thái/thiết kế UI; chỉ triển khai lát danh mục theo nguồn hiện hành. Không mở các miền khác.</x:t>
        </x:is>
      </x:c>
      <x:c r="L298" s="24" t="inlineStr">
        <x:is>
          <x:t xml:space="preserve">Không áp dụng có lý do</x:t>
        </x:is>
      </x:c>
    </x:row>
    <x:row r="299" ht="100" customHeight="1">
      <x:c r="A299" s="24" t="inlineStr">
        <x:is>
          <x:t xml:space="preserve">FOUNDATION-20260928</x:t>
        </x:is>
      </x:c>
      <x:c r="B299" s="24" t="inlineStr">
        <x:is>
          <x:t xml:space="preserve">IMPLEMENT-01; TECH-01</x:t>
        </x:is>
      </x:c>
      <x:c r="C299" s="24" t="inlineStr">
        <x:is>
          <x:t xml:space="preserve">F02/F18/F20</x:t>
        </x:is>
      </x:c>
      <x:c r="D299" s="24" t="inlineStr">
        <x:is>
          <x:t xml:space="preserve">DOC-013</x:t>
        </x:is>
      </x:c>
      <x:c r="E299" s="24" t="inlineStr">
        <x:is>
          <x:t xml:space="preserve">Đợt 1 danh mục local</x:t>
        </x:is>
      </x:c>
      <x:c r="F299" s="24" t="inlineStr">
        <x:is>
          <x:t xml:space="preserve">Không áp dụng</x:t>
        </x:is>
      </x:c>
      <x:c r="G299" s="24" t="inlineStr">
        <x:is>
          <x:t xml:space="preserve">Có</x:t>
        </x:is>
      </x:c>
      <x:c r="H299" s="24" t="inlineStr">
        <x:is>
          <x:t xml:space="preserve">Codex</x:t>
        </x:is>
      </x:c>
      <x:c r="I299" s="29" t="n">
        <x:v>46293</x:v>
      </x:c>
      <x:c r="J299" s="24" t="inlineStr">
        <x:is>
          <x:t xml:space="preserve">DOC-065 v1.0; DOC-066; lint/typecheck,7 unit/app,8 integration,smoke web;49 prototype tests,Vite/Storybook52 stories.</x:t>
        </x:is>
      </x:c>
      <x:c r="K299" s="24" t="inlineStr">
        <x:is>
          <x:t xml:space="preserve">Không đổi nghiệp vụ/quyền/trạng thái/thiết kế UI; chỉ triển khai lát danh mục theo nguồn hiện hành. Không mở các miền khác.</x:t>
        </x:is>
      </x:c>
      <x:c r="L299" s="24" t="inlineStr">
        <x:is>
          <x:t xml:space="preserve">Không áp dụng có lý do</x:t>
        </x:is>
      </x:c>
    </x:row>
    <x:row r="300" ht="100" customHeight="1">
      <x:c r="A300" s="24" t="inlineStr">
        <x:is>
          <x:t xml:space="preserve">FOUNDATION-20260928</x:t>
        </x:is>
      </x:c>
      <x:c r="B300" s="24" t="inlineStr">
        <x:is>
          <x:t xml:space="preserve">IMPLEMENT-01; TECH-01</x:t>
        </x:is>
      </x:c>
      <x:c r="C300" s="24" t="inlineStr">
        <x:is>
          <x:t xml:space="preserve">F02/F18/F20</x:t>
        </x:is>
      </x:c>
      <x:c r="D300" s="24" t="inlineStr">
        <x:is>
          <x:t xml:space="preserve">DOC-014</x:t>
        </x:is>
      </x:c>
      <x:c r="E300" s="24" t="inlineStr">
        <x:is>
          <x:t xml:space="preserve">Đợt 1 danh mục local</x:t>
        </x:is>
      </x:c>
      <x:c r="F300" s="24" t="inlineStr">
        <x:is>
          <x:t xml:space="preserve">Không áp dụng</x:t>
        </x:is>
      </x:c>
      <x:c r="G300" s="24" t="inlineStr">
        <x:is>
          <x:t xml:space="preserve">Có</x:t>
        </x:is>
      </x:c>
      <x:c r="H300" s="24" t="inlineStr">
        <x:is>
          <x:t xml:space="preserve">Codex</x:t>
        </x:is>
      </x:c>
      <x:c r="I300" s="29" t="n">
        <x:v>46293</x:v>
      </x:c>
      <x:c r="J300" s="24" t="inlineStr">
        <x:is>
          <x:t xml:space="preserve">DOC-065 v1.0; DOC-066; lint/typecheck,7 unit/app,8 integration,smoke web;49 prototype tests,Vite/Storybook52 stories.</x:t>
        </x:is>
      </x:c>
      <x:c r="K300" s="24" t="inlineStr">
        <x:is>
          <x:t xml:space="preserve">Không đổi nghiệp vụ/quyền/trạng thái/thiết kế UI; chỉ triển khai lát danh mục theo nguồn hiện hành. Không mở các miền khác.</x:t>
        </x:is>
      </x:c>
      <x:c r="L300" s="24" t="inlineStr">
        <x:is>
          <x:t xml:space="preserve">Không áp dụng có lý do</x:t>
        </x:is>
      </x:c>
    </x:row>
    <x:row r="301" ht="100" customHeight="1">
      <x:c r="A301" s="24" t="inlineStr">
        <x:is>
          <x:t xml:space="preserve">FOUNDATION-20260928</x:t>
        </x:is>
      </x:c>
      <x:c r="B301" s="24" t="inlineStr">
        <x:is>
          <x:t xml:space="preserve">IMPLEMENT-01; TECH-01</x:t>
        </x:is>
      </x:c>
      <x:c r="C301" s="24" t="inlineStr">
        <x:is>
          <x:t xml:space="preserve">F02/F18/F20</x:t>
        </x:is>
      </x:c>
      <x:c r="D301" s="24" t="inlineStr">
        <x:is>
          <x:t xml:space="preserve">DOC-015</x:t>
        </x:is>
      </x:c>
      <x:c r="E301" s="24" t="inlineStr">
        <x:is>
          <x:t xml:space="preserve">Đợt 1 danh mục local</x:t>
        </x:is>
      </x:c>
      <x:c r="F301" s="24" t="inlineStr">
        <x:is>
          <x:t xml:space="preserve">Không áp dụng</x:t>
        </x:is>
      </x:c>
      <x:c r="G301" s="24" t="inlineStr">
        <x:is>
          <x:t xml:space="preserve">Có</x:t>
        </x:is>
      </x:c>
      <x:c r="H301" s="24" t="inlineStr">
        <x:is>
          <x:t xml:space="preserve">Codex</x:t>
        </x:is>
      </x:c>
      <x:c r="I301" s="29" t="n">
        <x:v>46293</x:v>
      </x:c>
      <x:c r="J301" s="24" t="inlineStr">
        <x:is>
          <x:t xml:space="preserve">DOC-065 v1.0; DOC-066; lint/typecheck,7 unit/app,8 integration,smoke web;49 prototype tests,Vite/Storybook52 stories.</x:t>
        </x:is>
      </x:c>
      <x:c r="K301" s="24" t="inlineStr">
        <x:is>
          <x:t xml:space="preserve">Không đổi nghiệp vụ/quyền/trạng thái/thiết kế UI; chỉ triển khai lát danh mục theo nguồn hiện hành. Không mở các miền khác.</x:t>
        </x:is>
      </x:c>
      <x:c r="L301" s="24" t="inlineStr">
        <x:is>
          <x:t xml:space="preserve">Không áp dụng có lý do</x:t>
        </x:is>
      </x:c>
    </x:row>
    <x:row r="302" ht="100" customHeight="1">
      <x:c r="A302" s="24" t="inlineStr">
        <x:is>
          <x:t xml:space="preserve">FOUNDATION-20260928</x:t>
        </x:is>
      </x:c>
      <x:c r="B302" s="24" t="inlineStr">
        <x:is>
          <x:t xml:space="preserve">IMPLEMENT-01; TECH-01</x:t>
        </x:is>
      </x:c>
      <x:c r="C302" s="24" t="inlineStr">
        <x:is>
          <x:t xml:space="preserve">F02/F18/F20</x:t>
        </x:is>
      </x:c>
      <x:c r="D302" s="24" t="inlineStr">
        <x:is>
          <x:t xml:space="preserve">DOC-016</x:t>
        </x:is>
      </x:c>
      <x:c r="E302" s="24" t="inlineStr">
        <x:is>
          <x:t xml:space="preserve">Đợt 1 danh mục local</x:t>
        </x:is>
      </x:c>
      <x:c r="F302" s="24" t="inlineStr">
        <x:is>
          <x:t xml:space="preserve">Đã cập nhật</x:t>
        </x:is>
      </x:c>
      <x:c r="G302" s="24" t="inlineStr">
        <x:is>
          <x:t xml:space="preserve">Có</x:t>
        </x:is>
      </x:c>
      <x:c r="H302" s="24" t="inlineStr">
        <x:is>
          <x:t xml:space="preserve">Codex</x:t>
        </x:is>
      </x:c>
      <x:c r="I302" s="29" t="n">
        <x:v>46293</x:v>
      </x:c>
      <x:c r="J302" s="24" t="inlineStr">
        <x:is>
          <x:t xml:space="preserve">DOC-065 v1.0; DOC-066; lint/typecheck,7 unit/app,8 integration,smoke web;49 prototype tests,Vite/Storybook52 stories.</x:t>
        </x:is>
      </x:c>
      <x:c r="K302" s="24" t="inlineStr">
        <x:is>
          <x:t xml:space="preserve">Native và CI từ xa chưa kiểm; không tiền thật. Đồng bộ tài liệu không đồng nghĩa nghiệm thu các phần này.</x:t>
        </x:is>
      </x:c>
      <x:c r="L302" s="24" t="inlineStr">
        <x:is>
          <x:t xml:space="preserve">Hoàn tất</x:t>
        </x:is>
      </x:c>
    </x:row>
    <x:row r="303" ht="100" customHeight="1">
      <x:c r="A303" s="24" t="inlineStr">
        <x:is>
          <x:t xml:space="preserve">FOUNDATION-20260928</x:t>
        </x:is>
      </x:c>
      <x:c r="B303" s="24" t="inlineStr">
        <x:is>
          <x:t xml:space="preserve">IMPLEMENT-01; TECH-01</x:t>
        </x:is>
      </x:c>
      <x:c r="C303" s="24" t="inlineStr">
        <x:is>
          <x:t xml:space="preserve">F02/F18/F20</x:t>
        </x:is>
      </x:c>
      <x:c r="D303" s="24" t="inlineStr">
        <x:is>
          <x:t xml:space="preserve">DOC-017</x:t>
        </x:is>
      </x:c>
      <x:c r="E303" s="24" t="inlineStr">
        <x:is>
          <x:t xml:space="preserve">Đợt 1 danh mục local</x:t>
        </x:is>
      </x:c>
      <x:c r="F303" s="24" t="inlineStr">
        <x:is>
          <x:t xml:space="preserve">Đã cập nhật</x:t>
        </x:is>
      </x:c>
      <x:c r="G303" s="24" t="inlineStr">
        <x:is>
          <x:t xml:space="preserve">Có</x:t>
        </x:is>
      </x:c>
      <x:c r="H303" s="24" t="inlineStr">
        <x:is>
          <x:t xml:space="preserve">Codex</x:t>
        </x:is>
      </x:c>
      <x:c r="I303" s="29" t="n">
        <x:v>46293</x:v>
      </x:c>
      <x:c r="J303" s="24" t="inlineStr">
        <x:is>
          <x:t xml:space="preserve">DOC-065 v1.0; DOC-066; lint/typecheck,7 unit/app,8 integration,smoke web;49 prototype tests,Vite/Storybook52 stories.</x:t>
        </x:is>
      </x:c>
      <x:c r="K303" s="24" t="inlineStr">
        <x:is>
          <x:t xml:space="preserve">Native và CI từ xa chưa kiểm; không tiền thật. Đồng bộ tài liệu không đồng nghĩa nghiệm thu các phần này.</x:t>
        </x:is>
      </x:c>
      <x:c r="L303" s="24" t="inlineStr">
        <x:is>
          <x:t xml:space="preserve">Hoàn tất</x:t>
        </x:is>
      </x:c>
    </x:row>
    <x:row r="304" ht="100" customHeight="1">
      <x:c r="A304" s="24" t="inlineStr">
        <x:is>
          <x:t xml:space="preserve">FOUNDATION-20260928</x:t>
        </x:is>
      </x:c>
      <x:c r="B304" s="24" t="inlineStr">
        <x:is>
          <x:t xml:space="preserve">IMPLEMENT-01; TECH-01</x:t>
        </x:is>
      </x:c>
      <x:c r="C304" s="24" t="inlineStr">
        <x:is>
          <x:t xml:space="preserve">F02/F18/F20</x:t>
        </x:is>
      </x:c>
      <x:c r="D304" s="24" t="inlineStr">
        <x:is>
          <x:t xml:space="preserve">DOC-018</x:t>
        </x:is>
      </x:c>
      <x:c r="E304" s="24" t="inlineStr">
        <x:is>
          <x:t xml:space="preserve">Đợt 1 danh mục local</x:t>
        </x:is>
      </x:c>
      <x:c r="F304" s="24" t="inlineStr">
        <x:is>
          <x:t xml:space="preserve">Đã cập nhật</x:t>
        </x:is>
      </x:c>
      <x:c r="G304" s="24" t="inlineStr">
        <x:is>
          <x:t xml:space="preserve">Có</x:t>
        </x:is>
      </x:c>
      <x:c r="H304" s="24" t="inlineStr">
        <x:is>
          <x:t xml:space="preserve">Codex</x:t>
        </x:is>
      </x:c>
      <x:c r="I304" s="29" t="n">
        <x:v>46293</x:v>
      </x:c>
      <x:c r="J304" s="24" t="inlineStr">
        <x:is>
          <x:t xml:space="preserve">DOC-065 v1.0; DOC-066; lint/typecheck,7 unit/app,8 integration,smoke web;49 prototype tests,Vite/Storybook52 stories.</x:t>
        </x:is>
      </x:c>
      <x:c r="K304" s="24" t="inlineStr">
        <x:is>
          <x:t xml:space="preserve">Native và CI từ xa chưa kiểm; không tiền thật. Đồng bộ tài liệu không đồng nghĩa nghiệm thu các phần này.</x:t>
        </x:is>
      </x:c>
      <x:c r="L304" s="24" t="inlineStr">
        <x:is>
          <x:t xml:space="preserve">Hoàn tất</x:t>
        </x:is>
      </x:c>
    </x:row>
    <x:row r="305" ht="100" customHeight="1">
      <x:c r="A305" s="24" t="inlineStr">
        <x:is>
          <x:t xml:space="preserve">FOUNDATION-20260928</x:t>
        </x:is>
      </x:c>
      <x:c r="B305" s="24" t="inlineStr">
        <x:is>
          <x:t xml:space="preserve">IMPLEMENT-01; TECH-01</x:t>
        </x:is>
      </x:c>
      <x:c r="C305" s="24" t="inlineStr">
        <x:is>
          <x:t xml:space="preserve">F02/F18/F20</x:t>
        </x:is>
      </x:c>
      <x:c r="D305" s="24" t="inlineStr">
        <x:is>
          <x:t xml:space="preserve">DOC-025</x:t>
        </x:is>
      </x:c>
      <x:c r="E305" s="24" t="inlineStr">
        <x:is>
          <x:t xml:space="preserve">Đợt 1 danh mục local</x:t>
        </x:is>
      </x:c>
      <x:c r="F305" s="24" t="inlineStr">
        <x:is>
          <x:t xml:space="preserve">Đã cập nhật</x:t>
        </x:is>
      </x:c>
      <x:c r="G305" s="24" t="inlineStr">
        <x:is>
          <x:t xml:space="preserve">Có</x:t>
        </x:is>
      </x:c>
      <x:c r="H305" s="24" t="inlineStr">
        <x:is>
          <x:t xml:space="preserve">Codex</x:t>
        </x:is>
      </x:c>
      <x:c r="I305" s="29" t="n">
        <x:v>46293</x:v>
      </x:c>
      <x:c r="J305" s="24" t="inlineStr">
        <x:is>
          <x:t xml:space="preserve">DOC-065 v1.0; DOC-066; lint/typecheck,7 unit/app,8 integration,smoke web;49 prototype tests,Vite/Storybook52 stories.</x:t>
        </x:is>
      </x:c>
      <x:c r="K305" s="24" t="inlineStr">
        <x:is>
          <x:t xml:space="preserve">Native và CI từ xa chưa kiểm; không tiền thật. Đồng bộ tài liệu không đồng nghĩa nghiệm thu các phần này.</x:t>
        </x:is>
      </x:c>
      <x:c r="L305" s="24" t="inlineStr">
        <x:is>
          <x:t xml:space="preserve">Hoàn tất</x:t>
        </x:is>
      </x:c>
    </x:row>
    <x:row r="306" ht="100" customHeight="1">
      <x:c r="A306" s="24" t="inlineStr">
        <x:is>
          <x:t xml:space="preserve">FOUNDATION-20260928</x:t>
        </x:is>
      </x:c>
      <x:c r="B306" s="24" t="inlineStr">
        <x:is>
          <x:t xml:space="preserve">IMPLEMENT-01; TECH-01</x:t>
        </x:is>
      </x:c>
      <x:c r="C306" s="24" t="inlineStr">
        <x:is>
          <x:t xml:space="preserve">F02/F18/F20</x:t>
        </x:is>
      </x:c>
      <x:c r="D306" s="24" t="inlineStr">
        <x:is>
          <x:t xml:space="preserve">DOC-026</x:t>
        </x:is>
      </x:c>
      <x:c r="E306" s="24" t="inlineStr">
        <x:is>
          <x:t xml:space="preserve">Đợt 1 danh mục local</x:t>
        </x:is>
      </x:c>
      <x:c r="F306" s="24" t="inlineStr">
        <x:is>
          <x:t xml:space="preserve">Không áp dụng</x:t>
        </x:is>
      </x:c>
      <x:c r="G306" s="24" t="inlineStr">
        <x:is>
          <x:t xml:space="preserve">Có</x:t>
        </x:is>
      </x:c>
      <x:c r="H306" s="24" t="inlineStr">
        <x:is>
          <x:t xml:space="preserve">Codex</x:t>
        </x:is>
      </x:c>
      <x:c r="I306" s="29" t="n">
        <x:v>46293</x:v>
      </x:c>
      <x:c r="J306" s="24" t="inlineStr">
        <x:is>
          <x:t xml:space="preserve">DOC-065 v1.0; DOC-066; lint/typecheck,7 unit/app,8 integration,smoke web;49 prototype tests,Vite/Storybook52 stories.</x:t>
        </x:is>
      </x:c>
      <x:c r="K306" s="24" t="inlineStr">
        <x:is>
          <x:t xml:space="preserve">Không đổi nghiệp vụ/quyền/trạng thái/thiết kế UI; chỉ triển khai lát danh mục theo nguồn hiện hành. Không mở các miền khác.</x:t>
        </x:is>
      </x:c>
      <x:c r="L306" s="24" t="inlineStr">
        <x:is>
          <x:t xml:space="preserve">Không áp dụng có lý do</x:t>
        </x:is>
      </x:c>
    </x:row>
    <x:row r="307" ht="100" customHeight="1">
      <x:c r="A307" s="24" t="inlineStr">
        <x:is>
          <x:t xml:space="preserve">FOUNDATION-20260928</x:t>
        </x:is>
      </x:c>
      <x:c r="B307" s="24" t="inlineStr">
        <x:is>
          <x:t xml:space="preserve">IMPLEMENT-01; TECH-01</x:t>
        </x:is>
      </x:c>
      <x:c r="C307" s="24" t="inlineStr">
        <x:is>
          <x:t xml:space="preserve">F02/F18/F20</x:t>
        </x:is>
      </x:c>
      <x:c r="D307" s="24" t="inlineStr">
        <x:is>
          <x:t xml:space="preserve">DOC-027</x:t>
        </x:is>
      </x:c>
      <x:c r="E307" s="24" t="inlineStr">
        <x:is>
          <x:t xml:space="preserve">Đợt 1 danh mục local</x:t>
        </x:is>
      </x:c>
      <x:c r="F307" s="24" t="inlineStr">
        <x:is>
          <x:t xml:space="preserve">Không áp dụng</x:t>
        </x:is>
      </x:c>
      <x:c r="G307" s="24" t="inlineStr">
        <x:is>
          <x:t xml:space="preserve">Có</x:t>
        </x:is>
      </x:c>
      <x:c r="H307" s="24" t="inlineStr">
        <x:is>
          <x:t xml:space="preserve">Codex</x:t>
        </x:is>
      </x:c>
      <x:c r="I307" s="29" t="n">
        <x:v>46293</x:v>
      </x:c>
      <x:c r="J307" s="24" t="inlineStr">
        <x:is>
          <x:t xml:space="preserve">DOC-065 v1.0; DOC-066; lint/typecheck,7 unit/app,8 integration,smoke web;49 prototype tests,Vite/Storybook52 stories.</x:t>
        </x:is>
      </x:c>
      <x:c r="K307" s="24" t="inlineStr">
        <x:is>
          <x:t xml:space="preserve">Không đổi nghiệp vụ/quyền/trạng thái/thiết kế UI; chỉ triển khai lát danh mục theo nguồn hiện hành. Không mở các miền khác.</x:t>
        </x:is>
      </x:c>
      <x:c r="L307" s="24" t="inlineStr">
        <x:is>
          <x:t xml:space="preserve">Không áp dụng có lý do</x:t>
        </x:is>
      </x:c>
    </x:row>
    <x:row r="308" ht="100" customHeight="1">
      <x:c r="A308" s="24" t="inlineStr">
        <x:is>
          <x:t xml:space="preserve">FOUNDATION-20260928</x:t>
        </x:is>
      </x:c>
      <x:c r="B308" s="24" t="inlineStr">
        <x:is>
          <x:t xml:space="preserve">IMPLEMENT-01; TECH-01</x:t>
        </x:is>
      </x:c>
      <x:c r="C308" s="24" t="inlineStr">
        <x:is>
          <x:t xml:space="preserve">F02/F18/F20</x:t>
        </x:is>
      </x:c>
      <x:c r="D308" s="24" t="inlineStr">
        <x:is>
          <x:t xml:space="preserve">DOC-028</x:t>
        </x:is>
      </x:c>
      <x:c r="E308" s="24" t="inlineStr">
        <x:is>
          <x:t xml:space="preserve">Đợt 1 danh mục local</x:t>
        </x:is>
      </x:c>
      <x:c r="F308" s="24" t="inlineStr">
        <x:is>
          <x:t xml:space="preserve">Không áp dụng</x:t>
        </x:is>
      </x:c>
      <x:c r="G308" s="24" t="inlineStr">
        <x:is>
          <x:t xml:space="preserve">Có</x:t>
        </x:is>
      </x:c>
      <x:c r="H308" s="24" t="inlineStr">
        <x:is>
          <x:t xml:space="preserve">Codex</x:t>
        </x:is>
      </x:c>
      <x:c r="I308" s="29" t="n">
        <x:v>46293</x:v>
      </x:c>
      <x:c r="J308" s="24" t="inlineStr">
        <x:is>
          <x:t xml:space="preserve">DOC-065 v1.0; DOC-066; lint/typecheck,7 unit/app,8 integration,smoke web;49 prototype tests,Vite/Storybook52 stories.</x:t>
        </x:is>
      </x:c>
      <x:c r="K308" s="24" t="inlineStr">
        <x:is>
          <x:t xml:space="preserve">Không đổi nghiệp vụ/quyền/trạng thái/thiết kế UI; chỉ triển khai lát danh mục theo nguồn hiện hành. Không mở các miền khác.</x:t>
        </x:is>
      </x:c>
      <x:c r="L308" s="24" t="inlineStr">
        <x:is>
          <x:t xml:space="preserve">Không áp dụng có lý do</x:t>
        </x:is>
      </x:c>
    </x:row>
    <x:row r="309" ht="100" customHeight="1">
      <x:c r="A309" s="24" t="inlineStr">
        <x:is>
          <x:t xml:space="preserve">FOUNDATION-20260928</x:t>
        </x:is>
      </x:c>
      <x:c r="B309" s="24" t="inlineStr">
        <x:is>
          <x:t xml:space="preserve">IMPLEMENT-01; TECH-01</x:t>
        </x:is>
      </x:c>
      <x:c r="C309" s="24" t="inlineStr">
        <x:is>
          <x:t xml:space="preserve">F02/F18/F20</x:t>
        </x:is>
      </x:c>
      <x:c r="D309" s="24" t="inlineStr">
        <x:is>
          <x:t xml:space="preserve">DOC-029</x:t>
        </x:is>
      </x:c>
      <x:c r="E309" s="24" t="inlineStr">
        <x:is>
          <x:t xml:space="preserve">Đợt 1 danh mục local</x:t>
        </x:is>
      </x:c>
      <x:c r="F309" s="24" t="inlineStr">
        <x:is>
          <x:t xml:space="preserve">Không áp dụng</x:t>
        </x:is>
      </x:c>
      <x:c r="G309" s="24" t="inlineStr">
        <x:is>
          <x:t xml:space="preserve">Có</x:t>
        </x:is>
      </x:c>
      <x:c r="H309" s="24" t="inlineStr">
        <x:is>
          <x:t xml:space="preserve">Codex</x:t>
        </x:is>
      </x:c>
      <x:c r="I309" s="29" t="n">
        <x:v>46293</x:v>
      </x:c>
      <x:c r="J309" s="24" t="inlineStr">
        <x:is>
          <x:t xml:space="preserve">DOC-065 v1.0; DOC-066; lint/typecheck,7 unit/app,8 integration,smoke web;49 prototype tests,Vite/Storybook52 stories.</x:t>
        </x:is>
      </x:c>
      <x:c r="K309" s="24" t="inlineStr">
        <x:is>
          <x:t xml:space="preserve">Không đổi nghiệp vụ/quyền/trạng thái/thiết kế UI; chỉ triển khai lát danh mục theo nguồn hiện hành. Không mở các miền khác.</x:t>
        </x:is>
      </x:c>
      <x:c r="L309" s="24" t="inlineStr">
        <x:is>
          <x:t xml:space="preserve">Không áp dụng có lý do</x:t>
        </x:is>
      </x:c>
    </x:row>
    <x:row r="310" ht="100" customHeight="1">
      <x:c r="A310" s="24" t="inlineStr">
        <x:is>
          <x:t xml:space="preserve">FOUNDATION-20260928</x:t>
        </x:is>
      </x:c>
      <x:c r="B310" s="24" t="inlineStr">
        <x:is>
          <x:t xml:space="preserve">IMPLEMENT-01; TECH-01</x:t>
        </x:is>
      </x:c>
      <x:c r="C310" s="24" t="inlineStr">
        <x:is>
          <x:t xml:space="preserve">F02/F18/F20</x:t>
        </x:is>
      </x:c>
      <x:c r="D310" s="24" t="inlineStr">
        <x:is>
          <x:t xml:space="preserve">DOC-030</x:t>
        </x:is>
      </x:c>
      <x:c r="E310" s="24" t="inlineStr">
        <x:is>
          <x:t xml:space="preserve">Đợt 1 danh mục local</x:t>
        </x:is>
      </x:c>
      <x:c r="F310" s="24" t="inlineStr">
        <x:is>
          <x:t xml:space="preserve">Không áp dụng</x:t>
        </x:is>
      </x:c>
      <x:c r="G310" s="24" t="inlineStr">
        <x:is>
          <x:t xml:space="preserve">Có</x:t>
        </x:is>
      </x:c>
      <x:c r="H310" s="24" t="inlineStr">
        <x:is>
          <x:t xml:space="preserve">Codex</x:t>
        </x:is>
      </x:c>
      <x:c r="I310" s="29" t="n">
        <x:v>46293</x:v>
      </x:c>
      <x:c r="J310" s="24" t="inlineStr">
        <x:is>
          <x:t xml:space="preserve">DOC-065 v1.0; DOC-066; lint/typecheck,7 unit/app,8 integration,smoke web;49 prototype tests,Vite/Storybook52 stories.</x:t>
        </x:is>
      </x:c>
      <x:c r="K310" s="24" t="inlineStr">
        <x:is>
          <x:t xml:space="preserve">Không đổi nghiệp vụ/quyền/trạng thái/thiết kế UI; chỉ triển khai lát danh mục theo nguồn hiện hành. Không mở các miền khác.</x:t>
        </x:is>
      </x:c>
      <x:c r="L310" s="24" t="inlineStr">
        <x:is>
          <x:t xml:space="preserve">Không áp dụng có lý do</x:t>
        </x:is>
      </x:c>
    </x:row>
    <x:row r="311" ht="100" customHeight="1">
      <x:c r="A311" s="24" t="inlineStr">
        <x:is>
          <x:t xml:space="preserve">FOUNDATION-20260928</x:t>
        </x:is>
      </x:c>
      <x:c r="B311" s="24" t="inlineStr">
        <x:is>
          <x:t xml:space="preserve">IMPLEMENT-01; TECH-01</x:t>
        </x:is>
      </x:c>
      <x:c r="C311" s="24" t="inlineStr">
        <x:is>
          <x:t xml:space="preserve">F02/F18/F20</x:t>
        </x:is>
      </x:c>
      <x:c r="D311" s="24" t="inlineStr">
        <x:is>
          <x:t xml:space="preserve">DOC-031</x:t>
        </x:is>
      </x:c>
      <x:c r="E311" s="24" t="inlineStr">
        <x:is>
          <x:t xml:space="preserve">Đợt 1 danh mục local</x:t>
        </x:is>
      </x:c>
      <x:c r="F311" s="24" t="inlineStr">
        <x:is>
          <x:t xml:space="preserve">Đã cập nhật</x:t>
        </x:is>
      </x:c>
      <x:c r="G311" s="24" t="inlineStr">
        <x:is>
          <x:t xml:space="preserve">Có</x:t>
        </x:is>
      </x:c>
      <x:c r="H311" s="24" t="inlineStr">
        <x:is>
          <x:t xml:space="preserve">Codex</x:t>
        </x:is>
      </x:c>
      <x:c r="I311" s="29" t="n">
        <x:v>46293</x:v>
      </x:c>
      <x:c r="J311" s="24" t="inlineStr">
        <x:is>
          <x:t xml:space="preserve">DOC-065 v1.0; DOC-066; lint/typecheck,7 unit/app,8 integration,smoke web;49 prototype tests,Vite/Storybook52 stories.</x:t>
        </x:is>
      </x:c>
      <x:c r="K311" s="24" t="inlineStr">
        <x:is>
          <x:t xml:space="preserve">Native và CI từ xa chưa kiểm; không tiền thật. Đồng bộ tài liệu không đồng nghĩa nghiệm thu các phần này.</x:t>
        </x:is>
      </x:c>
      <x:c r="L311" s="24" t="inlineStr">
        <x:is>
          <x:t xml:space="preserve">Hoàn tất</x:t>
        </x:is>
      </x:c>
    </x:row>
    <x:row r="312" ht="100" customHeight="1">
      <x:c r="A312" s="24" t="inlineStr">
        <x:is>
          <x:t xml:space="preserve">FOUNDATION-20260928</x:t>
        </x:is>
      </x:c>
      <x:c r="B312" s="24" t="inlineStr">
        <x:is>
          <x:t xml:space="preserve">IMPLEMENT-01; TECH-01</x:t>
        </x:is>
      </x:c>
      <x:c r="C312" s="24" t="inlineStr">
        <x:is>
          <x:t xml:space="preserve">F02/F18/F20</x:t>
        </x:is>
      </x:c>
      <x:c r="D312" s="24" t="inlineStr">
        <x:is>
          <x:t xml:space="preserve">DOC-033</x:t>
        </x:is>
      </x:c>
      <x:c r="E312" s="24" t="inlineStr">
        <x:is>
          <x:t xml:space="preserve">Đợt 1 danh mục local</x:t>
        </x:is>
      </x:c>
      <x:c r="F312" s="24" t="inlineStr">
        <x:is>
          <x:t xml:space="preserve">Đã cập nhật</x:t>
        </x:is>
      </x:c>
      <x:c r="G312" s="24" t="inlineStr">
        <x:is>
          <x:t xml:space="preserve">Có</x:t>
        </x:is>
      </x:c>
      <x:c r="H312" s="24" t="inlineStr">
        <x:is>
          <x:t xml:space="preserve">Codex</x:t>
        </x:is>
      </x:c>
      <x:c r="I312" s="29" t="n">
        <x:v>46293</x:v>
      </x:c>
      <x:c r="J312" s="24" t="inlineStr">
        <x:is>
          <x:t xml:space="preserve">DOC-065 v1.0; DOC-066; lint/typecheck,7 unit/app,8 integration,smoke web;49 prototype tests,Vite/Storybook52 stories.</x:t>
        </x:is>
      </x:c>
      <x:c r="K312" s="24" t="inlineStr">
        <x:is>
          <x:t xml:space="preserve">Native và CI từ xa chưa kiểm; không tiền thật. Đồng bộ tài liệu không đồng nghĩa nghiệm thu các phần này.</x:t>
        </x:is>
      </x:c>
      <x:c r="L312" s="24" t="inlineStr">
        <x:is>
          <x:t xml:space="preserve">Hoàn tất</x:t>
        </x:is>
      </x:c>
    </x:row>
    <x:row r="313" ht="100" customHeight="1">
      <x:c r="A313" s="24" t="inlineStr">
        <x:is>
          <x:t xml:space="preserve">FOUNDATION-20260928</x:t>
        </x:is>
      </x:c>
      <x:c r="B313" s="24" t="inlineStr">
        <x:is>
          <x:t xml:space="preserve">IMPLEMENT-01; TECH-01</x:t>
        </x:is>
      </x:c>
      <x:c r="C313" s="24" t="inlineStr">
        <x:is>
          <x:t xml:space="preserve">F02/F18/F20</x:t>
        </x:is>
      </x:c>
      <x:c r="D313" s="24" t="inlineStr">
        <x:is>
          <x:t xml:space="preserve">DOC-037</x:t>
        </x:is>
      </x:c>
      <x:c r="E313" s="24" t="inlineStr">
        <x:is>
          <x:t xml:space="preserve">Đợt 1 danh mục local</x:t>
        </x:is>
      </x:c>
      <x:c r="F313" s="24" t="inlineStr">
        <x:is>
          <x:t xml:space="preserve">Đã cập nhật</x:t>
        </x:is>
      </x:c>
      <x:c r="G313" s="24" t="inlineStr">
        <x:is>
          <x:t xml:space="preserve">Có</x:t>
        </x:is>
      </x:c>
      <x:c r="H313" s="24" t="inlineStr">
        <x:is>
          <x:t xml:space="preserve">Codex</x:t>
        </x:is>
      </x:c>
      <x:c r="I313" s="29" t="n">
        <x:v>46293</x:v>
      </x:c>
      <x:c r="J313" s="24" t="inlineStr">
        <x:is>
          <x:t xml:space="preserve">DOC-065 v1.0; DOC-066; lint/typecheck,7 unit/app,8 integration,smoke web;49 prototype tests,Vite/Storybook52 stories.</x:t>
        </x:is>
      </x:c>
      <x:c r="K313" s="24" t="inlineStr">
        <x:is>
          <x:t xml:space="preserve">Native và CI từ xa chưa kiểm; không tiền thật. Đồng bộ tài liệu không đồng nghĩa nghiệm thu các phần này.</x:t>
        </x:is>
      </x:c>
      <x:c r="L313" s="24" t="inlineStr">
        <x:is>
          <x:t xml:space="preserve">Hoàn tất</x:t>
        </x:is>
      </x:c>
    </x:row>
    <x:row r="314" ht="100" customHeight="1">
      <x:c r="A314" s="24" t="inlineStr">
        <x:is>
          <x:t xml:space="preserve">FOUNDATION-20260928</x:t>
        </x:is>
      </x:c>
      <x:c r="B314" s="24" t="inlineStr">
        <x:is>
          <x:t xml:space="preserve">IMPLEMENT-01; TECH-01</x:t>
        </x:is>
      </x:c>
      <x:c r="C314" s="24" t="inlineStr">
        <x:is>
          <x:t xml:space="preserve">F02/F18/F20</x:t>
        </x:is>
      </x:c>
      <x:c r="D314" s="24" t="inlineStr">
        <x:is>
          <x:t xml:space="preserve">DOC-038</x:t>
        </x:is>
      </x:c>
      <x:c r="E314" s="24" t="inlineStr">
        <x:is>
          <x:t xml:space="preserve">Đợt 1 danh mục local</x:t>
        </x:is>
      </x:c>
      <x:c r="F314" s="24" t="inlineStr">
        <x:is>
          <x:t xml:space="preserve">Đã cập nhật</x:t>
        </x:is>
      </x:c>
      <x:c r="G314" s="24" t="inlineStr">
        <x:is>
          <x:t xml:space="preserve">Có</x:t>
        </x:is>
      </x:c>
      <x:c r="H314" s="24" t="inlineStr">
        <x:is>
          <x:t xml:space="preserve">Codex</x:t>
        </x:is>
      </x:c>
      <x:c r="I314" s="29" t="n">
        <x:v>46293</x:v>
      </x:c>
      <x:c r="J314" s="24" t="inlineStr">
        <x:is>
          <x:t xml:space="preserve">DOC-065 v1.0; DOC-066; lint/typecheck,7 unit/app,8 integration,smoke web;49 prototype tests,Vite/Storybook52 stories.</x:t>
        </x:is>
      </x:c>
      <x:c r="K314" s="24" t="inlineStr">
        <x:is>
          <x:t xml:space="preserve">Native và CI từ xa chưa kiểm; không tiền thật. Đồng bộ tài liệu không đồng nghĩa nghiệm thu các phần này.</x:t>
        </x:is>
      </x:c>
      <x:c r="L314" s="24" t="inlineStr">
        <x:is>
          <x:t xml:space="preserve">Hoàn tất</x:t>
        </x:is>
      </x:c>
    </x:row>
    <x:row r="315" ht="100" customHeight="1">
      <x:c r="A315" s="24" t="inlineStr">
        <x:is>
          <x:t xml:space="preserve">FOUNDATION-20260928</x:t>
        </x:is>
      </x:c>
      <x:c r="B315" s="24" t="inlineStr">
        <x:is>
          <x:t xml:space="preserve">IMPLEMENT-01; TECH-01</x:t>
        </x:is>
      </x:c>
      <x:c r="C315" s="24" t="inlineStr">
        <x:is>
          <x:t xml:space="preserve">F02/F18/F20</x:t>
        </x:is>
      </x:c>
      <x:c r="D315" s="24" t="inlineStr">
        <x:is>
          <x:t xml:space="preserve">DOC-039</x:t>
        </x:is>
      </x:c>
      <x:c r="E315" s="24" t="inlineStr">
        <x:is>
          <x:t xml:space="preserve">Đợt 1 danh mục local</x:t>
        </x:is>
      </x:c>
      <x:c r="F315" s="24" t="inlineStr">
        <x:is>
          <x:t xml:space="preserve">Đã cập nhật</x:t>
        </x:is>
      </x:c>
      <x:c r="G315" s="24" t="inlineStr">
        <x:is>
          <x:t xml:space="preserve">Có</x:t>
        </x:is>
      </x:c>
      <x:c r="H315" s="24" t="inlineStr">
        <x:is>
          <x:t xml:space="preserve">Codex</x:t>
        </x:is>
      </x:c>
      <x:c r="I315" s="29" t="n">
        <x:v>46293</x:v>
      </x:c>
      <x:c r="J315" s="24" t="inlineStr">
        <x:is>
          <x:t xml:space="preserve">DOC-065 v1.0; DOC-066; lint/typecheck,7 unit/app,8 integration,smoke web;49 prototype tests,Vite/Storybook52 stories.</x:t>
        </x:is>
      </x:c>
      <x:c r="K315" s="24" t="inlineStr">
        <x:is>
          <x:t xml:space="preserve">Native và CI từ xa chưa kiểm; không tiền thật. Đồng bộ tài liệu không đồng nghĩa nghiệm thu các phần này.</x:t>
        </x:is>
      </x:c>
      <x:c r="L315" s="24" t="inlineStr">
        <x:is>
          <x:t xml:space="preserve">Hoàn tất</x:t>
        </x:is>
      </x:c>
    </x:row>
    <x:row r="316" ht="100" customHeight="1">
      <x:c r="A316" s="24" t="inlineStr">
        <x:is>
          <x:t xml:space="preserve">FOUNDATION-20260928</x:t>
        </x:is>
      </x:c>
      <x:c r="B316" s="24" t="inlineStr">
        <x:is>
          <x:t xml:space="preserve">IMPLEMENT-01; TECH-01</x:t>
        </x:is>
      </x:c>
      <x:c r="C316" s="24" t="inlineStr">
        <x:is>
          <x:t xml:space="preserve">F02/F18/F20</x:t>
        </x:is>
      </x:c>
      <x:c r="D316" s="24" t="inlineStr">
        <x:is>
          <x:t xml:space="preserve">DOC-040</x:t>
        </x:is>
      </x:c>
      <x:c r="E316" s="24" t="inlineStr">
        <x:is>
          <x:t xml:space="preserve">Đợt 1 danh mục local</x:t>
        </x:is>
      </x:c>
      <x:c r="F316" s="24" t="inlineStr">
        <x:is>
          <x:t xml:space="preserve">Đã cập nhật</x:t>
        </x:is>
      </x:c>
      <x:c r="G316" s="24" t="inlineStr">
        <x:is>
          <x:t xml:space="preserve">Có</x:t>
        </x:is>
      </x:c>
      <x:c r="H316" s="24" t="inlineStr">
        <x:is>
          <x:t xml:space="preserve">Codex</x:t>
        </x:is>
      </x:c>
      <x:c r="I316" s="29" t="n">
        <x:v>46293</x:v>
      </x:c>
      <x:c r="J316" s="24" t="inlineStr">
        <x:is>
          <x:t xml:space="preserve">DOC-065 v1.0; DOC-066; lint/typecheck,7 unit/app,8 integration,smoke web;49 prototype tests,Vite/Storybook52 stories.</x:t>
        </x:is>
      </x:c>
      <x:c r="K316" s="24" t="inlineStr">
        <x:is>
          <x:t xml:space="preserve">Native và CI từ xa chưa kiểm; không tiền thật. Đồng bộ tài liệu không đồng nghĩa nghiệm thu các phần này.</x:t>
        </x:is>
      </x:c>
      <x:c r="L316" s="24" t="inlineStr">
        <x:is>
          <x:t xml:space="preserve">Hoàn tất</x:t>
        </x:is>
      </x:c>
    </x:row>
    <x:row r="317" ht="100" customHeight="1">
      <x:c r="A317" s="24" t="inlineStr">
        <x:is>
          <x:t xml:space="preserve">FOUNDATION-20260928</x:t>
        </x:is>
      </x:c>
      <x:c r="B317" s="24" t="inlineStr">
        <x:is>
          <x:t xml:space="preserve">IMPLEMENT-01; TECH-01</x:t>
        </x:is>
      </x:c>
      <x:c r="C317" s="24" t="inlineStr">
        <x:is>
          <x:t xml:space="preserve">F02/F18/F20</x:t>
        </x:is>
      </x:c>
      <x:c r="D317" s="24" t="inlineStr">
        <x:is>
          <x:t xml:space="preserve">DOC-041</x:t>
        </x:is>
      </x:c>
      <x:c r="E317" s="24" t="inlineStr">
        <x:is>
          <x:t xml:space="preserve">Đợt 1 danh mục local</x:t>
        </x:is>
      </x:c>
      <x:c r="F317" s="24" t="inlineStr">
        <x:is>
          <x:t xml:space="preserve">Đã cập nhật</x:t>
        </x:is>
      </x:c>
      <x:c r="G317" s="24" t="inlineStr">
        <x:is>
          <x:t xml:space="preserve">Có</x:t>
        </x:is>
      </x:c>
      <x:c r="H317" s="24" t="inlineStr">
        <x:is>
          <x:t xml:space="preserve">Codex</x:t>
        </x:is>
      </x:c>
      <x:c r="I317" s="29" t="n">
        <x:v>46293</x:v>
      </x:c>
      <x:c r="J317" s="24" t="inlineStr">
        <x:is>
          <x:t xml:space="preserve">DOC-065 v1.0; DOC-066; lint/typecheck,7 unit/app,8 integration,smoke web;49 prototype tests,Vite/Storybook52 stories.</x:t>
        </x:is>
      </x:c>
      <x:c r="K317" s="24" t="inlineStr">
        <x:is>
          <x:t xml:space="preserve">Native và CI từ xa chưa kiểm; không tiền thật. Đồng bộ tài liệu không đồng nghĩa nghiệm thu các phần này.</x:t>
        </x:is>
      </x:c>
      <x:c r="L317" s="24" t="inlineStr">
        <x:is>
          <x:t xml:space="preserve">Hoàn tất</x:t>
        </x:is>
      </x:c>
    </x:row>
    <x:row r="318" ht="100" customHeight="1">
      <x:c r="A318" s="24" t="inlineStr">
        <x:is>
          <x:t xml:space="preserve">FOUNDATION-20260928</x:t>
        </x:is>
      </x:c>
      <x:c r="B318" s="24" t="inlineStr">
        <x:is>
          <x:t xml:space="preserve">IMPLEMENT-01; TECH-01</x:t>
        </x:is>
      </x:c>
      <x:c r="C318" s="24" t="inlineStr">
        <x:is>
          <x:t xml:space="preserve">F02/F18/F20</x:t>
        </x:is>
      </x:c>
      <x:c r="D318" s="24" t="inlineStr">
        <x:is>
          <x:t xml:space="preserve">DOC-042</x:t>
        </x:is>
      </x:c>
      <x:c r="E318" s="24" t="inlineStr">
        <x:is>
          <x:t xml:space="preserve">Đợt 1 danh mục local</x:t>
        </x:is>
      </x:c>
      <x:c r="F318" s="24" t="inlineStr">
        <x:is>
          <x:t xml:space="preserve">Đã cập nhật</x:t>
        </x:is>
      </x:c>
      <x:c r="G318" s="24" t="inlineStr">
        <x:is>
          <x:t xml:space="preserve">Có</x:t>
        </x:is>
      </x:c>
      <x:c r="H318" s="24" t="inlineStr">
        <x:is>
          <x:t xml:space="preserve">Codex</x:t>
        </x:is>
      </x:c>
      <x:c r="I318" s="29" t="n">
        <x:v>46293</x:v>
      </x:c>
      <x:c r="J318" s="24" t="inlineStr">
        <x:is>
          <x:t xml:space="preserve">DOC-065 v1.0; DOC-066; lint/typecheck,7 unit/app,8 integration,smoke web;49 prototype tests,Vite/Storybook52 stories.</x:t>
        </x:is>
      </x:c>
      <x:c r="K318" s="24" t="inlineStr">
        <x:is>
          <x:t xml:space="preserve">Native và CI từ xa chưa kiểm; không tiền thật. Đồng bộ tài liệu không đồng nghĩa nghiệm thu các phần này.</x:t>
        </x:is>
      </x:c>
      <x:c r="L318" s="24" t="inlineStr">
        <x:is>
          <x:t xml:space="preserve">Hoàn tất</x:t>
        </x:is>
      </x:c>
    </x:row>
    <x:row r="319" ht="100" customHeight="1">
      <x:c r="A319" s="24" t="inlineStr">
        <x:is>
          <x:t xml:space="preserve">FOUNDATION-20260928</x:t>
        </x:is>
      </x:c>
      <x:c r="B319" s="24" t="inlineStr">
        <x:is>
          <x:t xml:space="preserve">IMPLEMENT-01; TECH-01</x:t>
        </x:is>
      </x:c>
      <x:c r="C319" s="24" t="inlineStr">
        <x:is>
          <x:t xml:space="preserve">F02/F18/F20</x:t>
        </x:is>
      </x:c>
      <x:c r="D319" s="24" t="inlineStr">
        <x:is>
          <x:t xml:space="preserve">DOC-043</x:t>
        </x:is>
      </x:c>
      <x:c r="E319" s="24" t="inlineStr">
        <x:is>
          <x:t xml:space="preserve">Đợt 1 danh mục local</x:t>
        </x:is>
      </x:c>
      <x:c r="F319" s="24" t="inlineStr">
        <x:is>
          <x:t xml:space="preserve">Đã cập nhật</x:t>
        </x:is>
      </x:c>
      <x:c r="G319" s="24" t="inlineStr">
        <x:is>
          <x:t xml:space="preserve">Có</x:t>
        </x:is>
      </x:c>
      <x:c r="H319" s="24" t="inlineStr">
        <x:is>
          <x:t xml:space="preserve">Codex</x:t>
        </x:is>
      </x:c>
      <x:c r="I319" s="29" t="n">
        <x:v>46293</x:v>
      </x:c>
      <x:c r="J319" s="24" t="inlineStr">
        <x:is>
          <x:t xml:space="preserve">DOC-065 v1.0; DOC-066; lint/typecheck,7 unit/app,8 integration,smoke web;49 prototype tests,Vite/Storybook52 stories.</x:t>
        </x:is>
      </x:c>
      <x:c r="K319" s="24" t="inlineStr">
        <x:is>
          <x:t xml:space="preserve">Native và CI từ xa chưa kiểm; không tiền thật. Đồng bộ tài liệu không đồng nghĩa nghiệm thu các phần này.</x:t>
        </x:is>
      </x:c>
      <x:c r="L319" s="24" t="inlineStr">
        <x:is>
          <x:t xml:space="preserve">Hoàn tất</x:t>
        </x:is>
      </x:c>
    </x:row>
    <x:row r="320" ht="100" customHeight="1">
      <x:c r="A320" s="24" t="inlineStr">
        <x:is>
          <x:t xml:space="preserve">FOUNDATION-20260928</x:t>
        </x:is>
      </x:c>
      <x:c r="B320" s="24" t="inlineStr">
        <x:is>
          <x:t xml:space="preserve">IMPLEMENT-01; TECH-01</x:t>
        </x:is>
      </x:c>
      <x:c r="C320" s="24" t="inlineStr">
        <x:is>
          <x:t xml:space="preserve">F02/F18/F20</x:t>
        </x:is>
      </x:c>
      <x:c r="D320" s="24" t="inlineStr">
        <x:is>
          <x:t xml:space="preserve">DOC-044</x:t>
        </x:is>
      </x:c>
      <x:c r="E320" s="24" t="inlineStr">
        <x:is>
          <x:t xml:space="preserve">Đợt 1 danh mục local</x:t>
        </x:is>
      </x:c>
      <x:c r="F320" s="24" t="inlineStr">
        <x:is>
          <x:t xml:space="preserve">Không áp dụng</x:t>
        </x:is>
      </x:c>
      <x:c r="G320" s="24" t="inlineStr">
        <x:is>
          <x:t xml:space="preserve">Có</x:t>
        </x:is>
      </x:c>
      <x:c r="H320" s="24" t="inlineStr">
        <x:is>
          <x:t xml:space="preserve">Codex</x:t>
        </x:is>
      </x:c>
      <x:c r="I320" s="29" t="n">
        <x:v>46293</x:v>
      </x:c>
      <x:c r="J320" s="24" t="inlineStr">
        <x:is>
          <x:t xml:space="preserve">DOC-065 v1.0; DOC-066; lint/typecheck,7 unit/app,8 integration,smoke web;49 prototype tests,Vite/Storybook52 stories.</x:t>
        </x:is>
      </x:c>
      <x:c r="K320" s="24" t="inlineStr">
        <x:is>
          <x:t xml:space="preserve">Không đổi nghiệp vụ/quyền/trạng thái/thiết kế UI; chỉ triển khai lát danh mục theo nguồn hiện hành. Không mở các miền khác.</x:t>
        </x:is>
      </x:c>
      <x:c r="L320" s="24" t="inlineStr">
        <x:is>
          <x:t xml:space="preserve">Không áp dụng có lý do</x:t>
        </x:is>
      </x:c>
    </x:row>
    <x:row r="321" ht="100" customHeight="1">
      <x:c r="A321" s="24" t="inlineStr">
        <x:is>
          <x:t xml:space="preserve">FOUNDATION-20260928</x:t>
        </x:is>
      </x:c>
      <x:c r="B321" s="24" t="inlineStr">
        <x:is>
          <x:t xml:space="preserve">IMPLEMENT-01; TECH-01</x:t>
        </x:is>
      </x:c>
      <x:c r="C321" s="24" t="inlineStr">
        <x:is>
          <x:t xml:space="preserve">F02/F18/F20</x:t>
        </x:is>
      </x:c>
      <x:c r="D321" s="24" t="inlineStr">
        <x:is>
          <x:t xml:space="preserve">DOC-045</x:t>
        </x:is>
      </x:c>
      <x:c r="E321" s="24" t="inlineStr">
        <x:is>
          <x:t xml:space="preserve">Đợt 1 danh mục local</x:t>
        </x:is>
      </x:c>
      <x:c r="F321" s="24" t="inlineStr">
        <x:is>
          <x:t xml:space="preserve">Đã cập nhật</x:t>
        </x:is>
      </x:c>
      <x:c r="G321" s="24" t="inlineStr">
        <x:is>
          <x:t xml:space="preserve">Có</x:t>
        </x:is>
      </x:c>
      <x:c r="H321" s="24" t="inlineStr">
        <x:is>
          <x:t xml:space="preserve">Codex</x:t>
        </x:is>
      </x:c>
      <x:c r="I321" s="29" t="n">
        <x:v>46293</x:v>
      </x:c>
      <x:c r="J321" s="24" t="inlineStr">
        <x:is>
          <x:t xml:space="preserve">DOC-065 v1.0; DOC-066; lint/typecheck,7 unit/app,8 integration,smoke web;49 prototype tests,Vite/Storybook52 stories.</x:t>
        </x:is>
      </x:c>
      <x:c r="K321" s="24" t="inlineStr">
        <x:is>
          <x:t xml:space="preserve">Native và CI từ xa chưa kiểm; không tiền thật. Đồng bộ tài liệu không đồng nghĩa nghiệm thu các phần này.</x:t>
        </x:is>
      </x:c>
      <x:c r="L321" s="24" t="inlineStr">
        <x:is>
          <x:t xml:space="preserve">Hoàn tất</x:t>
        </x:is>
      </x:c>
    </x:row>
    <x:row r="322" ht="100" customHeight="1">
      <x:c r="A322" s="24" t="inlineStr">
        <x:is>
          <x:t xml:space="preserve">FOUNDATION-20260928</x:t>
        </x:is>
      </x:c>
      <x:c r="B322" s="24" t="inlineStr">
        <x:is>
          <x:t xml:space="preserve">IMPLEMENT-01; TECH-01</x:t>
        </x:is>
      </x:c>
      <x:c r="C322" s="24" t="inlineStr">
        <x:is>
          <x:t xml:space="preserve">F02/F18/F20</x:t>
        </x:is>
      </x:c>
      <x:c r="D322" s="24" t="inlineStr">
        <x:is>
          <x:t xml:space="preserve">DOC-046</x:t>
        </x:is>
      </x:c>
      <x:c r="E322" s="24" t="inlineStr">
        <x:is>
          <x:t xml:space="preserve">Đợt 1 danh mục local</x:t>
        </x:is>
      </x:c>
      <x:c r="F322" s="24" t="inlineStr">
        <x:is>
          <x:t xml:space="preserve">Đã cập nhật</x:t>
        </x:is>
      </x:c>
      <x:c r="G322" s="24" t="inlineStr">
        <x:is>
          <x:t xml:space="preserve">Có</x:t>
        </x:is>
      </x:c>
      <x:c r="H322" s="24" t="inlineStr">
        <x:is>
          <x:t xml:space="preserve">Codex</x:t>
        </x:is>
      </x:c>
      <x:c r="I322" s="29" t="n">
        <x:v>46293</x:v>
      </x:c>
      <x:c r="J322" s="24" t="inlineStr">
        <x:is>
          <x:t xml:space="preserve">DOC-065 v1.0; DOC-066; lint/typecheck,7 unit/app,8 integration,smoke web;49 prototype tests,Vite/Storybook52 stories.</x:t>
        </x:is>
      </x:c>
      <x:c r="K322" s="24" t="inlineStr">
        <x:is>
          <x:t xml:space="preserve">Native và CI từ xa chưa kiểm; không tiền thật. Đồng bộ tài liệu không đồng nghĩa nghiệm thu các phần này.</x:t>
        </x:is>
      </x:c>
      <x:c r="L322" s="24" t="inlineStr">
        <x:is>
          <x:t xml:space="preserve">Hoàn tất</x:t>
        </x:is>
      </x:c>
    </x:row>
    <x:row r="323" ht="100" customHeight="1">
      <x:c r="A323" s="24" t="inlineStr">
        <x:is>
          <x:t xml:space="preserve">FOUNDATION-20260928</x:t>
        </x:is>
      </x:c>
      <x:c r="B323" s="24" t="inlineStr">
        <x:is>
          <x:t xml:space="preserve">IMPLEMENT-01; TECH-01</x:t>
        </x:is>
      </x:c>
      <x:c r="C323" s="24" t="inlineStr">
        <x:is>
          <x:t xml:space="preserve">F02/F18/F20</x:t>
        </x:is>
      </x:c>
      <x:c r="D323" s="24" t="inlineStr">
        <x:is>
          <x:t xml:space="preserve">DOC-047</x:t>
        </x:is>
      </x:c>
      <x:c r="E323" s="24" t="inlineStr">
        <x:is>
          <x:t xml:space="preserve">Đợt 1 danh mục local</x:t>
        </x:is>
      </x:c>
      <x:c r="F323" s="24" t="inlineStr">
        <x:is>
          <x:t xml:space="preserve">Đã cập nhật</x:t>
        </x:is>
      </x:c>
      <x:c r="G323" s="24" t="inlineStr">
        <x:is>
          <x:t xml:space="preserve">Có</x:t>
        </x:is>
      </x:c>
      <x:c r="H323" s="24" t="inlineStr">
        <x:is>
          <x:t xml:space="preserve">Codex</x:t>
        </x:is>
      </x:c>
      <x:c r="I323" s="29" t="n">
        <x:v>46293</x:v>
      </x:c>
      <x:c r="J323" s="24" t="inlineStr">
        <x:is>
          <x:t xml:space="preserve">DOC-065 v1.0; DOC-066; lint/typecheck,7 unit/app,8 integration,smoke web;49 prototype tests,Vite/Storybook52 stories.</x:t>
        </x:is>
      </x:c>
      <x:c r="K323" s="24" t="inlineStr">
        <x:is>
          <x:t xml:space="preserve">Native và CI từ xa chưa kiểm; không tiền thật. Đồng bộ tài liệu không đồng nghĩa nghiệm thu các phần này.</x:t>
        </x:is>
      </x:c>
      <x:c r="L323" s="24" t="inlineStr">
        <x:is>
          <x:t xml:space="preserve">Hoàn tất</x:t>
        </x:is>
      </x:c>
    </x:row>
    <x:row r="324" ht="100" customHeight="1">
      <x:c r="A324" s="24" t="inlineStr">
        <x:is>
          <x:t xml:space="preserve">FOUNDATION-20260928</x:t>
        </x:is>
      </x:c>
      <x:c r="B324" s="24" t="inlineStr">
        <x:is>
          <x:t xml:space="preserve">IMPLEMENT-01; TECH-01</x:t>
        </x:is>
      </x:c>
      <x:c r="C324" s="24" t="inlineStr">
        <x:is>
          <x:t xml:space="preserve">F02/F18/F20</x:t>
        </x:is>
      </x:c>
      <x:c r="D324" s="24" t="inlineStr">
        <x:is>
          <x:t xml:space="preserve">DOC-048</x:t>
        </x:is>
      </x:c>
      <x:c r="E324" s="24" t="inlineStr">
        <x:is>
          <x:t xml:space="preserve">Đợt 1 danh mục local</x:t>
        </x:is>
      </x:c>
      <x:c r="F324" s="24" t="inlineStr">
        <x:is>
          <x:t xml:space="preserve">Đã cập nhật</x:t>
        </x:is>
      </x:c>
      <x:c r="G324" s="24" t="inlineStr">
        <x:is>
          <x:t xml:space="preserve">Có</x:t>
        </x:is>
      </x:c>
      <x:c r="H324" s="24" t="inlineStr">
        <x:is>
          <x:t xml:space="preserve">Codex</x:t>
        </x:is>
      </x:c>
      <x:c r="I324" s="29" t="n">
        <x:v>46293</x:v>
      </x:c>
      <x:c r="J324" s="24" t="inlineStr">
        <x:is>
          <x:t xml:space="preserve">DOC-065 v1.0; DOC-066; lint/typecheck,7 unit/app,8 integration,smoke web;49 prototype tests,Vite/Storybook52 stories.</x:t>
        </x:is>
      </x:c>
      <x:c r="K324" s="24" t="inlineStr">
        <x:is>
          <x:t xml:space="preserve">Native và CI từ xa chưa kiểm; không tiền thật. Đồng bộ tài liệu không đồng nghĩa nghiệm thu các phần này.</x:t>
        </x:is>
      </x:c>
      <x:c r="L324" s="24" t="inlineStr">
        <x:is>
          <x:t xml:space="preserve">Hoàn tất</x:t>
        </x:is>
      </x:c>
    </x:row>
    <x:row r="325" ht="100" customHeight="1">
      <x:c r="A325" s="24" t="inlineStr">
        <x:is>
          <x:t xml:space="preserve">FOUNDATION-20260928</x:t>
        </x:is>
      </x:c>
      <x:c r="B325" s="24" t="inlineStr">
        <x:is>
          <x:t xml:space="preserve">IMPLEMENT-01; TECH-01</x:t>
        </x:is>
      </x:c>
      <x:c r="C325" s="24" t="inlineStr">
        <x:is>
          <x:t xml:space="preserve">F02/F18/F20</x:t>
        </x:is>
      </x:c>
      <x:c r="D325" s="24" t="inlineStr">
        <x:is>
          <x:t xml:space="preserve">DOC-050</x:t>
        </x:is>
      </x:c>
      <x:c r="E325" s="24" t="inlineStr">
        <x:is>
          <x:t xml:space="preserve">Đợt 1 danh mục local</x:t>
        </x:is>
      </x:c>
      <x:c r="F325" s="24" t="inlineStr">
        <x:is>
          <x:t xml:space="preserve">Không áp dụng</x:t>
        </x:is>
      </x:c>
      <x:c r="G325" s="24" t="inlineStr">
        <x:is>
          <x:t xml:space="preserve">Có</x:t>
        </x:is>
      </x:c>
      <x:c r="H325" s="24" t="inlineStr">
        <x:is>
          <x:t xml:space="preserve">Codex</x:t>
        </x:is>
      </x:c>
      <x:c r="I325" s="29" t="n">
        <x:v>46293</x:v>
      </x:c>
      <x:c r="J325" s="24" t="inlineStr">
        <x:is>
          <x:t xml:space="preserve">DOC-065 v1.0; DOC-066; lint/typecheck,7 unit/app,8 integration,smoke web;49 prototype tests,Vite/Storybook52 stories.</x:t>
        </x:is>
      </x:c>
      <x:c r="K325" s="24" t="inlineStr">
        <x:is>
          <x:t xml:space="preserve">Không đổi nghiệp vụ/quyền/trạng thái/thiết kế UI; chỉ triển khai lát danh mục theo nguồn hiện hành. Không mở các miền khác.</x:t>
        </x:is>
      </x:c>
      <x:c r="L325" s="24" t="inlineStr">
        <x:is>
          <x:t xml:space="preserve">Không áp dụng có lý do</x:t>
        </x:is>
      </x:c>
    </x:row>
    <x:row r="326" ht="100" customHeight="1">
      <x:c r="A326" s="24" t="inlineStr">
        <x:is>
          <x:t xml:space="preserve">FOUNDATION-20260928</x:t>
        </x:is>
      </x:c>
      <x:c r="B326" s="24" t="inlineStr">
        <x:is>
          <x:t xml:space="preserve">IMPLEMENT-01; TECH-01</x:t>
        </x:is>
      </x:c>
      <x:c r="C326" s="24" t="inlineStr">
        <x:is>
          <x:t xml:space="preserve">F02/F18/F20</x:t>
        </x:is>
      </x:c>
      <x:c r="D326" s="24" t="inlineStr">
        <x:is>
          <x:t xml:space="preserve">DOC-054</x:t>
        </x:is>
      </x:c>
      <x:c r="E326" s="24" t="inlineStr">
        <x:is>
          <x:t xml:space="preserve">Đợt 1 danh mục local</x:t>
        </x:is>
      </x:c>
      <x:c r="F326" s="24" t="inlineStr">
        <x:is>
          <x:t xml:space="preserve">Đã cập nhật</x:t>
        </x:is>
      </x:c>
      <x:c r="G326" s="24" t="inlineStr">
        <x:is>
          <x:t xml:space="preserve">Có</x:t>
        </x:is>
      </x:c>
      <x:c r="H326" s="24" t="inlineStr">
        <x:is>
          <x:t xml:space="preserve">Codex</x:t>
        </x:is>
      </x:c>
      <x:c r="I326" s="29" t="n">
        <x:v>46293</x:v>
      </x:c>
      <x:c r="J326" s="24" t="inlineStr">
        <x:is>
          <x:t xml:space="preserve">DOC-065 v1.0; DOC-066; lint/typecheck,7 unit/app,8 integration,smoke web;49 prototype tests,Vite/Storybook52 stories.</x:t>
        </x:is>
      </x:c>
      <x:c r="K326" s="24" t="inlineStr">
        <x:is>
          <x:t xml:space="preserve">Native và CI từ xa chưa kiểm; không tiền thật. Đồng bộ tài liệu không đồng nghĩa nghiệm thu các phần này.</x:t>
        </x:is>
      </x:c>
      <x:c r="L326" s="24" t="inlineStr">
        <x:is>
          <x:t xml:space="preserve">Hoàn tất</x:t>
        </x:is>
      </x:c>
    </x:row>
    <x:row r="327" ht="100" customHeight="1">
      <x:c r="A327" s="24" t="inlineStr">
        <x:is>
          <x:t xml:space="preserve">FOUNDATION-20260928</x:t>
        </x:is>
      </x:c>
      <x:c r="B327" s="24" t="inlineStr">
        <x:is>
          <x:t xml:space="preserve">IMPLEMENT-01; TECH-01</x:t>
        </x:is>
      </x:c>
      <x:c r="C327" s="24" t="inlineStr">
        <x:is>
          <x:t xml:space="preserve">F02/F18/F20</x:t>
        </x:is>
      </x:c>
      <x:c r="D327" s="24" t="inlineStr">
        <x:is>
          <x:t xml:space="preserve">DOC-057</x:t>
        </x:is>
      </x:c>
      <x:c r="E327" s="24" t="inlineStr">
        <x:is>
          <x:t xml:space="preserve">Đợt 1 danh mục local</x:t>
        </x:is>
      </x:c>
      <x:c r="F327" s="24" t="inlineStr">
        <x:is>
          <x:t xml:space="preserve">Không áp dụng</x:t>
        </x:is>
      </x:c>
      <x:c r="G327" s="24" t="inlineStr">
        <x:is>
          <x:t xml:space="preserve">Có</x:t>
        </x:is>
      </x:c>
      <x:c r="H327" s="24" t="inlineStr">
        <x:is>
          <x:t xml:space="preserve">Codex</x:t>
        </x:is>
      </x:c>
      <x:c r="I327" s="29" t="n">
        <x:v>46293</x:v>
      </x:c>
      <x:c r="J327" s="24" t="inlineStr">
        <x:is>
          <x:t xml:space="preserve">DOC-065 v1.0; DOC-066; lint/typecheck,7 unit/app,8 integration,smoke web;49 prototype tests,Vite/Storybook52 stories.</x:t>
        </x:is>
      </x:c>
      <x:c r="K327" s="24" t="inlineStr">
        <x:is>
          <x:t xml:space="preserve">Không đổi nghiệp vụ/quyền/trạng thái/thiết kế UI; chỉ triển khai lát danh mục theo nguồn hiện hành. Không mở các miền khác.</x:t>
        </x:is>
      </x:c>
      <x:c r="L327" s="24" t="inlineStr">
        <x:is>
          <x:t xml:space="preserve">Không áp dụng có lý do</x:t>
        </x:is>
      </x:c>
    </x:row>
    <x:row r="328" ht="100" customHeight="1">
      <x:c r="A328" s="24" t="inlineStr">
        <x:is>
          <x:t xml:space="preserve">FOUNDATION-20260928</x:t>
        </x:is>
      </x:c>
      <x:c r="B328" s="24" t="inlineStr">
        <x:is>
          <x:t xml:space="preserve">IMPLEMENT-01; TECH-01</x:t>
        </x:is>
      </x:c>
      <x:c r="C328" s="24" t="inlineStr">
        <x:is>
          <x:t xml:space="preserve">F02/F18/F20</x:t>
        </x:is>
      </x:c>
      <x:c r="D328" s="24" t="inlineStr">
        <x:is>
          <x:t xml:space="preserve">DOC-062</x:t>
        </x:is>
      </x:c>
      <x:c r="E328" s="24" t="inlineStr">
        <x:is>
          <x:t xml:space="preserve">Đợt 1 danh mục local</x:t>
        </x:is>
      </x:c>
      <x:c r="F328" s="24" t="inlineStr">
        <x:is>
          <x:t xml:space="preserve">Không áp dụng</x:t>
        </x:is>
      </x:c>
      <x:c r="G328" s="24" t="inlineStr">
        <x:is>
          <x:t xml:space="preserve">Có</x:t>
        </x:is>
      </x:c>
      <x:c r="H328" s="24" t="inlineStr">
        <x:is>
          <x:t xml:space="preserve">Codex</x:t>
        </x:is>
      </x:c>
      <x:c r="I328" s="29" t="n">
        <x:v>46293</x:v>
      </x:c>
      <x:c r="J328" s="24" t="inlineStr">
        <x:is>
          <x:t xml:space="preserve">DOC-065 v1.0; DOC-066; lint/typecheck,7 unit/app,8 integration,smoke web;49 prototype tests,Vite/Storybook52 stories.</x:t>
        </x:is>
      </x:c>
      <x:c r="K328" s="24" t="inlineStr">
        <x:is>
          <x:t xml:space="preserve">Không đổi nghiệp vụ/quyền/trạng thái/thiết kế UI; chỉ triển khai lát danh mục theo nguồn hiện hành. Không mở các miền khác.</x:t>
        </x:is>
      </x:c>
      <x:c r="L328" s="24" t="inlineStr">
        <x:is>
          <x:t xml:space="preserve">Không áp dụng có lý do</x:t>
        </x:is>
      </x:c>
    </x:row>
    <x:row r="329" ht="100" customHeight="1">
      <x:c r="A329" s="24" t="inlineStr">
        <x:is>
          <x:t xml:space="preserve">FOUNDATION-20260928</x:t>
        </x:is>
      </x:c>
      <x:c r="B329" s="24" t="inlineStr">
        <x:is>
          <x:t xml:space="preserve">IMPLEMENT-01; TECH-01</x:t>
        </x:is>
      </x:c>
      <x:c r="C329" s="24" t="inlineStr">
        <x:is>
          <x:t xml:space="preserve">F02/F18/F20</x:t>
        </x:is>
      </x:c>
      <x:c r="D329" s="24" t="inlineStr">
        <x:is>
          <x:t xml:space="preserve">DOC-063</x:t>
        </x:is>
      </x:c>
      <x:c r="E329" s="24" t="inlineStr">
        <x:is>
          <x:t xml:space="preserve">Đợt 1 danh mục local</x:t>
        </x:is>
      </x:c>
      <x:c r="F329" s="24" t="inlineStr">
        <x:is>
          <x:t xml:space="preserve">Không áp dụng</x:t>
        </x:is>
      </x:c>
      <x:c r="G329" s="24" t="inlineStr">
        <x:is>
          <x:t xml:space="preserve">Có</x:t>
        </x:is>
      </x:c>
      <x:c r="H329" s="24" t="inlineStr">
        <x:is>
          <x:t xml:space="preserve">Codex</x:t>
        </x:is>
      </x:c>
      <x:c r="I329" s="29" t="n">
        <x:v>46293</x:v>
      </x:c>
      <x:c r="J329" s="24" t="inlineStr">
        <x:is>
          <x:t xml:space="preserve">DOC-065 v1.0; DOC-066; lint/typecheck,7 unit/app,8 integration,smoke web;49 prototype tests,Vite/Storybook52 stories.</x:t>
        </x:is>
      </x:c>
      <x:c r="K329" s="24" t="inlineStr">
        <x:is>
          <x:t xml:space="preserve">Không đổi nghiệp vụ/quyền/trạng thái/thiết kế UI; chỉ triển khai lát danh mục theo nguồn hiện hành. Không mở các miền khác.</x:t>
        </x:is>
      </x:c>
      <x:c r="L329" s="24" t="inlineStr">
        <x:is>
          <x:t xml:space="preserve">Không áp dụng có lý do</x:t>
        </x:is>
      </x:c>
    </x:row>
    <x:row r="330" ht="100" customHeight="1">
      <x:c r="A330" s="24" t="inlineStr">
        <x:is>
          <x:t xml:space="preserve">FOUNDATION-20260928</x:t>
        </x:is>
      </x:c>
      <x:c r="B330" s="24" t="inlineStr">
        <x:is>
          <x:t xml:space="preserve">IMPLEMENT-01; TECH-01</x:t>
        </x:is>
      </x:c>
      <x:c r="C330" s="24" t="inlineStr">
        <x:is>
          <x:t xml:space="preserve">F02/F18/F20</x:t>
        </x:is>
      </x:c>
      <x:c r="D330" s="24" t="inlineStr">
        <x:is>
          <x:t xml:space="preserve">DOC-064</x:t>
        </x:is>
      </x:c>
      <x:c r="E330" s="24" t="inlineStr">
        <x:is>
          <x:t xml:space="preserve">Đợt 1 danh mục local</x:t>
        </x:is>
      </x:c>
      <x:c r="F330" s="24" t="inlineStr">
        <x:is>
          <x:t xml:space="preserve">Đã cập nhật</x:t>
        </x:is>
      </x:c>
      <x:c r="G330" s="24" t="inlineStr">
        <x:is>
          <x:t xml:space="preserve">Có</x:t>
        </x:is>
      </x:c>
      <x:c r="H330" s="24" t="inlineStr">
        <x:is>
          <x:t xml:space="preserve">Codex</x:t>
        </x:is>
      </x:c>
      <x:c r="I330" s="29" t="n">
        <x:v>46293</x:v>
      </x:c>
      <x:c r="J330" s="24" t="inlineStr">
        <x:is>
          <x:t xml:space="preserve">DOC-065 v1.0; DOC-066; lint/typecheck,7 unit/app,8 integration,smoke web;49 prototype tests,Vite/Storybook52 stories.</x:t>
        </x:is>
      </x:c>
      <x:c r="K330" s="24" t="inlineStr">
        <x:is>
          <x:t xml:space="preserve">Native và CI từ xa chưa kiểm; không tiền thật. Đồng bộ tài liệu không đồng nghĩa nghiệm thu các phần này.</x:t>
        </x:is>
      </x:c>
      <x:c r="L330" s="24" t="inlineStr">
        <x:is>
          <x:t xml:space="preserve">Hoàn tất</x:t>
        </x:is>
      </x:c>
    </x:row>
    <x:row r="331" ht="100" customHeight="1">
      <x:c r="A331" s="24" t="inlineStr">
        <x:is>
          <x:t xml:space="preserve">FOUNDATION-20260928</x:t>
        </x:is>
      </x:c>
      <x:c r="B331" s="24" t="inlineStr">
        <x:is>
          <x:t xml:space="preserve">IMPLEMENT-01; TECH-01</x:t>
        </x:is>
      </x:c>
      <x:c r="C331" s="24" t="inlineStr">
        <x:is>
          <x:t xml:space="preserve">F02/F18/F20</x:t>
        </x:is>
      </x:c>
      <x:c r="D331" s="24" t="inlineStr">
        <x:is>
          <x:t xml:space="preserve">DOC-065</x:t>
        </x:is>
      </x:c>
      <x:c r="E331" s="24" t="inlineStr">
        <x:is>
          <x:t xml:space="preserve">Đợt 1 danh mục local</x:t>
        </x:is>
      </x:c>
      <x:c r="F331" s="24" t="inlineStr">
        <x:is>
          <x:t xml:space="preserve">Đã cập nhật</x:t>
        </x:is>
      </x:c>
      <x:c r="G331" s="24" t="inlineStr">
        <x:is>
          <x:t xml:space="preserve">Có</x:t>
        </x:is>
      </x:c>
      <x:c r="H331" s="24" t="inlineStr">
        <x:is>
          <x:t xml:space="preserve">Codex</x:t>
        </x:is>
      </x:c>
      <x:c r="I331" s="29" t="n">
        <x:v>46293</x:v>
      </x:c>
      <x:c r="J331" s="24" t="inlineStr">
        <x:is>
          <x:t xml:space="preserve">DOC-065 v1.0; DOC-066; lint/typecheck,7 unit/app,8 integration,smoke web;49 prototype tests,Vite/Storybook52 stories.</x:t>
        </x:is>
      </x:c>
      <x:c r="K331" s="24" t="inlineStr">
        <x:is>
          <x:t xml:space="preserve">Native và CI từ xa chưa kiểm; không tiền thật. Đồng bộ tài liệu không đồng nghĩa nghiệm thu các phần này.</x:t>
        </x:is>
      </x:c>
      <x:c r="L331" s="24" t="inlineStr">
        <x:is>
          <x:t xml:space="preserve">Hoàn tất</x:t>
        </x:is>
      </x:c>
    </x:row>
    <x:row r="332" ht="100" customHeight="1">
      <x:c r="A332" s="24" t="inlineStr">
        <x:is>
          <x:t xml:space="preserve">FOUNDATION-20260928</x:t>
        </x:is>
      </x:c>
      <x:c r="B332" s="24" t="inlineStr">
        <x:is>
          <x:t xml:space="preserve">IMPLEMENT-01; TECH-01</x:t>
        </x:is>
      </x:c>
      <x:c r="C332" s="24" t="inlineStr">
        <x:is>
          <x:t xml:space="preserve">F02/F18/F20</x:t>
        </x:is>
      </x:c>
      <x:c r="D332" s="24" t="inlineStr">
        <x:is>
          <x:t xml:space="preserve">DOC-066</x:t>
        </x:is>
      </x:c>
      <x:c r="E332" s="24" t="inlineStr">
        <x:is>
          <x:t xml:space="preserve">Đợt 1 danh mục local</x:t>
        </x:is>
      </x:c>
      <x:c r="F332" s="24" t="inlineStr">
        <x:is>
          <x:t xml:space="preserve">Đã cập nhật</x:t>
        </x:is>
      </x:c>
      <x:c r="G332" s="24" t="inlineStr">
        <x:is>
          <x:t xml:space="preserve">Có</x:t>
        </x:is>
      </x:c>
      <x:c r="H332" s="24" t="inlineStr">
        <x:is>
          <x:t xml:space="preserve">Codex</x:t>
        </x:is>
      </x:c>
      <x:c r="I332" s="29" t="n">
        <x:v>46293</x:v>
      </x:c>
      <x:c r="J332" s="24" t="inlineStr">
        <x:is>
          <x:t xml:space="preserve">DOC-065 v1.0; DOC-066; lint/typecheck,7 unit/app,8 integration,smoke web;49 prototype tests,Vite/Storybook52 stories.</x:t>
        </x:is>
      </x:c>
      <x:c r="K332" s="24" t="inlineStr">
        <x:is>
          <x:t xml:space="preserve">Native và CI từ xa chưa kiểm; không tiền thật. Đồng bộ tài liệu không đồng nghĩa nghiệm thu các phần này.</x:t>
        </x:is>
      </x:c>
      <x:c r="L332" s="24" t="inlineStr">
        <x:is>
          <x:t xml:space="preserve">Hoàn tất</x:t>
        </x:is>
      </x:c>
    </x:row>
    <x:row r="333" ht="100" customHeight="1">
      <x:c r="A333" s="24" t="inlineStr">
        <x:is>
          <x:t xml:space="preserve">FOUNDATION-20260928</x:t>
        </x:is>
      </x:c>
      <x:c r="B333" s="24" t="inlineStr">
        <x:is>
          <x:t xml:space="preserve">IMPLEMENT-01; TECH-01</x:t>
        </x:is>
      </x:c>
      <x:c r="C333" s="24" t="inlineStr">
        <x:is>
          <x:t xml:space="preserve">F02/F18/F20</x:t>
        </x:is>
      </x:c>
      <x:c r="D333" s="24" t="inlineStr">
        <x:is>
          <x:t xml:space="preserve">DOC-067</x:t>
        </x:is>
      </x:c>
      <x:c r="E333" s="24" t="inlineStr">
        <x:is>
          <x:t xml:space="preserve">Đợt 1 danh mục local</x:t>
        </x:is>
      </x:c>
      <x:c r="F333" s="24" t="inlineStr">
        <x:is>
          <x:t xml:space="preserve">Đã cập nhật</x:t>
        </x:is>
      </x:c>
      <x:c r="G333" s="24" t="inlineStr">
        <x:is>
          <x:t xml:space="preserve">Có</x:t>
        </x:is>
      </x:c>
      <x:c r="H333" s="24" t="inlineStr">
        <x:is>
          <x:t xml:space="preserve">Codex</x:t>
        </x:is>
      </x:c>
      <x:c r="I333" s="29" t="n">
        <x:v>46293</x:v>
      </x:c>
      <x:c r="J333" s="24" t="inlineStr">
        <x:is>
          <x:t xml:space="preserve">Snapshot v0.1 giữ nguyên bytes; bản hiện hành v0.1.1 đăng ký DOC-040/DOC-018.</x:t>
        </x:is>
      </x:c>
      <x:c r="K333" s="24" t="inlineStr">
        <x:is>
          <x:t xml:space="preserve">Native và CI từ xa chưa kiểm; không tiền thật. Đồng bộ tài liệu không đồng nghĩa nghiệm thu các phần này.</x:t>
        </x:is>
      </x:c>
      <x:c r="L333" s="24" t="inlineStr">
        <x:is>
          <x:t xml:space="preserve">Hoàn tất</x:t>
        </x:is>
      </x:c>
    </x:row>
    <x:row r="334" ht="100" customHeight="1">
      <x:c r="A334" s="24" t="inlineStr">
        <x:is>
          <x:t xml:space="preserve">FOUNDATION-20260928</x:t>
        </x:is>
      </x:c>
      <x:c r="B334" s="24" t="inlineStr">
        <x:is>
          <x:t xml:space="preserve">IMPLEMENT-01; TECH-01</x:t>
        </x:is>
      </x:c>
      <x:c r="C334" s="24" t="inlineStr">
        <x:is>
          <x:t xml:space="preserve">F02/F18/F20</x:t>
        </x:is>
      </x:c>
      <x:c r="D334" s="24" t="inlineStr">
        <x:is>
          <x:t xml:space="preserve">DOC-068</x:t>
        </x:is>
      </x:c>
      <x:c r="E334" s="24" t="inlineStr">
        <x:is>
          <x:t xml:space="preserve">Đợt 1 danh mục local</x:t>
        </x:is>
      </x:c>
      <x:c r="F334" s="24" t="inlineStr">
        <x:is>
          <x:t xml:space="preserve">Đã cập nhật</x:t>
        </x:is>
      </x:c>
      <x:c r="G334" s="24" t="inlineStr">
        <x:is>
          <x:t xml:space="preserve">Có</x:t>
        </x:is>
      </x:c>
      <x:c r="H334" s="24" t="inlineStr">
        <x:is>
          <x:t xml:space="preserve">Codex</x:t>
        </x:is>
      </x:c>
      <x:c r="I334" s="29" t="n">
        <x:v>46293</x:v>
      </x:c>
      <x:c r="J334" s="24" t="inlineStr">
        <x:is>
          <x:t xml:space="preserve">Snapshot v0.1 giữ nguyên bytes; bản hiện hành v0.1.1 đăng ký DOC-040/DOC-018.</x:t>
        </x:is>
      </x:c>
      <x:c r="K334" s="24" t="inlineStr">
        <x:is>
          <x:t xml:space="preserve">Native và CI từ xa chưa kiểm; không tiền thật. Đồng bộ tài liệu không đồng nghĩa nghiệm thu các phần này.</x:t>
        </x:is>
      </x:c>
      <x:c r="L334" s="24" t="inlineStr">
        <x:is>
          <x:t xml:space="preserve">Hoàn tất</x:t>
        </x:is>
      </x:c>
    </x:row>
    <x:row r="335" ht="100" customHeight="1">
      <x:c r="A335" s="24" t="inlineStr">
        <x:is>
          <x:t xml:space="preserve">FOUNDATION-20260928</x:t>
        </x:is>
      </x:c>
      <x:c r="B335" s="24" t="inlineStr">
        <x:is>
          <x:t xml:space="preserve">IMPLEMENT-01; TECH-01</x:t>
        </x:is>
      </x:c>
      <x:c r="C335" s="24" t="inlineStr">
        <x:is>
          <x:t xml:space="preserve">F02/F18/F20</x:t>
        </x:is>
      </x:c>
      <x:c r="D335" s="24" t="inlineStr">
        <x:is>
          <x:t xml:space="preserve">PLAN-001</x:t>
        </x:is>
      </x:c>
      <x:c r="E335" s="24" t="inlineStr">
        <x:is>
          <x:t xml:space="preserve">Đợt 1 danh mục local</x:t>
        </x:is>
      </x:c>
      <x:c r="F335" s="24" t="inlineStr">
        <x:is>
          <x:t xml:space="preserve">Đã cập nhật</x:t>
        </x:is>
      </x:c>
      <x:c r="G335" s="24" t="inlineStr">
        <x:is>
          <x:t xml:space="preserve">Có</x:t>
        </x:is>
      </x:c>
      <x:c r="H335" s="24" t="inlineStr">
        <x:is>
          <x:t xml:space="preserve">Codex</x:t>
        </x:is>
      </x:c>
      <x:c r="I335" s="29" t="n">
        <x:v>46293</x:v>
      </x:c>
      <x:c r="J335" s="24" t="inlineStr">
        <x:is>
          <x:t xml:space="preserve">DOC-065 v1.0; DOC-066; lint/typecheck,7 unit/app,8 integration,smoke web;49 prototype tests,Vite/Storybook52 stories.</x:t>
        </x:is>
      </x:c>
      <x:c r="K335" s="24" t="inlineStr">
        <x:is>
          <x:t xml:space="preserve">Native và CI từ xa chưa kiểm; không tiền thật. Đồng bộ tài liệu không đồng nghĩa nghiệm thu các phần này.</x:t>
        </x:is>
      </x:c>
      <x:c r="L335" s="24" t="inlineStr">
        <x:is>
          <x:t xml:space="preserve">Hoàn tất</x:t>
        </x:is>
      </x:c>
    </x:row>
    <x:row r="336" ht="100" customHeight="1">
      <x:c r="A336" s="24" t="inlineStr">
        <x:is>
          <x:t xml:space="preserve">FOUNDATION-20260928</x:t>
        </x:is>
      </x:c>
      <x:c r="B336" s="24" t="inlineStr">
        <x:is>
          <x:t xml:space="preserve">IMPLEMENT-01; TECH-01</x:t>
        </x:is>
      </x:c>
      <x:c r="C336" s="24" t="inlineStr">
        <x:is>
          <x:t xml:space="preserve">F02/F18/F20</x:t>
        </x:is>
      </x:c>
      <x:c r="D336" s="24" t="inlineStr">
        <x:is>
          <x:t xml:space="preserve">PLAN-002</x:t>
        </x:is>
      </x:c>
      <x:c r="E336" s="24" t="inlineStr">
        <x:is>
          <x:t xml:space="preserve">Đợt 1 danh mục local</x:t>
        </x:is>
      </x:c>
      <x:c r="F336" s="24" t="inlineStr">
        <x:is>
          <x:t xml:space="preserve">Đã cập nhật</x:t>
        </x:is>
      </x:c>
      <x:c r="G336" s="24" t="inlineStr">
        <x:is>
          <x:t xml:space="preserve">Có</x:t>
        </x:is>
      </x:c>
      <x:c r="H336" s="24" t="inlineStr">
        <x:is>
          <x:t xml:space="preserve">Codex</x:t>
        </x:is>
      </x:c>
      <x:c r="I336" s="29" t="n">
        <x:v>46293</x:v>
      </x:c>
      <x:c r="J336" s="24" t="inlineStr">
        <x:is>
          <x:t xml:space="preserve">DOC-065 v1.0; DOC-066; lint/typecheck,7 unit/app,8 integration,smoke web;49 prototype tests,Vite/Storybook52 stories.</x:t>
        </x:is>
      </x:c>
      <x:c r="K336" s="24" t="inlineStr">
        <x:is>
          <x:t xml:space="preserve">Native và CI từ xa chưa kiểm; không tiền thật. Đồng bộ tài liệu không đồng nghĩa nghiệm thu các phần này.</x:t>
        </x:is>
      </x:c>
      <x:c r="L336" s="24" t="inlineStr">
        <x:is>
          <x:t xml:space="preserve">Hoàn tất</x:t>
        </x:is>
      </x:c>
    </x:row>
    <x:row r="337" ht="100" customHeight="1">
      <x:c r="A337" s="24" t="inlineStr">
        <x:is>
          <x:t xml:space="preserve">FOUNDATION-20260928</x:t>
        </x:is>
      </x:c>
      <x:c r="B337" s="24" t="inlineStr">
        <x:is>
          <x:t xml:space="preserve">IMPLEMENT-01; TECH-01</x:t>
        </x:is>
      </x:c>
      <x:c r="C337" s="24" t="inlineStr">
        <x:is>
          <x:t xml:space="preserve">F02/F18/F20</x:t>
        </x:is>
      </x:c>
      <x:c r="D337" s="24" t="inlineStr">
        <x:is>
          <x:t xml:space="preserve">PLAN-003</x:t>
        </x:is>
      </x:c>
      <x:c r="E337" s="24" t="inlineStr">
        <x:is>
          <x:t xml:space="preserve">Đợt 1 danh mục local</x:t>
        </x:is>
      </x:c>
      <x:c r="F337" s="24" t="inlineStr">
        <x:is>
          <x:t xml:space="preserve">Đã cập nhật</x:t>
        </x:is>
      </x:c>
      <x:c r="G337" s="24" t="inlineStr">
        <x:is>
          <x:t xml:space="preserve">Có</x:t>
        </x:is>
      </x:c>
      <x:c r="H337" s="24" t="inlineStr">
        <x:is>
          <x:t xml:space="preserve">Codex</x:t>
        </x:is>
      </x:c>
      <x:c r="I337" s="29" t="n">
        <x:v>46293</x:v>
      </x:c>
      <x:c r="J337" s="24" t="inlineStr">
        <x:is>
          <x:t xml:space="preserve">DOC-065 v1.0; DOC-066; lint/typecheck,7 unit/app,8 integration,smoke web;49 prototype tests,Vite/Storybook52 stories.</x:t>
        </x:is>
      </x:c>
      <x:c r="K337" s="24" t="inlineStr">
        <x:is>
          <x:t xml:space="preserve">Native và CI từ xa chưa kiểm; không tiền thật. Đồng bộ tài liệu không đồng nghĩa nghiệm thu các phần này.</x:t>
        </x:is>
      </x:c>
      <x:c r="L337" s="24" t="inlineStr">
        <x:is>
          <x:t xml:space="preserve">Hoàn tất</x:t>
        </x:is>
      </x:c>
    </x:row>
    <x:row r="338" ht="100" customHeight="1">
      <x:c r="A338" s="24" t="inlineStr">
        <x:is>
          <x:t xml:space="preserve">FOUNDATION-20260928</x:t>
        </x:is>
      </x:c>
      <x:c r="B338" s="24" t="inlineStr">
        <x:is>
          <x:t xml:space="preserve">IMPLEMENT-01; TECH-01</x:t>
        </x:is>
      </x:c>
      <x:c r="C338" s="24" t="inlineStr">
        <x:is>
          <x:t xml:space="preserve">F02/F18/F20</x:t>
        </x:is>
      </x:c>
      <x:c r="D338" s="24" t="inlineStr">
        <x:is>
          <x:t xml:space="preserve">PLAN-004</x:t>
        </x:is>
      </x:c>
      <x:c r="E338" s="24" t="inlineStr">
        <x:is>
          <x:t xml:space="preserve">Đợt 1 danh mục local</x:t>
        </x:is>
      </x:c>
      <x:c r="F338" s="24" t="inlineStr">
        <x:is>
          <x:t xml:space="preserve">Đã cập nhật</x:t>
        </x:is>
      </x:c>
      <x:c r="G338" s="24" t="inlineStr">
        <x:is>
          <x:t xml:space="preserve">Có</x:t>
        </x:is>
      </x:c>
      <x:c r="H338" s="24" t="inlineStr">
        <x:is>
          <x:t xml:space="preserve">Codex</x:t>
        </x:is>
      </x:c>
      <x:c r="I338" s="29" t="n">
        <x:v>46293</x:v>
      </x:c>
      <x:c r="J338" s="24" t="inlineStr">
        <x:is>
          <x:t xml:space="preserve">DOC-065 v1.0; DOC-066; lint/typecheck,7 unit/app,8 integration,smoke web;49 prototype tests,Vite/Storybook52 stories.</x:t>
        </x:is>
      </x:c>
      <x:c r="K338" s="24" t="inlineStr">
        <x:is>
          <x:t xml:space="preserve">Đợt 1 chỉ hoàn thành runbook local/test và CI template. Production deploy/backup ngoài phạm vi, PLAN-004 toàn bộ còn Cần đồng bộ.</x:t>
        </x:is>
      </x:c>
      <x:c r="L338" s="24" t="inlineStr">
        <x:is>
          <x:t xml:space="preserve">Hoàn tất</x:t>
        </x:is>
      </x:c>
    </x:row>
    <x:row r="339" ht="100" customHeight="1">
      <x:c r="A339" s="24" t="inlineStr">
        <x:is>
          <x:t xml:space="preserve">FOUNDATION-20260928</x:t>
        </x:is>
      </x:c>
      <x:c r="B339" s="24" t="inlineStr">
        <x:is>
          <x:t xml:space="preserve">IMPLEMENT-01; TECH-01</x:t>
        </x:is>
      </x:c>
      <x:c r="C339" s="24" t="inlineStr">
        <x:is>
          <x:t xml:space="preserve">F02/F18/F20</x:t>
        </x:is>
      </x:c>
      <x:c r="D339" s="24" t="inlineStr">
        <x:is>
          <x:t xml:space="preserve">PLAN-005</x:t>
        </x:is>
      </x:c>
      <x:c r="E339" s="24" t="inlineStr">
        <x:is>
          <x:t xml:space="preserve">Đợt 1 danh mục local</x:t>
        </x:is>
      </x:c>
      <x:c r="F339" s="24" t="inlineStr">
        <x:is>
          <x:t xml:space="preserve">Không áp dụng</x:t>
        </x:is>
      </x:c>
      <x:c r="G339" s="24" t="inlineStr">
        <x:is>
          <x:t xml:space="preserve">Có</x:t>
        </x:is>
      </x:c>
      <x:c r="H339" s="24" t="inlineStr">
        <x:is>
          <x:t xml:space="preserve">Codex</x:t>
        </x:is>
      </x:c>
      <x:c r="I339" s="29" t="n">
        <x:v>46293</x:v>
      </x:c>
      <x:c r="J339" s="24" t="inlineStr">
        <x:is>
          <x:t xml:space="preserve">DOC-065 v1.0; DOC-066; lint/typecheck,7 unit/app,8 integration,smoke web;49 prototype tests,Vite/Storybook52 stories.</x:t>
        </x:is>
      </x:c>
      <x:c r="K339" s="24" t="inlineStr">
        <x:is>
          <x:t xml:space="preserve">Không đổi nghiệp vụ/quyền/trạng thái/thiết kế UI; chỉ triển khai lát danh mục theo nguồn hiện hành. Không mở các miền khác.</x:t>
        </x:is>
      </x:c>
      <x:c r="L339" s="24" t="inlineStr">
        <x:is>
          <x:t xml:space="preserve">Không áp dụng có lý do</x:t>
        </x:is>
      </x:c>
    </x:row>
    <x:row r="340" ht="100" customHeight="1">
      <x:c r="A340" s="24" t="inlineStr">
        <x:is>
          <x:t xml:space="preserve">FOUNDATION-20260928</x:t>
        </x:is>
      </x:c>
      <x:c r="B340" s="24" t="inlineStr">
        <x:is>
          <x:t xml:space="preserve">IMPLEMENT-01; TECH-01</x:t>
        </x:is>
      </x:c>
      <x:c r="C340" s="24" t="inlineStr">
        <x:is>
          <x:t xml:space="preserve">F02/F18/F20</x:t>
        </x:is>
      </x:c>
      <x:c r="D340" s="24" t="inlineStr">
        <x:is>
          <x:t xml:space="preserve">PLAN-006</x:t>
        </x:is>
      </x:c>
      <x:c r="E340" s="24" t="inlineStr">
        <x:is>
          <x:t xml:space="preserve">Đợt 1 danh mục local</x:t>
        </x:is>
      </x:c>
      <x:c r="F340" s="24" t="inlineStr">
        <x:is>
          <x:t xml:space="preserve">Không áp dụng</x:t>
        </x:is>
      </x:c>
      <x:c r="G340" s="24" t="inlineStr">
        <x:is>
          <x:t xml:space="preserve">Có</x:t>
        </x:is>
      </x:c>
      <x:c r="H340" s="24" t="inlineStr">
        <x:is>
          <x:t xml:space="preserve">Codex</x:t>
        </x:is>
      </x:c>
      <x:c r="I340" s="29" t="n">
        <x:v>46293</x:v>
      </x:c>
      <x:c r="J340" s="24" t="inlineStr">
        <x:is>
          <x:t xml:space="preserve">DOC-065 v1.0; DOC-066; lint/typecheck,7 unit/app,8 integration,smoke web;49 prototype tests,Vite/Storybook52 stories.</x:t>
        </x:is>
      </x:c>
      <x:c r="K340" s="24" t="inlineStr">
        <x:is>
          <x:t xml:space="preserve">Không đổi nghiệp vụ/quyền/trạng thái/thiết kế UI; chỉ triển khai lát danh mục theo nguồn hiện hành. Không mở các miền khác.</x:t>
        </x:is>
      </x:c>
      <x:c r="L340" s="24" t="inlineStr">
        <x:is>
          <x:t xml:space="preserve">Không áp dụng có lý do</x:t>
        </x:is>
      </x:c>
    </x:row>
    <x:row r="341" ht="100" customHeight="1">
      <x:c r="A341" s="24" t="inlineStr">
        <x:is>
          <x:t xml:space="preserve">FOUNDATION-20260928</x:t>
        </x:is>
      </x:c>
      <x:c r="B341" s="24" t="inlineStr">
        <x:is>
          <x:t xml:space="preserve">IMPLEMENT-01; TECH-01</x:t>
        </x:is>
      </x:c>
      <x:c r="C341" s="24" t="inlineStr">
        <x:is>
          <x:t xml:space="preserve">F02/F18/F20</x:t>
        </x:is>
      </x:c>
      <x:c r="D341" s="24" t="inlineStr">
        <x:is>
          <x:t xml:space="preserve">PLAN-007</x:t>
        </x:is>
      </x:c>
      <x:c r="E341" s="24" t="inlineStr">
        <x:is>
          <x:t xml:space="preserve">Đợt 1 danh mục local</x:t>
        </x:is>
      </x:c>
      <x:c r="F341" s="24" t="inlineStr">
        <x:is>
          <x:t xml:space="preserve">Không áp dụng</x:t>
        </x:is>
      </x:c>
      <x:c r="G341" s="24" t="inlineStr">
        <x:is>
          <x:t xml:space="preserve">Có</x:t>
        </x:is>
      </x:c>
      <x:c r="H341" s="24" t="inlineStr">
        <x:is>
          <x:t xml:space="preserve">Codex</x:t>
        </x:is>
      </x:c>
      <x:c r="I341" s="29" t="n">
        <x:v>46293</x:v>
      </x:c>
      <x:c r="J341" s="24" t="inlineStr">
        <x:is>
          <x:t xml:space="preserve">DOC-065 v1.0; DOC-066; lint/typecheck,7 unit/app,8 integration,smoke web;49 prototype tests,Vite/Storybook52 stories.</x:t>
        </x:is>
      </x:c>
      <x:c r="K341" s="24" t="inlineStr">
        <x:is>
          <x:t xml:space="preserve">Không đổi nghiệp vụ/quyền/trạng thái/thiết kế UI; chỉ triển khai lát danh mục theo nguồn hiện hành. Không mở các miền khác.</x:t>
        </x:is>
      </x:c>
      <x:c r="L341" s="24" t="inlineStr">
        <x:is>
          <x:t xml:space="preserve">Không áp dụng có lý do</x:t>
        </x:is>
      </x:c>
    </x:row>
    <x:row r="342" ht="100" customHeight="1">
      <x:c r="A342" s="24" t="inlineStr">
        <x:is>
          <x:t xml:space="preserve">FOUNDATION-20260928</x:t>
        </x:is>
      </x:c>
      <x:c r="B342" s="24" t="inlineStr">
        <x:is>
          <x:t xml:space="preserve">IMPLEMENT-01; TECH-01</x:t>
        </x:is>
      </x:c>
      <x:c r="C342" s="24" t="inlineStr">
        <x:is>
          <x:t xml:space="preserve">F02/F18/F20</x:t>
        </x:is>
      </x:c>
      <x:c r="D342" s="24" t="inlineStr">
        <x:is>
          <x:t xml:space="preserve">PLAN-008</x:t>
        </x:is>
      </x:c>
      <x:c r="E342" s="24" t="inlineStr">
        <x:is>
          <x:t xml:space="preserve">Đợt 1 danh mục local</x:t>
        </x:is>
      </x:c>
      <x:c r="F342" s="24" t="inlineStr">
        <x:is>
          <x:t xml:space="preserve">Đã cập nhật</x:t>
        </x:is>
      </x:c>
      <x:c r="G342" s="24" t="inlineStr">
        <x:is>
          <x:t xml:space="preserve">Có</x:t>
        </x:is>
      </x:c>
      <x:c r="H342" s="24" t="inlineStr">
        <x:is>
          <x:t xml:space="preserve">Codex</x:t>
        </x:is>
      </x:c>
      <x:c r="I342" s="29" t="n">
        <x:v>46293</x:v>
      </x:c>
      <x:c r="J342" s="24" t="inlineStr">
        <x:is>
          <x:t xml:space="preserve">DOC-065 v1.0; DOC-066; lint/typecheck,7 unit/app,8 integration,smoke web;49 prototype tests,Vite/Storybook52 stories.</x:t>
        </x:is>
      </x:c>
      <x:c r="K342" s="24" t="inlineStr">
        <x:is>
          <x:t xml:space="preserve">Native và CI từ xa chưa kiểm; không tiền thật. Đồng bộ tài liệu không đồng nghĩa nghiệm thu các phần này.</x:t>
        </x:is>
      </x:c>
      <x:c r="L342" s="24" t="inlineStr">
        <x:is>
          <x:t xml:space="preserve">Hoàn tất</x:t>
        </x:is>
      </x:c>
    </x:row>
    <x:row r="343" ht="100" customHeight="1">
      <x:c r="A343" s="24" t="inlineStr">
        <x:is>
          <x:t xml:space="preserve">FOUNDATION-20260928</x:t>
        </x:is>
      </x:c>
      <x:c r="B343" s="24" t="inlineStr">
        <x:is>
          <x:t xml:space="preserve">IMPL-OPEN-01</x:t>
        </x:is>
      </x:c>
      <x:c r="C343" s="24" t="inlineStr">
        <x:is>
          <x:t xml:space="preserve">F18</x:t>
        </x:is>
      </x:c>
      <x:c r="D343" s="24" t="inlineStr">
        <x:is>
          <x:t xml:space="preserve">QA-060 / CI remote</x:t>
        </x:is>
      </x:c>
      <x:c r="E343" s="24" t="inlineStr">
        <x:is>
          <x:t xml:space="preserve">Kiểm native và CI từ xa</x:t>
        </x:is>
      </x:c>
      <x:c r="F343" s="24" t="inlineStr">
        <x:is>
          <x:t xml:space="preserve">Chưa cập nhật</x:t>
        </x:is>
      </x:c>
      <x:c r="G343" s="24" t="inlineStr">
        <x:is>
          <x:t xml:space="preserve">Không</x:t>
        </x:is>
      </x:c>
      <x:c r="H343" s="24" t="inlineStr">
        <x:is>
          <x:t xml:space="preserve">Codex</x:t>
        </x:is>
      </x:c>
      <x:c r="I343" s="29" t="n">
        <x:v>46293</x:v>
      </x:c>
      <x:c r="J343" s="24" t="inlineStr">
        <x:is>
          <x:t xml:space="preserve">DOC-065 v1.2: thiếu native; repo đã push REPO-01; CI template chưa kích hoạt.</x:t>
        </x:is>
      </x:c>
      <x:c r="K343" s="24" t="inlineStr">
        <x:is>
          <x:t xml:space="preserve">Chưa kiểm native và remote CI; không dùng web/mock để đánh dấu đạt.</x:t>
        </x:is>
      </x:c>
      <x:c r="L343" s="24" t="inlineStr">
        <x:is>
          <x:t xml:space="preserve">Chưa hoàn tất</x:t>
        </x:is>
      </x:c>
    </x:row>
    <x:row r="344" ht="90" customHeight="1">
      <x:c r="A344" s="24" t="inlineStr">
        <x:is>
          <x:t xml:space="preserve">REPO-20260928</x:t>
        </x:is>
      </x:c>
      <x:c r="B344" s="24" t="inlineStr">
        <x:is>
          <x:t xml:space="preserve">REPO-01</x:t>
        </x:is>
      </x:c>
      <x:c r="C344" s="24" t="inlineStr">
        <x:is>
          <x:t xml:space="preserve">F18/F20</x:t>
        </x:is>
      </x:c>
      <x:c r="D344" s="24" t="inlineStr">
        <x:is>
          <x:t xml:space="preserve">DOC-000</x:t>
        </x:is>
      </x:c>
      <x:c r="E344" s="24" t="inlineStr">
        <x:is>
          <x:t xml:space="preserve">Chuẩn bị repository và push</x:t>
        </x:is>
      </x:c>
      <x:c r="F344" s="24" t="inlineStr">
        <x:is>
          <x:t xml:space="preserve">Đã cập nhật</x:t>
        </x:is>
      </x:c>
      <x:c r="G344" s="24" t="inlineStr">
        <x:is>
          <x:t xml:space="preserve">Có</x:t>
        </x:is>
      </x:c>
      <x:c r="H344" s="24" t="inlineStr">
        <x:is>
          <x:t xml:space="preserve">Codex</x:t>
        </x:is>
      </x:c>
      <x:c r="I344" s="29" t="n">
        <x:v>46293</x:v>
      </x:c>
      <x:c r="J344" s="24" t="inlineStr">
        <x:is>
          <x:t xml:space="preserve">DOC-065 v1.2; Git root riêng, symlink tương đối; push 1f07065 lên origin/main thành công; Drive cùng ID đọc lại.</x:t>
        </x:is>
      </x:c>
      <x:c r="K344" s="24" t="inlineStr">
        <x:is>
          <x:t xml:space="preserve">Repo private, xác thực anhthaingd qua Keychain; không force-push. CI chưa kích hoạt; native chưa kiểm.</x:t>
        </x:is>
      </x:c>
      <x:c r="L344" s="24" t="inlineStr">
        <x:is>
          <x:t xml:space="preserve">Hoàn tất</x:t>
        </x:is>
      </x:c>
    </x:row>
    <x:row r="345" ht="90" customHeight="1">
      <x:c r="A345" s="24" t="inlineStr">
        <x:is>
          <x:t xml:space="preserve">REPO-20260928</x:t>
        </x:is>
      </x:c>
      <x:c r="B345" s="24" t="inlineStr">
        <x:is>
          <x:t xml:space="preserve">REPO-01</x:t>
        </x:is>
      </x:c>
      <x:c r="C345" s="24" t="inlineStr">
        <x:is>
          <x:t xml:space="preserve">F18/F20</x:t>
        </x:is>
      </x:c>
      <x:c r="D345" s="24" t="inlineStr">
        <x:is>
          <x:t xml:space="preserve">DOC-054</x:t>
        </x:is>
      </x:c>
      <x:c r="E345" s="24" t="inlineStr">
        <x:is>
          <x:t xml:space="preserve">Chuẩn bị repository và push</x:t>
        </x:is>
      </x:c>
      <x:c r="F345" s="24" t="inlineStr">
        <x:is>
          <x:t xml:space="preserve">Đã cập nhật</x:t>
        </x:is>
      </x:c>
      <x:c r="G345" s="24" t="inlineStr">
        <x:is>
          <x:t xml:space="preserve">Có</x:t>
        </x:is>
      </x:c>
      <x:c r="H345" s="24" t="inlineStr">
        <x:is>
          <x:t xml:space="preserve">Codex</x:t>
        </x:is>
      </x:c>
      <x:c r="I345" s="29" t="n">
        <x:v>46293</x:v>
      </x:c>
      <x:c r="J345" s="24" t="inlineStr">
        <x:is>
          <x:t xml:space="preserve">DOC-065 v1.2; Git root riêng, symlink tương đối; push 1f07065 lên origin/main thành công; Drive cùng ID đọc lại.</x:t>
        </x:is>
      </x:c>
      <x:c r="K345" s="24" t="inlineStr">
        <x:is>
          <x:t xml:space="preserve">Repo private, xác thực anhthaingd qua Keychain; không force-push. CI chưa kích hoạt; native chưa kiểm.</x:t>
        </x:is>
      </x:c>
      <x:c r="L345" s="24" t="inlineStr">
        <x:is>
          <x:t xml:space="preserve">Hoàn tất</x:t>
        </x:is>
      </x:c>
    </x:row>
    <x:row r="346" ht="90" customHeight="1">
      <x:c r="A346" s="24" t="inlineStr">
        <x:is>
          <x:t xml:space="preserve">REPO-20260928</x:t>
        </x:is>
      </x:c>
      <x:c r="B346" s="24" t="inlineStr">
        <x:is>
          <x:t xml:space="preserve">REPO-01</x:t>
        </x:is>
      </x:c>
      <x:c r="C346" s="24" t="inlineStr">
        <x:is>
          <x:t xml:space="preserve">F18/F20</x:t>
        </x:is>
      </x:c>
      <x:c r="D346" s="24" t="inlineStr">
        <x:is>
          <x:t xml:space="preserve">DOC-065</x:t>
        </x:is>
      </x:c>
      <x:c r="E346" s="24" t="inlineStr">
        <x:is>
          <x:t xml:space="preserve">Chuẩn bị repository và push</x:t>
        </x:is>
      </x:c>
      <x:c r="F346" s="24" t="inlineStr">
        <x:is>
          <x:t xml:space="preserve">Đã cập nhật</x:t>
        </x:is>
      </x:c>
      <x:c r="G346" s="24" t="inlineStr">
        <x:is>
          <x:t xml:space="preserve">Có</x:t>
        </x:is>
      </x:c>
      <x:c r="H346" s="24" t="inlineStr">
        <x:is>
          <x:t xml:space="preserve">Codex</x:t>
        </x:is>
      </x:c>
      <x:c r="I346" s="29" t="n">
        <x:v>46293</x:v>
      </x:c>
      <x:c r="J346" s="24" t="inlineStr">
        <x:is>
          <x:t xml:space="preserve">DOC-065 v1.2; Git root riêng, symlink tương đối; push 1f07065 lên origin/main thành công; Drive cùng ID đọc lại.</x:t>
        </x:is>
      </x:c>
      <x:c r="K346" s="24" t="inlineStr">
        <x:is>
          <x:t xml:space="preserve">Repo private, xác thực anhthaingd qua Keychain; không force-push. CI chưa kích hoạt; native chưa kiểm.</x:t>
        </x:is>
      </x:c>
      <x:c r="L346" s="24" t="inlineStr">
        <x:is>
          <x:t xml:space="preserve">Hoàn tất</x:t>
        </x:is>
      </x:c>
    </x:row>
    <x:row r="347" ht="90" customHeight="1">
      <x:c r="A347" s="24" t="inlineStr">
        <x:is>
          <x:t xml:space="preserve">REPO-20260928</x:t>
        </x:is>
      </x:c>
      <x:c r="B347" s="24" t="inlineStr">
        <x:is>
          <x:t xml:space="preserve">REPO-01</x:t>
        </x:is>
      </x:c>
      <x:c r="C347" s="24" t="inlineStr">
        <x:is>
          <x:t xml:space="preserve">F18/F20</x:t>
        </x:is>
      </x:c>
      <x:c r="D347" s="24" t="inlineStr">
        <x:is>
          <x:t xml:space="preserve">DOC-018</x:t>
        </x:is>
      </x:c>
      <x:c r="E347" s="24" t="inlineStr">
        <x:is>
          <x:t xml:space="preserve">Chuẩn bị repository và push</x:t>
        </x:is>
      </x:c>
      <x:c r="F347" s="24" t="inlineStr">
        <x:is>
          <x:t xml:space="preserve">Đã cập nhật</x:t>
        </x:is>
      </x:c>
      <x:c r="G347" s="24" t="inlineStr">
        <x:is>
          <x:t xml:space="preserve">Có</x:t>
        </x:is>
      </x:c>
      <x:c r="H347" s="24" t="inlineStr">
        <x:is>
          <x:t xml:space="preserve">Codex</x:t>
        </x:is>
      </x:c>
      <x:c r="I347" s="29" t="n">
        <x:v>46293</x:v>
      </x:c>
      <x:c r="J347" s="24" t="inlineStr">
        <x:is>
          <x:t xml:space="preserve">DOC-065 v1.2; Git root riêng, symlink tương đối; push 1f07065 lên origin/main thành công; Drive cùng ID đọc lại.</x:t>
        </x:is>
      </x:c>
      <x:c r="K347" s="24" t="inlineStr">
        <x:is>
          <x:t xml:space="preserve">Repo private, xác thực anhthaingd qua Keychain; không force-push. CI chưa kích hoạt; native chưa kiểm.</x:t>
        </x:is>
      </x:c>
      <x:c r="L347" s="24" t="inlineStr">
        <x:is>
          <x:t xml:space="preserve">Hoàn tất</x:t>
        </x:is>
      </x:c>
    </x:row>
    <x:row r="348" ht="90" customHeight="1">
      <x:c r="A348" s="24" t="inlineStr">
        <x:is>
          <x:t xml:space="preserve">REPO-20260928</x:t>
        </x:is>
      </x:c>
      <x:c r="B348" s="24" t="inlineStr">
        <x:is>
          <x:t xml:space="preserve">REPO-01</x:t>
        </x:is>
      </x:c>
      <x:c r="C348" s="24" t="inlineStr">
        <x:is>
          <x:t xml:space="preserve">F18/F20</x:t>
        </x:is>
      </x:c>
      <x:c r="D348" s="24" t="inlineStr">
        <x:is>
          <x:t xml:space="preserve">DOC-040</x:t>
        </x:is>
      </x:c>
      <x:c r="E348" s="24" t="inlineStr">
        <x:is>
          <x:t xml:space="preserve">Chuẩn bị repository và push</x:t>
        </x:is>
      </x:c>
      <x:c r="F348" s="24" t="inlineStr">
        <x:is>
          <x:t xml:space="preserve">Đã cập nhật</x:t>
        </x:is>
      </x:c>
      <x:c r="G348" s="24" t="inlineStr">
        <x:is>
          <x:t xml:space="preserve">Có</x:t>
        </x:is>
      </x:c>
      <x:c r="H348" s="24" t="inlineStr">
        <x:is>
          <x:t xml:space="preserve">Codex</x:t>
        </x:is>
      </x:c>
      <x:c r="I348" s="29" t="n">
        <x:v>46293</x:v>
      </x:c>
      <x:c r="J348" s="24" t="inlineStr">
        <x:is>
          <x:t xml:space="preserve">DOC-065 v1.2; Git root riêng, symlink tương đối; push 1f07065 lên origin/main thành công; Drive cùng ID đọc lại.</x:t>
        </x:is>
      </x:c>
      <x:c r="K348" s="24" t="inlineStr">
        <x:is>
          <x:t xml:space="preserve">Repo private, xác thực anhthaingd qua Keychain; không force-push. CI chưa kích hoạt; native chưa kiểm.</x:t>
        </x:is>
      </x:c>
      <x:c r="L348" s="24" t="inlineStr">
        <x:is>
          <x:t xml:space="preserve">Hoàn tất</x:t>
        </x:is>
      </x:c>
    </x:row>
    <x:row r="349" ht="90" customHeight="1">
      <x:c r="A349" s="24" t="inlineStr">
        <x:is>
          <x:t xml:space="preserve">REPO-20260928</x:t>
        </x:is>
      </x:c>
      <x:c r="B349" s="24" t="inlineStr">
        <x:is>
          <x:t xml:space="preserve">REPO-01</x:t>
        </x:is>
      </x:c>
      <x:c r="C349" s="24" t="inlineStr">
        <x:is>
          <x:t xml:space="preserve">F18</x:t>
        </x:is>
      </x:c>
      <x:c r="D349" s="24" t="inlineStr">
        <x:is>
          <x:t xml:space="preserve">GitHub remote</x:t>
        </x:is>
      </x:c>
      <x:c r="E349" s="24" t="inlineStr">
        <x:is>
          <x:t xml:space="preserve">Push code lên repo chủ dự án</x:t>
        </x:is>
      </x:c>
      <x:c r="F349" s="24" t="inlineStr">
        <x:is>
          <x:t xml:space="preserve">Đã cập nhật</x:t>
        </x:is>
      </x:c>
      <x:c r="G349" s="24" t="inlineStr">
        <x:is>
          <x:t xml:space="preserve">Có</x:t>
        </x:is>
      </x:c>
      <x:c r="H349" s="24" t="inlineStr">
        <x:is>
          <x:t xml:space="preserve">Codex</x:t>
        </x:is>
      </x:c>
      <x:c r="I349" s="29" t="n">
        <x:v>46293</x:v>
      </x:c>
      <x:c r="J349" s="24" t="inlineStr">
        <x:is>
          <x:t xml:space="preserve">DOC-065 v1.2; Git root riêng, symlink tương đối; push 1f07065 lên origin/main thành công; Drive cùng ID đọc lại.</x:t>
        </x:is>
      </x:c>
      <x:c r="K349" s="24" t="inlineStr">
        <x:is>
          <x:t xml:space="preserve">Repo private, xác thực anhthaingd qua Keychain; không force-push. CI chưa kích hoạt; native chưa kiểm.</x:t>
        </x:is>
      </x:c>
      <x:c r="L349" s="24" t="inlineStr">
        <x:is>
          <x:t xml:space="preserve">Hoàn tất</x:t>
        </x:is>
      </x:c>
    </x:row>
    <x:row r="350" ht="100" customHeight="1">
      <x:c r="A350" s="24" t="inlineStr">
        <x:is>
          <x:t xml:space="preserve">LOGTEST-DESIGN-20260928</x:t>
        </x:is>
      </x:c>
      <x:c r="B350" s="24" t="inlineStr">
        <x:is>
          <x:t xml:space="preserve">LOGTEST-REQ-01; LOGTEST-DESIGN-01</x:t>
        </x:is>
      </x:c>
      <x:c r="C350" s="24" t="inlineStr">
        <x:is>
          <x:t xml:space="preserve">F18/F20</x:t>
        </x:is>
      </x:c>
      <x:c r="D350" s="24" t="inlineStr">
        <x:is>
          <x:t xml:space="preserve">DOC-069</x:t>
        </x:is>
      </x:c>
      <x:c r="E350" s="24" t="inlineStr">
        <x:is>
          <x:t xml:space="preserve">Nghiên cứu và đăng ký đề xuất log/test</x:t>
        </x:is>
      </x:c>
      <x:c r="F350" s="24" t="inlineStr">
        <x:is>
          <x:t xml:space="preserve">Đã cập nhật</x:t>
        </x:is>
      </x:c>
      <x:c r="G350" s="24" t="inlineStr">
        <x:is>
          <x:t xml:space="preserve">Có</x:t>
        </x:is>
      </x:c>
      <x:c r="H350" s="24" t="inlineStr">
        <x:is>
          <x:t xml:space="preserve">Codex</x:t>
        </x:is>
      </x:c>
      <x:c r="I350" s="29" t="n">
        <x:v>46293</x:v>
      </x:c>
      <x:c r="J350" s="24" t="inlineStr">
        <x:is>
          <x:t xml:space="preserve">DOC-069 v0.1 source/permalink pin commit; chạy lại 7 unit/app +8 PostgreSQL integration PASS; local/Drive đọc lại.</x:t>
        </x:is>
      </x:c>
      <x:c r="K350" s="24" t="inlineStr">
        <x:is>
          <x:t xml:space="preserve">Chỉ hoàn tất tài liệu đề xuất; thiết kế chưa duyệt, chưa triển khai log/test mới. Native/remote CI chưa kiểm.</x:t>
        </x:is>
      </x:c>
      <x:c r="L350" s="24" t="inlineStr">
        <x:is>
          <x:t xml:space="preserve">Hoàn tất</x:t>
        </x:is>
      </x:c>
    </x:row>
    <x:row r="351" ht="100" customHeight="1">
      <x:c r="A351" s="24" t="inlineStr">
        <x:is>
          <x:t xml:space="preserve">LOGTEST-DESIGN-20260928</x:t>
        </x:is>
      </x:c>
      <x:c r="B351" s="24" t="inlineStr">
        <x:is>
          <x:t xml:space="preserve">LOGTEST-REQ-01; LOGTEST-DESIGN-01</x:t>
        </x:is>
      </x:c>
      <x:c r="C351" s="24" t="inlineStr">
        <x:is>
          <x:t xml:space="preserve">F18/F20</x:t>
        </x:is>
      </x:c>
      <x:c r="D351" s="24" t="inlineStr">
        <x:is>
          <x:t xml:space="preserve">DOC-000</x:t>
        </x:is>
      </x:c>
      <x:c r="E351" s="24" t="inlineStr">
        <x:is>
          <x:t xml:space="preserve">Nghiên cứu và đăng ký đề xuất log/test</x:t>
        </x:is>
      </x:c>
      <x:c r="F351" s="24" t="inlineStr">
        <x:is>
          <x:t xml:space="preserve">Đã cập nhật</x:t>
        </x:is>
      </x:c>
      <x:c r="G351" s="24" t="inlineStr">
        <x:is>
          <x:t xml:space="preserve">Có</x:t>
        </x:is>
      </x:c>
      <x:c r="H351" s="24" t="inlineStr">
        <x:is>
          <x:t xml:space="preserve">Codex</x:t>
        </x:is>
      </x:c>
      <x:c r="I351" s="29" t="n">
        <x:v>46293</x:v>
      </x:c>
      <x:c r="J351" s="24" t="inlineStr">
        <x:is>
          <x:t xml:space="preserve">DOC-069 v0.1 source/permalink pin commit; chạy lại 7 unit/app +8 PostgreSQL integration PASS; local/Drive đọc lại.</x:t>
        </x:is>
      </x:c>
      <x:c r="K351" s="24" t="inlineStr">
        <x:is>
          <x:t xml:space="preserve">Chỉ hoàn tất tài liệu đề xuất; thiết kế chưa duyệt, chưa triển khai log/test mới. Native/remote CI chưa kiểm.</x:t>
        </x:is>
      </x:c>
      <x:c r="L351" s="24" t="inlineStr">
        <x:is>
          <x:t xml:space="preserve">Hoàn tất</x:t>
        </x:is>
      </x:c>
    </x:row>
    <x:row r="352" ht="115" customHeight="1">
      <x:c r="A352" s="24" t="inlineStr">
        <x:is>
          <x:t xml:space="preserve">STRUCTURE-20260928</x:t>
        </x:is>
      </x:c>
      <x:c r="B352" s="24" t="inlineStr">
        <x:is>
          <x:t xml:space="preserve">STRUCTURE-01; LOGTEST-DESIGN-01</x:t>
        </x:is>
      </x:c>
      <x:c r="C352" s="24" t="inlineStr">
        <x:is>
          <x:t xml:space="preserve">F17/F18/F20</x:t>
        </x:is>
      </x:c>
      <x:c r="D352" s="24" t="inlineStr">
        <x:is>
          <x:t xml:space="preserve">DOC-054</x:t>
        </x:is>
      </x:c>
      <x:c r="E352" s="24" t="inlineStr">
        <x:is>
          <x:t xml:space="preserve">Khung trước chức năng</x:t>
        </x:is>
      </x:c>
      <x:c r="F352" s="24" t="inlineStr">
        <x:is>
          <x:t xml:space="preserve">Đã cập nhật</x:t>
        </x:is>
      </x:c>
      <x:c r="G352" s="24" t="inlineStr">
        <x:is>
          <x:t xml:space="preserve">Có</x:t>
        </x:is>
      </x:c>
      <x:c r="H352" s="24" t="inlineStr">
        <x:is>
          <x:t xml:space="preserve">Codex</x:t>
        </x:is>
      </x:c>
      <x:c r="I352" s="29" t="n">
        <x:v>46293</x:v>
      </x:c>
      <x:c r="J352" s="24" t="inlineStr">
        <x:is>
          <x:t xml:space="preserve">STRUCTURE-01: DOC-070 v1.0; lint/types, 7 unit/mobile +8 DB, API/Expo bundles và web smoke PASS. Khung miền khác chỉ .gitkeep. Native/remote CI và bộ log/test A chưa triển khai. Nguồn/ZIP/Drive đọc lại cùng ID.</x:t>
        </x:is>
      </x:c>
      <x:c r="K352" s="24" t="inlineStr">
        <x:is>
          <x:t xml:space="preserve">Không commit/push mới; native và remote CI chưa nghiệm thu.</x:t>
        </x:is>
      </x:c>
      <x:c r="L352" s="24" t="inlineStr">
        <x:is>
          <x:t xml:space="preserve">Hoàn tất</x:t>
        </x:is>
      </x:c>
    </x:row>
    <x:row r="353" ht="115" customHeight="1">
      <x:c r="A353" s="24" t="inlineStr">
        <x:is>
          <x:t xml:space="preserve">STRUCTURE-20260928</x:t>
        </x:is>
      </x:c>
      <x:c r="B353" s="24" t="inlineStr">
        <x:is>
          <x:t xml:space="preserve">STRUCTURE-01; LOGTEST-DESIGN-01</x:t>
        </x:is>
      </x:c>
      <x:c r="C353" s="24" t="inlineStr">
        <x:is>
          <x:t xml:space="preserve">F17/F18/F20</x:t>
        </x:is>
      </x:c>
      <x:c r="D353" s="24" t="inlineStr">
        <x:is>
          <x:t xml:space="preserve">DOC-064</x:t>
        </x:is>
      </x:c>
      <x:c r="E353" s="24" t="inlineStr">
        <x:is>
          <x:t xml:space="preserve">Khung trước chức năng</x:t>
        </x:is>
      </x:c>
      <x:c r="F353" s="24" t="inlineStr">
        <x:is>
          <x:t xml:space="preserve">Đã cập nhật</x:t>
        </x:is>
      </x:c>
      <x:c r="G353" s="24" t="inlineStr">
        <x:is>
          <x:t xml:space="preserve">Có</x:t>
        </x:is>
      </x:c>
      <x:c r="H353" s="24" t="inlineStr">
        <x:is>
          <x:t xml:space="preserve">Codex</x:t>
        </x:is>
      </x:c>
      <x:c r="I353" s="29" t="n">
        <x:v>46293</x:v>
      </x:c>
      <x:c r="J353" s="24" t="inlineStr">
        <x:is>
          <x:t xml:space="preserve">STRUCTURE-01: DOC-070 v1.0; lint/types, 7 unit/mobile +8 DB, API/Expo bundles và web smoke PASS. Khung miền khác chỉ .gitkeep. Native/remote CI và bộ log/test A chưa triển khai. Nguồn/ZIP/Drive đọc lại cùng ID.</x:t>
        </x:is>
      </x:c>
      <x:c r="K353" s="24" t="inlineStr">
        <x:is>
          <x:t xml:space="preserve">Không commit/push mới; native và remote CI chưa nghiệm thu.</x:t>
        </x:is>
      </x:c>
      <x:c r="L353" s="24" t="inlineStr">
        <x:is>
          <x:t xml:space="preserve">Hoàn tất</x:t>
        </x:is>
      </x:c>
    </x:row>
    <x:row r="354" ht="115" customHeight="1">
      <x:c r="A354" s="24" t="inlineStr">
        <x:is>
          <x:t xml:space="preserve">STRUCTURE-20260928</x:t>
        </x:is>
      </x:c>
      <x:c r="B354" s="24" t="inlineStr">
        <x:is>
          <x:t xml:space="preserve">STRUCTURE-01; LOGTEST-DESIGN-01</x:t>
        </x:is>
      </x:c>
      <x:c r="C354" s="24" t="inlineStr">
        <x:is>
          <x:t xml:space="preserve">F17/F18/F20</x:t>
        </x:is>
      </x:c>
      <x:c r="D354" s="24" t="inlineStr">
        <x:is>
          <x:t xml:space="preserve">DOC-065</x:t>
        </x:is>
      </x:c>
      <x:c r="E354" s="24" t="inlineStr">
        <x:is>
          <x:t xml:space="preserve">Khung trước chức năng</x:t>
        </x:is>
      </x:c>
      <x:c r="F354" s="24" t="inlineStr">
        <x:is>
          <x:t xml:space="preserve">Đã cập nhật</x:t>
        </x:is>
      </x:c>
      <x:c r="G354" s="24" t="inlineStr">
        <x:is>
          <x:t xml:space="preserve">Có</x:t>
        </x:is>
      </x:c>
      <x:c r="H354" s="24" t="inlineStr">
        <x:is>
          <x:t xml:space="preserve">Codex</x:t>
        </x:is>
      </x:c>
      <x:c r="I354" s="29" t="n">
        <x:v>46293</x:v>
      </x:c>
      <x:c r="J354" s="24" t="inlineStr">
        <x:is>
          <x:t xml:space="preserve">STRUCTURE-01: DOC-070 v1.0; lint/types, 7 unit/mobile +8 DB, API/Expo bundles và web smoke PASS. Khung miền khác chỉ .gitkeep. Native/remote CI và bộ log/test A chưa triển khai. Nguồn/ZIP/Drive đọc lại cùng ID.</x:t>
        </x:is>
      </x:c>
      <x:c r="K354" s="24" t="inlineStr">
        <x:is>
          <x:t xml:space="preserve">Không commit/push mới; native và remote CI chưa nghiệm thu.</x:t>
        </x:is>
      </x:c>
      <x:c r="L354" s="24" t="inlineStr">
        <x:is>
          <x:t xml:space="preserve">Hoàn tất</x:t>
        </x:is>
      </x:c>
    </x:row>
    <x:row r="355" ht="115" customHeight="1">
      <x:c r="A355" s="24" t="inlineStr">
        <x:is>
          <x:t xml:space="preserve">STRUCTURE-20260928</x:t>
        </x:is>
      </x:c>
      <x:c r="B355" s="24" t="inlineStr">
        <x:is>
          <x:t xml:space="preserve">STRUCTURE-01; LOGTEST-DESIGN-01</x:t>
        </x:is>
      </x:c>
      <x:c r="C355" s="24" t="inlineStr">
        <x:is>
          <x:t xml:space="preserve">F17/F18/F20</x:t>
        </x:is>
      </x:c>
      <x:c r="D355" s="24" t="inlineStr">
        <x:is>
          <x:t xml:space="preserve">DOC-066</x:t>
        </x:is>
      </x:c>
      <x:c r="E355" s="24" t="inlineStr">
        <x:is>
          <x:t xml:space="preserve">Khung trước chức năng</x:t>
        </x:is>
      </x:c>
      <x:c r="F355" s="24" t="inlineStr">
        <x:is>
          <x:t xml:space="preserve">Đã cập nhật</x:t>
        </x:is>
      </x:c>
      <x:c r="G355" s="24" t="inlineStr">
        <x:is>
          <x:t xml:space="preserve">Có</x:t>
        </x:is>
      </x:c>
      <x:c r="H355" s="24" t="inlineStr">
        <x:is>
          <x:t xml:space="preserve">Codex</x:t>
        </x:is>
      </x:c>
      <x:c r="I355" s="29" t="n">
        <x:v>46293</x:v>
      </x:c>
      <x:c r="J355" s="24" t="inlineStr">
        <x:is>
          <x:t xml:space="preserve">STRUCTURE-01: DOC-070 v1.0; lint/types, 7 unit/mobile +8 DB, API/Expo bundles và web smoke PASS. Khung miền khác chỉ .gitkeep. Native/remote CI và bộ log/test A chưa triển khai. Nguồn/ZIP/Drive đọc lại cùng ID.</x:t>
        </x:is>
      </x:c>
      <x:c r="K355" s="24" t="inlineStr">
        <x:is>
          <x:t xml:space="preserve">Không commit/push mới; native và remote CI chưa nghiệm thu.</x:t>
        </x:is>
      </x:c>
      <x:c r="L355" s="24" t="inlineStr">
        <x:is>
          <x:t xml:space="preserve">Hoàn tất</x:t>
        </x:is>
      </x:c>
    </x:row>
    <x:row r="356" ht="115" customHeight="1">
      <x:c r="A356" s="24" t="inlineStr">
        <x:is>
          <x:t xml:space="preserve">STRUCTURE-20260928</x:t>
        </x:is>
      </x:c>
      <x:c r="B356" s="24" t="inlineStr">
        <x:is>
          <x:t xml:space="preserve">STRUCTURE-01; LOGTEST-DESIGN-01</x:t>
        </x:is>
      </x:c>
      <x:c r="C356" s="24" t="inlineStr">
        <x:is>
          <x:t xml:space="preserve">F17/F18/F20</x:t>
        </x:is>
      </x:c>
      <x:c r="D356" s="24" t="inlineStr">
        <x:is>
          <x:t xml:space="preserve">DOC-069</x:t>
        </x:is>
      </x:c>
      <x:c r="E356" s="24" t="inlineStr">
        <x:is>
          <x:t xml:space="preserve">Khung trước chức năng</x:t>
        </x:is>
      </x:c>
      <x:c r="F356" s="24" t="inlineStr">
        <x:is>
          <x:t xml:space="preserve">Đã cập nhật</x:t>
        </x:is>
      </x:c>
      <x:c r="G356" s="24" t="inlineStr">
        <x:is>
          <x:t xml:space="preserve">Có</x:t>
        </x:is>
      </x:c>
      <x:c r="H356" s="24" t="inlineStr">
        <x:is>
          <x:t xml:space="preserve">Codex</x:t>
        </x:is>
      </x:c>
      <x:c r="I356" s="29" t="n">
        <x:v>46293</x:v>
      </x:c>
      <x:c r="J356" s="24" t="inlineStr">
        <x:is>
          <x:t xml:space="preserve">STRUCTURE-01: DOC-070 v1.0; lint/types, 7 unit/mobile +8 DB, API/Expo bundles và web smoke PASS. Khung miền khác chỉ .gitkeep. Native/remote CI và bộ log/test A chưa triển khai. Nguồn/ZIP/Drive đọc lại cùng ID.</x:t>
        </x:is>
      </x:c>
      <x:c r="K356" s="24" t="inlineStr">
        <x:is>
          <x:t xml:space="preserve">Không commit/push mới; native và remote CI chưa nghiệm thu.</x:t>
        </x:is>
      </x:c>
      <x:c r="L356" s="24" t="inlineStr">
        <x:is>
          <x:t xml:space="preserve">Hoàn tất</x:t>
        </x:is>
      </x:c>
    </x:row>
    <x:row r="357" ht="115" customHeight="1">
      <x:c r="A357" s="24" t="inlineStr">
        <x:is>
          <x:t xml:space="preserve">STRUCTURE-20260928</x:t>
        </x:is>
      </x:c>
      <x:c r="B357" s="24" t="inlineStr">
        <x:is>
          <x:t xml:space="preserve">STRUCTURE-01; LOGTEST-DESIGN-01</x:t>
        </x:is>
      </x:c>
      <x:c r="C357" s="24" t="inlineStr">
        <x:is>
          <x:t xml:space="preserve">F17/F18/F20</x:t>
        </x:is>
      </x:c>
      <x:c r="D357" s="24" t="inlineStr">
        <x:is>
          <x:t xml:space="preserve">DOC-070</x:t>
        </x:is>
      </x:c>
      <x:c r="E357" s="24" t="inlineStr">
        <x:is>
          <x:t xml:space="preserve">Khung trước chức năng</x:t>
        </x:is>
      </x:c>
      <x:c r="F357" s="24" t="inlineStr">
        <x:is>
          <x:t xml:space="preserve">Đã cập nhật</x:t>
        </x:is>
      </x:c>
      <x:c r="G357" s="24" t="inlineStr">
        <x:is>
          <x:t xml:space="preserve">Có</x:t>
        </x:is>
      </x:c>
      <x:c r="H357" s="24" t="inlineStr">
        <x:is>
          <x:t xml:space="preserve">Codex</x:t>
        </x:is>
      </x:c>
      <x:c r="I357" s="29" t="n">
        <x:v>46293</x:v>
      </x:c>
      <x:c r="J357" s="24" t="inlineStr">
        <x:is>
          <x:t xml:space="preserve">STRUCTURE-01: DOC-070 v1.0; lint/types, 7 unit/mobile +8 DB, API/Expo bundles và web smoke PASS. Khung miền khác chỉ .gitkeep. Native/remote CI và bộ log/test A chưa triển khai. Nguồn/ZIP/Drive đọc lại cùng ID.</x:t>
        </x:is>
      </x:c>
      <x:c r="K357" s="24" t="inlineStr">
        <x:is>
          <x:t xml:space="preserve">Không commit/push mới; native và remote CI chưa nghiệm thu.</x:t>
        </x:is>
      </x:c>
      <x:c r="L357" s="24" t="inlineStr">
        <x:is>
          <x:t xml:space="preserve">Hoàn tất</x:t>
        </x:is>
      </x:c>
    </x:row>
    <x:row r="358" ht="115" customHeight="1">
      <x:c r="A358" s="24" t="inlineStr">
        <x:is>
          <x:t xml:space="preserve">STRUCTURE-20260928</x:t>
        </x:is>
      </x:c>
      <x:c r="B358" s="24" t="inlineStr">
        <x:is>
          <x:t xml:space="preserve">STRUCTURE-01; LOGTEST-DESIGN-01</x:t>
        </x:is>
      </x:c>
      <x:c r="C358" s="24" t="inlineStr">
        <x:is>
          <x:t xml:space="preserve">F17/F18/F20</x:t>
        </x:is>
      </x:c>
      <x:c r="D358" s="24" t="inlineStr">
        <x:is>
          <x:t xml:space="preserve">DOC-018</x:t>
        </x:is>
      </x:c>
      <x:c r="E358" s="24" t="inlineStr">
        <x:is>
          <x:t xml:space="preserve">Khung trước chức năng</x:t>
        </x:is>
      </x:c>
      <x:c r="F358" s="24" t="inlineStr">
        <x:is>
          <x:t xml:space="preserve">Đã cập nhật</x:t>
        </x:is>
      </x:c>
      <x:c r="G358" s="24" t="inlineStr">
        <x:is>
          <x:t xml:space="preserve">Có</x:t>
        </x:is>
      </x:c>
      <x:c r="H358" s="24" t="inlineStr">
        <x:is>
          <x:t xml:space="preserve">Codex</x:t>
        </x:is>
      </x:c>
      <x:c r="I358" s="29" t="n">
        <x:v>46293</x:v>
      </x:c>
      <x:c r="J358" s="24" t="inlineStr">
        <x:is>
          <x:t xml:space="preserve">STRUCTURE-01: DOC-070 v1.0; lint/types, 7 unit/mobile +8 DB, API/Expo bundles và web smoke PASS. Khung miền khác chỉ .gitkeep. Native/remote CI và bộ log/test A chưa triển khai. Nguồn/ZIP/Drive đọc lại cùng ID.</x:t>
        </x:is>
      </x:c>
      <x:c r="K358" s="24" t="inlineStr">
        <x:is>
          <x:t xml:space="preserve">Không commit/push mới; native và remote CI chưa nghiệm thu.</x:t>
        </x:is>
      </x:c>
      <x:c r="L358" s="24" t="inlineStr">
        <x:is>
          <x:t xml:space="preserve">Hoàn tất</x:t>
        </x:is>
      </x:c>
    </x:row>
    <x:row r="359" ht="115" customHeight="1">
      <x:c r="A359" s="24" t="inlineStr">
        <x:is>
          <x:t xml:space="preserve">STRUCTURE-20260928</x:t>
        </x:is>
      </x:c>
      <x:c r="B359" s="24" t="inlineStr">
        <x:is>
          <x:t xml:space="preserve">STRUCTURE-01; LOGTEST-DESIGN-01</x:t>
        </x:is>
      </x:c>
      <x:c r="C359" s="24" t="inlineStr">
        <x:is>
          <x:t xml:space="preserve">F17/F18/F20</x:t>
        </x:is>
      </x:c>
      <x:c r="D359" s="24" t="inlineStr">
        <x:is>
          <x:t xml:space="preserve">DOC-040</x:t>
        </x:is>
      </x:c>
      <x:c r="E359" s="24" t="inlineStr">
        <x:is>
          <x:t xml:space="preserve">Khung trước chức năng</x:t>
        </x:is>
      </x:c>
      <x:c r="F359" s="24" t="inlineStr">
        <x:is>
          <x:t xml:space="preserve">Đã cập nhật</x:t>
        </x:is>
      </x:c>
      <x:c r="G359" s="24" t="inlineStr">
        <x:is>
          <x:t xml:space="preserve">Có</x:t>
        </x:is>
      </x:c>
      <x:c r="H359" s="24" t="inlineStr">
        <x:is>
          <x:t xml:space="preserve">Codex</x:t>
        </x:is>
      </x:c>
      <x:c r="I359" s="29" t="n">
        <x:v>46293</x:v>
      </x:c>
      <x:c r="J359" s="24" t="inlineStr">
        <x:is>
          <x:t xml:space="preserve">STRUCTURE-01: DOC-070 v1.0; lint/types, 7 unit/mobile +8 DB, API/Expo bundles và web smoke PASS. Khung miền khác chỉ .gitkeep. Native/remote CI và bộ log/test A chưa triển khai. Nguồn/ZIP/Drive đọc lại cùng ID.</x:t>
        </x:is>
      </x:c>
      <x:c r="K359" s="24" t="inlineStr">
        <x:is>
          <x:t xml:space="preserve">Không commit/push mới; native và remote CI chưa nghiệm thu.</x:t>
        </x:is>
      </x:c>
      <x:c r="L359" s="24" t="inlineStr">
        <x:is>
          <x:t xml:space="preserve">Hoàn tất</x:t>
        </x:is>
      </x:c>
    </x:row>
    <x:row r="360" ht="115" customHeight="1">
      <x:c r="A360" s="24" t="inlineStr">
        <x:is>
          <x:t xml:space="preserve">STRUCTURE-20260928</x:t>
        </x:is>
      </x:c>
      <x:c r="B360" s="24" t="inlineStr">
        <x:is>
          <x:t xml:space="preserve">STRUCTURE-01; LOGTEST-DESIGN-01</x:t>
        </x:is>
      </x:c>
      <x:c r="C360" s="24" t="inlineStr">
        <x:is>
          <x:t xml:space="preserve">F17/F18/F20</x:t>
        </x:is>
      </x:c>
      <x:c r="D360" s="24" t="inlineStr">
        <x:is>
          <x:t xml:space="preserve">DOC-000</x:t>
        </x:is>
      </x:c>
      <x:c r="E360" s="24" t="inlineStr">
        <x:is>
          <x:t xml:space="preserve">Khung trước chức năng</x:t>
        </x:is>
      </x:c>
      <x:c r="F360" s="24" t="inlineStr">
        <x:is>
          <x:t xml:space="preserve">Đã cập nhật</x:t>
        </x:is>
      </x:c>
      <x:c r="G360" s="24" t="inlineStr">
        <x:is>
          <x:t xml:space="preserve">Có</x:t>
        </x:is>
      </x:c>
      <x:c r="H360" s="24" t="inlineStr">
        <x:is>
          <x:t xml:space="preserve">Codex</x:t>
        </x:is>
      </x:c>
      <x:c r="I360" s="29" t="n">
        <x:v>46293</x:v>
      </x:c>
      <x:c r="J360" s="24" t="inlineStr">
        <x:is>
          <x:t xml:space="preserve">STRUCTURE-01: DOC-070 v1.0; lint/types, 7 unit/mobile +8 DB, API/Expo bundles và web smoke PASS. Khung miền khác chỉ .gitkeep. Native/remote CI và bộ log/test A chưa triển khai. Nguồn/ZIP/Drive đọc lại cùng ID.</x:t>
        </x:is>
      </x:c>
      <x:c r="K360" s="24" t="inlineStr">
        <x:is>
          <x:t xml:space="preserve">Không commit/push mới; native và remote CI chưa nghiệm thu.</x:t>
        </x:is>
      </x:c>
      <x:c r="L360" s="24" t="inlineStr">
        <x:is>
          <x:t xml:space="preserve">Hoàn tất</x:t>
        </x:is>
      </x:c>
    </x:row>
    <x:row r="361" ht="115" customHeight="1">
      <x:c r="A361" s="24" t="inlineStr">
        <x:is>
          <x:t xml:space="preserve">STRUCTURE-20260928</x:t>
        </x:is>
      </x:c>
      <x:c r="B361" s="24" t="inlineStr">
        <x:is>
          <x:t xml:space="preserve">STRUCTURE-01</x:t>
        </x:is>
      </x:c>
      <x:c r="C361" s="24" t="inlineStr">
        <x:is>
          <x:t xml:space="preserve">F02/F17/F18/F20</x:t>
        </x:is>
      </x:c>
      <x:c r="D361" s="24" t="inlineStr">
        <x:is>
          <x:t xml:space="preserve">BRD/PRD/FR/SRS/UX/API/ERD/QA/viewer</x:t>
        </x:is>
      </x:c>
      <x:c r="E361" s="24" t="inlineStr">
        <x:is>
          <x:t xml:space="preserve">Rà phạm vi ảnh hưởng</x:t>
        </x:is>
      </x:c>
      <x:c r="F361" s="24" t="inlineStr">
        <x:is>
          <x:t xml:space="preserve">Không áp dụng</x:t>
        </x:is>
      </x:c>
      <x:c r="G361" s="24" t="inlineStr">
        <x:is>
          <x:t xml:space="preserve">Có</x:t>
        </x:is>
      </x:c>
      <x:c r="H361" s="24" t="inlineStr">
        <x:is>
          <x:t xml:space="preserve">Codex</x:t>
        </x:is>
      </x:c>
      <x:c r="I361" s="29" t="n">
        <x:v>46293</x:v>
      </x:c>
      <x:c r="J361" s="24" t="inlineStr">
        <x:is>
          <x:t xml:space="preserve">Đối chiếu nguồn và tìm đường dẫn cũ: contract, schema, nghiệp vụ và prototype không đổi. Không sửa JSON/viewer/UI ZIP; ZIP hồ sơ chứa runbook được làm mới.</x:t>
        </x:is>
      </x:c>
      <x:c r="K361" s="24" t="inlineStr">
        <x:is>
          <x:t xml:space="preserve">Không coi folder rỗng là chức năng hoàn thành.</x:t>
        </x:is>
      </x:c>
      <x:c r="L361" s="24" t="inlineStr">
        <x:is>
          <x:t xml:space="preserve">Không áp dụng</x:t>
        </x:is>
      </x:c>
    </x:row>
    <x:row r="362" ht="120" customHeight="1">
      <x:c r="A362" s="24" t="inlineStr">
        <x:is>
          <x:t xml:space="preserve">LOGTEST-20260928</x:t>
        </x:is>
      </x:c>
      <x:c r="B362" s="24" t="inlineStr">
        <x:is>
          <x:t xml:space="preserve">LOGTEST-01; LOGTEST-DESIGN-01</x:t>
        </x:is>
      </x:c>
      <x:c r="C362" s="24" t="inlineStr">
        <x:is>
          <x:t xml:space="preserve">F02/F17/F18/F20</x:t>
        </x:is>
      </x:c>
      <x:c r="D362" s="24" t="inlineStr">
        <x:is>
          <x:t xml:space="preserve">DOC-000</x:t>
        </x:is>
      </x:c>
      <x:c r="E362" s="24" t="inlineStr">
        <x:is>
          <x:t xml:space="preserve">Triển khai phương án A</x:t>
        </x:is>
      </x:c>
      <x:c r="F362" s="24" t="inlineStr">
        <x:is>
          <x:t xml:space="preserve">Đã cập nhật</x:t>
        </x:is>
      </x:c>
      <x:c r="G362" s="24" t="inlineStr">
        <x:is>
          <x:t xml:space="preserve">Có</x:t>
        </x:is>
      </x:c>
      <x:c r="H362" s="24" t="inlineStr">
        <x:is>
          <x:t xml:space="preserve">Codex</x:t>
        </x:is>
      </x:c>
      <x:c r="I362" s="29" t="n">
        <x:v>46293</x:v>
      </x:c>
      <x:c r="J362"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62" s="24" t="inlineStr">
        <x:is>
          <x:t xml:space="preserve">Native/remoteCI chưa nghiệm thu; PLAN-004 production chưa hoàn thành.</x:t>
        </x:is>
      </x:c>
      <x:c r="L362" s="24" t="inlineStr">
        <x:is>
          <x:t xml:space="preserve">Hoàn tất phạm vi local</x:t>
        </x:is>
      </x:c>
    </x:row>
    <x:row r="363" ht="120" customHeight="1">
      <x:c r="A363" s="24" t="inlineStr">
        <x:is>
          <x:t xml:space="preserve">LOGTEST-20260928</x:t>
        </x:is>
      </x:c>
      <x:c r="B363" s="24" t="inlineStr">
        <x:is>
          <x:t xml:space="preserve">LOGTEST-01; LOGTEST-DESIGN-01</x:t>
        </x:is>
      </x:c>
      <x:c r="C363" s="24" t="inlineStr">
        <x:is>
          <x:t xml:space="preserve">F02/F17/F18/F20</x:t>
        </x:is>
      </x:c>
      <x:c r="D363" s="24" t="inlineStr">
        <x:is>
          <x:t xml:space="preserve">DOC-054</x:t>
        </x:is>
      </x:c>
      <x:c r="E363" s="24" t="inlineStr">
        <x:is>
          <x:t xml:space="preserve">Triển khai phương án A</x:t>
        </x:is>
      </x:c>
      <x:c r="F363" s="24" t="inlineStr">
        <x:is>
          <x:t xml:space="preserve">Đã cập nhật</x:t>
        </x:is>
      </x:c>
      <x:c r="G363" s="24" t="inlineStr">
        <x:is>
          <x:t xml:space="preserve">Có</x:t>
        </x:is>
      </x:c>
      <x:c r="H363" s="24" t="inlineStr">
        <x:is>
          <x:t xml:space="preserve">Codex</x:t>
        </x:is>
      </x:c>
      <x:c r="I363" s="29" t="n">
        <x:v>46293</x:v>
      </x:c>
      <x:c r="J363"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63" s="24" t="inlineStr">
        <x:is>
          <x:t xml:space="preserve">Native/remoteCI chưa nghiệm thu; PLAN-004 production chưa hoàn thành.</x:t>
        </x:is>
      </x:c>
      <x:c r="L363" s="24" t="inlineStr">
        <x:is>
          <x:t xml:space="preserve">Hoàn tất phạm vi local</x:t>
        </x:is>
      </x:c>
    </x:row>
    <x:row r="364" ht="120" customHeight="1">
      <x:c r="A364" s="24" t="inlineStr">
        <x:is>
          <x:t xml:space="preserve">LOGTEST-20260928</x:t>
        </x:is>
      </x:c>
      <x:c r="B364" s="24" t="inlineStr">
        <x:is>
          <x:t xml:space="preserve">LOGTEST-01; LOGTEST-DESIGN-01</x:t>
        </x:is>
      </x:c>
      <x:c r="C364" s="24" t="inlineStr">
        <x:is>
          <x:t xml:space="preserve">F02/F17/F18/F20</x:t>
        </x:is>
      </x:c>
      <x:c r="D364" s="24" t="inlineStr">
        <x:is>
          <x:t xml:space="preserve">DOC-064</x:t>
        </x:is>
      </x:c>
      <x:c r="E364" s="24" t="inlineStr">
        <x:is>
          <x:t xml:space="preserve">Triển khai phương án A</x:t>
        </x:is>
      </x:c>
      <x:c r="F364" s="24" t="inlineStr">
        <x:is>
          <x:t xml:space="preserve">Đã cập nhật</x:t>
        </x:is>
      </x:c>
      <x:c r="G364" s="24" t="inlineStr">
        <x:is>
          <x:t xml:space="preserve">Có</x:t>
        </x:is>
      </x:c>
      <x:c r="H364" s="24" t="inlineStr">
        <x:is>
          <x:t xml:space="preserve">Codex</x:t>
        </x:is>
      </x:c>
      <x:c r="I364" s="29" t="n">
        <x:v>46293</x:v>
      </x:c>
      <x:c r="J364"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64" s="24" t="inlineStr">
        <x:is>
          <x:t xml:space="preserve">Native/remoteCI chưa nghiệm thu; PLAN-004 production chưa hoàn thành.</x:t>
        </x:is>
      </x:c>
      <x:c r="L364" s="24" t="inlineStr">
        <x:is>
          <x:t xml:space="preserve">Hoàn tất phạm vi local</x:t>
        </x:is>
      </x:c>
    </x:row>
    <x:row r="365" ht="120" customHeight="1">
      <x:c r="A365" s="24" t="inlineStr">
        <x:is>
          <x:t xml:space="preserve">LOGTEST-20260928</x:t>
        </x:is>
      </x:c>
      <x:c r="B365" s="24" t="inlineStr">
        <x:is>
          <x:t xml:space="preserve">LOGTEST-01; LOGTEST-DESIGN-01</x:t>
        </x:is>
      </x:c>
      <x:c r="C365" s="24" t="inlineStr">
        <x:is>
          <x:t xml:space="preserve">F02/F17/F18/F20</x:t>
        </x:is>
      </x:c>
      <x:c r="D365" s="24" t="inlineStr">
        <x:is>
          <x:t xml:space="preserve">DOC-065</x:t>
        </x:is>
      </x:c>
      <x:c r="E365" s="24" t="inlineStr">
        <x:is>
          <x:t xml:space="preserve">Triển khai phương án A</x:t>
        </x:is>
      </x:c>
      <x:c r="F365" s="24" t="inlineStr">
        <x:is>
          <x:t xml:space="preserve">Đã cập nhật</x:t>
        </x:is>
      </x:c>
      <x:c r="G365" s="24" t="inlineStr">
        <x:is>
          <x:t xml:space="preserve">Có</x:t>
        </x:is>
      </x:c>
      <x:c r="H365" s="24" t="inlineStr">
        <x:is>
          <x:t xml:space="preserve">Codex</x:t>
        </x:is>
      </x:c>
      <x:c r="I365" s="29" t="n">
        <x:v>46293</x:v>
      </x:c>
      <x:c r="J365"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65" s="24" t="inlineStr">
        <x:is>
          <x:t xml:space="preserve">Native/remoteCI chưa nghiệm thu; PLAN-004 production chưa hoàn thành.</x:t>
        </x:is>
      </x:c>
      <x:c r="L365" s="24" t="inlineStr">
        <x:is>
          <x:t xml:space="preserve">Hoàn tất phạm vi local</x:t>
        </x:is>
      </x:c>
    </x:row>
    <x:row r="366" ht="120" customHeight="1">
      <x:c r="A366" s="24" t="inlineStr">
        <x:is>
          <x:t xml:space="preserve">LOGTEST-20260928</x:t>
        </x:is>
      </x:c>
      <x:c r="B366" s="24" t="inlineStr">
        <x:is>
          <x:t xml:space="preserve">LOGTEST-01; LOGTEST-DESIGN-01</x:t>
        </x:is>
      </x:c>
      <x:c r="C366" s="24" t="inlineStr">
        <x:is>
          <x:t xml:space="preserve">F02/F17/F18/F20</x:t>
        </x:is>
      </x:c>
      <x:c r="D366" s="24" t="inlineStr">
        <x:is>
          <x:t xml:space="preserve">DOC-066</x:t>
        </x:is>
      </x:c>
      <x:c r="E366" s="24" t="inlineStr">
        <x:is>
          <x:t xml:space="preserve">Triển khai phương án A</x:t>
        </x:is>
      </x:c>
      <x:c r="F366" s="24" t="inlineStr">
        <x:is>
          <x:t xml:space="preserve">Đã cập nhật</x:t>
        </x:is>
      </x:c>
      <x:c r="G366" s="24" t="inlineStr">
        <x:is>
          <x:t xml:space="preserve">Có</x:t>
        </x:is>
      </x:c>
      <x:c r="H366" s="24" t="inlineStr">
        <x:is>
          <x:t xml:space="preserve">Codex</x:t>
        </x:is>
      </x:c>
      <x:c r="I366" s="29" t="n">
        <x:v>46293</x:v>
      </x:c>
      <x:c r="J366"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66" s="24" t="inlineStr">
        <x:is>
          <x:t xml:space="preserve">Native/remoteCI chưa nghiệm thu; PLAN-004 production chưa hoàn thành.</x:t>
        </x:is>
      </x:c>
      <x:c r="L366" s="24" t="inlineStr">
        <x:is>
          <x:t xml:space="preserve">Hoàn tất phạm vi local</x:t>
        </x:is>
      </x:c>
    </x:row>
    <x:row r="367" ht="120" customHeight="1">
      <x:c r="A367" s="24" t="inlineStr">
        <x:is>
          <x:t xml:space="preserve">LOGTEST-20260928</x:t>
        </x:is>
      </x:c>
      <x:c r="B367" s="24" t="inlineStr">
        <x:is>
          <x:t xml:space="preserve">LOGTEST-01; LOGTEST-DESIGN-01</x:t>
        </x:is>
      </x:c>
      <x:c r="C367" s="24" t="inlineStr">
        <x:is>
          <x:t xml:space="preserve">F02/F17/F18/F20</x:t>
        </x:is>
      </x:c>
      <x:c r="D367" s="24" t="inlineStr">
        <x:is>
          <x:t xml:space="preserve">DOC-069</x:t>
        </x:is>
      </x:c>
      <x:c r="E367" s="24" t="inlineStr">
        <x:is>
          <x:t xml:space="preserve">Triển khai phương án A</x:t>
        </x:is>
      </x:c>
      <x:c r="F367" s="24" t="inlineStr">
        <x:is>
          <x:t xml:space="preserve">Đã cập nhật</x:t>
        </x:is>
      </x:c>
      <x:c r="G367" s="24" t="inlineStr">
        <x:is>
          <x:t xml:space="preserve">Có</x:t>
        </x:is>
      </x:c>
      <x:c r="H367" s="24" t="inlineStr">
        <x:is>
          <x:t xml:space="preserve">Codex</x:t>
        </x:is>
      </x:c>
      <x:c r="I367" s="29" t="n">
        <x:v>46293</x:v>
      </x:c>
      <x:c r="J367"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67" s="24" t="inlineStr">
        <x:is>
          <x:t xml:space="preserve">Native/remoteCI chưa nghiệm thu; PLAN-004 production chưa hoàn thành.</x:t>
        </x:is>
      </x:c>
      <x:c r="L367" s="24" t="inlineStr">
        <x:is>
          <x:t xml:space="preserve">Hoàn tất phạm vi local</x:t>
        </x:is>
      </x:c>
    </x:row>
    <x:row r="368" ht="120" customHeight="1">
      <x:c r="A368" s="24" t="inlineStr">
        <x:is>
          <x:t xml:space="preserve">LOGTEST-20260928</x:t>
        </x:is>
      </x:c>
      <x:c r="B368" s="24" t="inlineStr">
        <x:is>
          <x:t xml:space="preserve">LOGTEST-01; LOGTEST-DESIGN-01</x:t>
        </x:is>
      </x:c>
      <x:c r="C368" s="24" t="inlineStr">
        <x:is>
          <x:t xml:space="preserve">F02/F17/F18/F20</x:t>
        </x:is>
      </x:c>
      <x:c r="D368" s="24" t="inlineStr">
        <x:is>
          <x:t xml:space="preserve">DOC-070</x:t>
        </x:is>
      </x:c>
      <x:c r="E368" s="24" t="inlineStr">
        <x:is>
          <x:t xml:space="preserve">Triển khai phương án A</x:t>
        </x:is>
      </x:c>
      <x:c r="F368" s="24" t="inlineStr">
        <x:is>
          <x:t xml:space="preserve">Đã cập nhật</x:t>
        </x:is>
      </x:c>
      <x:c r="G368" s="24" t="inlineStr">
        <x:is>
          <x:t xml:space="preserve">Có</x:t>
        </x:is>
      </x:c>
      <x:c r="H368" s="24" t="inlineStr">
        <x:is>
          <x:t xml:space="preserve">Codex</x:t>
        </x:is>
      </x:c>
      <x:c r="I368" s="29" t="n">
        <x:v>46293</x:v>
      </x:c>
      <x:c r="J368"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68" s="24" t="inlineStr">
        <x:is>
          <x:t xml:space="preserve">Native/remoteCI chưa nghiệm thu; PLAN-004 production chưa hoàn thành.</x:t>
        </x:is>
      </x:c>
      <x:c r="L368" s="24" t="inlineStr">
        <x:is>
          <x:t xml:space="preserve">Hoàn tất phạm vi local</x:t>
        </x:is>
      </x:c>
    </x:row>
    <x:row r="369" ht="120" customHeight="1">
      <x:c r="A369" s="24" t="inlineStr">
        <x:is>
          <x:t xml:space="preserve">LOGTEST-20260928</x:t>
        </x:is>
      </x:c>
      <x:c r="B369" s="24" t="inlineStr">
        <x:is>
          <x:t xml:space="preserve">LOGTEST-01; LOGTEST-DESIGN-01</x:t>
        </x:is>
      </x:c>
      <x:c r="C369" s="24" t="inlineStr">
        <x:is>
          <x:t xml:space="preserve">F02/F17/F18/F20</x:t>
        </x:is>
      </x:c>
      <x:c r="D369" s="24" t="inlineStr">
        <x:is>
          <x:t xml:space="preserve">PLAN-002</x:t>
        </x:is>
      </x:c>
      <x:c r="E369" s="24" t="inlineStr">
        <x:is>
          <x:t xml:space="preserve">Triển khai phương án A</x:t>
        </x:is>
      </x:c>
      <x:c r="F369" s="24" t="inlineStr">
        <x:is>
          <x:t xml:space="preserve">Đã cập nhật</x:t>
        </x:is>
      </x:c>
      <x:c r="G369" s="24" t="inlineStr">
        <x:is>
          <x:t xml:space="preserve">Có</x:t>
        </x:is>
      </x:c>
      <x:c r="H369" s="24" t="inlineStr">
        <x:is>
          <x:t xml:space="preserve">Codex</x:t>
        </x:is>
      </x:c>
      <x:c r="I369" s="29" t="n">
        <x:v>46293</x:v>
      </x:c>
      <x:c r="J369"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69" s="24" t="inlineStr">
        <x:is>
          <x:t xml:space="preserve">Native/remoteCI chưa nghiệm thu; PLAN-004 production chưa hoàn thành.</x:t>
        </x:is>
      </x:c>
      <x:c r="L369" s="24" t="inlineStr">
        <x:is>
          <x:t xml:space="preserve">Hoàn tất phạm vi local</x:t>
        </x:is>
      </x:c>
    </x:row>
    <x:row r="370" ht="120" customHeight="1">
      <x:c r="A370" s="24" t="inlineStr">
        <x:is>
          <x:t xml:space="preserve">LOGTEST-20260928</x:t>
        </x:is>
      </x:c>
      <x:c r="B370" s="24" t="inlineStr">
        <x:is>
          <x:t xml:space="preserve">LOGTEST-01; LOGTEST-DESIGN-01</x:t>
        </x:is>
      </x:c>
      <x:c r="C370" s="24" t="inlineStr">
        <x:is>
          <x:t xml:space="preserve">F02/F17/F18/F20</x:t>
        </x:is>
      </x:c>
      <x:c r="D370" s="24" t="inlineStr">
        <x:is>
          <x:t xml:space="preserve">PLAN-003</x:t>
        </x:is>
      </x:c>
      <x:c r="E370" s="24" t="inlineStr">
        <x:is>
          <x:t xml:space="preserve">Triển khai phương án A</x:t>
        </x:is>
      </x:c>
      <x:c r="F370" s="24" t="inlineStr">
        <x:is>
          <x:t xml:space="preserve">Đã cập nhật</x:t>
        </x:is>
      </x:c>
      <x:c r="G370" s="24" t="inlineStr">
        <x:is>
          <x:t xml:space="preserve">Có</x:t>
        </x:is>
      </x:c>
      <x:c r="H370" s="24" t="inlineStr">
        <x:is>
          <x:t xml:space="preserve">Codex</x:t>
        </x:is>
      </x:c>
      <x:c r="I370" s="29" t="n">
        <x:v>46293</x:v>
      </x:c>
      <x:c r="J370"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70" s="24" t="inlineStr">
        <x:is>
          <x:t xml:space="preserve">Native/remoteCI chưa nghiệm thu; PLAN-004 production chưa hoàn thành.</x:t>
        </x:is>
      </x:c>
      <x:c r="L370" s="24" t="inlineStr">
        <x:is>
          <x:t xml:space="preserve">Hoàn tất phạm vi local</x:t>
        </x:is>
      </x:c>
    </x:row>
    <x:row r="371" ht="120" customHeight="1">
      <x:c r="A371" s="24" t="inlineStr">
        <x:is>
          <x:t xml:space="preserve">LOGTEST-20260928</x:t>
        </x:is>
      </x:c>
      <x:c r="B371" s="24" t="inlineStr">
        <x:is>
          <x:t xml:space="preserve">LOGTEST-01; LOGTEST-DESIGN-01</x:t>
        </x:is>
      </x:c>
      <x:c r="C371" s="24" t="inlineStr">
        <x:is>
          <x:t xml:space="preserve">F02/F17/F18/F20</x:t>
        </x:is>
      </x:c>
      <x:c r="D371" s="24" t="inlineStr">
        <x:is>
          <x:t xml:space="preserve">PLAN-004</x:t>
        </x:is>
      </x:c>
      <x:c r="E371" s="24" t="inlineStr">
        <x:is>
          <x:t xml:space="preserve">Triển khai phương án A</x:t>
        </x:is>
      </x:c>
      <x:c r="F371" s="24" t="inlineStr">
        <x:is>
          <x:t xml:space="preserve">Đã cập nhật</x:t>
        </x:is>
      </x:c>
      <x:c r="G371" s="24" t="inlineStr">
        <x:is>
          <x:t xml:space="preserve">Có</x:t>
        </x:is>
      </x:c>
      <x:c r="H371" s="24" t="inlineStr">
        <x:is>
          <x:t xml:space="preserve">Codex</x:t>
        </x:is>
      </x:c>
      <x:c r="I371" s="29" t="n">
        <x:v>46293</x:v>
      </x:c>
      <x:c r="J371"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71" s="24" t="inlineStr">
        <x:is>
          <x:t xml:space="preserve">Native/remoteCI chưa nghiệm thu; PLAN-004 production chưa hoàn thành.</x:t>
        </x:is>
      </x:c>
      <x:c r="L371" s="24" t="inlineStr">
        <x:is>
          <x:t xml:space="preserve">Một phần</x:t>
        </x:is>
      </x:c>
    </x:row>
    <x:row r="372" ht="120" customHeight="1">
      <x:c r="A372" s="24" t="inlineStr">
        <x:is>
          <x:t xml:space="preserve">LOGTEST-20260928</x:t>
        </x:is>
      </x:c>
      <x:c r="B372" s="24" t="inlineStr">
        <x:is>
          <x:t xml:space="preserve">LOGTEST-01; LOGTEST-DESIGN-01</x:t>
        </x:is>
      </x:c>
      <x:c r="C372" s="24" t="inlineStr">
        <x:is>
          <x:t xml:space="preserve">F02/F17/F18/F20</x:t>
        </x:is>
      </x:c>
      <x:c r="D372" s="24" t="inlineStr">
        <x:is>
          <x:t xml:space="preserve">PLAN-008</x:t>
        </x:is>
      </x:c>
      <x:c r="E372" s="24" t="inlineStr">
        <x:is>
          <x:t xml:space="preserve">Triển khai phương án A</x:t>
        </x:is>
      </x:c>
      <x:c r="F372" s="24" t="inlineStr">
        <x:is>
          <x:t xml:space="preserve">Đã cập nhật</x:t>
        </x:is>
      </x:c>
      <x:c r="G372" s="24" t="inlineStr">
        <x:is>
          <x:t xml:space="preserve">Có</x:t>
        </x:is>
      </x:c>
      <x:c r="H372" s="24" t="inlineStr">
        <x:is>
          <x:t xml:space="preserve">Codex</x:t>
        </x:is>
      </x:c>
      <x:c r="I372" s="29" t="n">
        <x:v>46293</x:v>
      </x:c>
      <x:c r="J372"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72" s="24" t="inlineStr">
        <x:is>
          <x:t xml:space="preserve">Native/remoteCI chưa nghiệm thu; PLAN-004 production chưa hoàn thành.</x:t>
        </x:is>
      </x:c>
      <x:c r="L372" s="24" t="inlineStr">
        <x:is>
          <x:t xml:space="preserve">Hoàn tất phạm vi local</x:t>
        </x:is>
      </x:c>
    </x:row>
    <x:row r="373" ht="120" customHeight="1">
      <x:c r="A373" s="24" t="inlineStr">
        <x:is>
          <x:t xml:space="preserve">LOGTEST-20260928</x:t>
        </x:is>
      </x:c>
      <x:c r="B373" s="24" t="inlineStr">
        <x:is>
          <x:t xml:space="preserve">LOGTEST-01; LOGTEST-DESIGN-01</x:t>
        </x:is>
      </x:c>
      <x:c r="C373" s="24" t="inlineStr">
        <x:is>
          <x:t xml:space="preserve">F02/F17/F18/F20</x:t>
        </x:is>
      </x:c>
      <x:c r="D373" s="24" t="inlineStr">
        <x:is>
          <x:t xml:space="preserve">DOC-037</x:t>
        </x:is>
      </x:c>
      <x:c r="E373" s="24" t="inlineStr">
        <x:is>
          <x:t xml:space="preserve">Triển khai phương án A</x:t>
        </x:is>
      </x:c>
      <x:c r="F373" s="24" t="inlineStr">
        <x:is>
          <x:t xml:space="preserve">Đã cập nhật</x:t>
        </x:is>
      </x:c>
      <x:c r="G373" s="24" t="inlineStr">
        <x:is>
          <x:t xml:space="preserve">Có</x:t>
        </x:is>
      </x:c>
      <x:c r="H373" s="24" t="inlineStr">
        <x:is>
          <x:t xml:space="preserve">Codex</x:t>
        </x:is>
      </x:c>
      <x:c r="I373" s="29" t="n">
        <x:v>46293</x:v>
      </x:c>
      <x:c r="J373"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73" s="24" t="inlineStr">
        <x:is>
          <x:t xml:space="preserve">Native/remoteCI chưa nghiệm thu; PLAN-004 production chưa hoàn thành.</x:t>
        </x:is>
      </x:c>
      <x:c r="L373" s="24" t="inlineStr">
        <x:is>
          <x:t xml:space="preserve">Hoàn tất phạm vi local</x:t>
        </x:is>
      </x:c>
    </x:row>
    <x:row r="374" ht="120" customHeight="1">
      <x:c r="A374" s="24" t="inlineStr">
        <x:is>
          <x:t xml:space="preserve">LOGTEST-20260928</x:t>
        </x:is>
      </x:c>
      <x:c r="B374" s="24" t="inlineStr">
        <x:is>
          <x:t xml:space="preserve">LOGTEST-01; LOGTEST-DESIGN-01</x:t>
        </x:is>
      </x:c>
      <x:c r="C374" s="24" t="inlineStr">
        <x:is>
          <x:t xml:space="preserve">F02/F17/F18/F20</x:t>
        </x:is>
      </x:c>
      <x:c r="D374" s="24" t="inlineStr">
        <x:is>
          <x:t xml:space="preserve">DOC-039</x:t>
        </x:is>
      </x:c>
      <x:c r="E374" s="24" t="inlineStr">
        <x:is>
          <x:t xml:space="preserve">Triển khai phương án A</x:t>
        </x:is>
      </x:c>
      <x:c r="F374" s="24" t="inlineStr">
        <x:is>
          <x:t xml:space="preserve">Đã cập nhật</x:t>
        </x:is>
      </x:c>
      <x:c r="G374" s="24" t="inlineStr">
        <x:is>
          <x:t xml:space="preserve">Có</x:t>
        </x:is>
      </x:c>
      <x:c r="H374" s="24" t="inlineStr">
        <x:is>
          <x:t xml:space="preserve">Codex</x:t>
        </x:is>
      </x:c>
      <x:c r="I374" s="29" t="n">
        <x:v>46293</x:v>
      </x:c>
      <x:c r="J374"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74" s="24" t="inlineStr">
        <x:is>
          <x:t xml:space="preserve">Native/remoteCI chưa nghiệm thu; PLAN-004 production chưa hoàn thành.</x:t>
        </x:is>
      </x:c>
      <x:c r="L374" s="24" t="inlineStr">
        <x:is>
          <x:t xml:space="preserve">Hoàn tất phạm vi local</x:t>
        </x:is>
      </x:c>
    </x:row>
    <x:row r="375" ht="120" customHeight="1">
      <x:c r="A375" s="24" t="inlineStr">
        <x:is>
          <x:t xml:space="preserve">LOGTEST-20260928</x:t>
        </x:is>
      </x:c>
      <x:c r="B375" s="24" t="inlineStr">
        <x:is>
          <x:t xml:space="preserve">LOGTEST-01; LOGTEST-DESIGN-01</x:t>
        </x:is>
      </x:c>
      <x:c r="C375" s="24" t="inlineStr">
        <x:is>
          <x:t xml:space="preserve">F02/F17/F18/F20</x:t>
        </x:is>
      </x:c>
      <x:c r="D375" s="24" t="inlineStr">
        <x:is>
          <x:t xml:space="preserve">DOC-040</x:t>
        </x:is>
      </x:c>
      <x:c r="E375" s="24" t="inlineStr">
        <x:is>
          <x:t xml:space="preserve">Triển khai phương án A</x:t>
        </x:is>
      </x:c>
      <x:c r="F375" s="24" t="inlineStr">
        <x:is>
          <x:t xml:space="preserve">Đã cập nhật</x:t>
        </x:is>
      </x:c>
      <x:c r="G375" s="24" t="inlineStr">
        <x:is>
          <x:t xml:space="preserve">Có</x:t>
        </x:is>
      </x:c>
      <x:c r="H375" s="24" t="inlineStr">
        <x:is>
          <x:t xml:space="preserve">Codex</x:t>
        </x:is>
      </x:c>
      <x:c r="I375" s="29" t="n">
        <x:v>46293</x:v>
      </x:c>
      <x:c r="J375"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75" s="24" t="inlineStr">
        <x:is>
          <x:t xml:space="preserve">Native/remoteCI chưa nghiệm thu; PLAN-004 production chưa hoàn thành.</x:t>
        </x:is>
      </x:c>
      <x:c r="L375" s="24" t="inlineStr">
        <x:is>
          <x:t xml:space="preserve">Hoàn tất phạm vi local</x:t>
        </x:is>
      </x:c>
    </x:row>
    <x:row r="376" ht="120" customHeight="1">
      <x:c r="A376" s="24" t="inlineStr">
        <x:is>
          <x:t xml:space="preserve">LOGTEST-20260928</x:t>
        </x:is>
      </x:c>
      <x:c r="B376" s="24" t="inlineStr">
        <x:is>
          <x:t xml:space="preserve">LOGTEST-01; LOGTEST-DESIGN-01</x:t>
        </x:is>
      </x:c>
      <x:c r="C376" s="24" t="inlineStr">
        <x:is>
          <x:t xml:space="preserve">F02/F17/F18/F20</x:t>
        </x:is>
      </x:c>
      <x:c r="D376" s="24" t="inlineStr">
        <x:is>
          <x:t xml:space="preserve">DOC-041</x:t>
        </x:is>
      </x:c>
      <x:c r="E376" s="24" t="inlineStr">
        <x:is>
          <x:t xml:space="preserve">Triển khai phương án A</x:t>
        </x:is>
      </x:c>
      <x:c r="F376" s="24" t="inlineStr">
        <x:is>
          <x:t xml:space="preserve">Đã cập nhật</x:t>
        </x:is>
      </x:c>
      <x:c r="G376" s="24" t="inlineStr">
        <x:is>
          <x:t xml:space="preserve">Có</x:t>
        </x:is>
      </x:c>
      <x:c r="H376" s="24" t="inlineStr">
        <x:is>
          <x:t xml:space="preserve">Codex</x:t>
        </x:is>
      </x:c>
      <x:c r="I376" s="29" t="n">
        <x:v>46293</x:v>
      </x:c>
      <x:c r="J376"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76" s="24" t="inlineStr">
        <x:is>
          <x:t xml:space="preserve">Native/remoteCI chưa nghiệm thu; PLAN-004 production chưa hoàn thành.</x:t>
        </x:is>
      </x:c>
      <x:c r="L376" s="24" t="inlineStr">
        <x:is>
          <x:t xml:space="preserve">Hoàn tất phạm vi local</x:t>
        </x:is>
      </x:c>
    </x:row>
    <x:row r="377" ht="120" customHeight="1">
      <x:c r="A377" s="24" t="inlineStr">
        <x:is>
          <x:t xml:space="preserve">LOGTEST-20260928</x:t>
        </x:is>
      </x:c>
      <x:c r="B377" s="24" t="inlineStr">
        <x:is>
          <x:t xml:space="preserve">LOGTEST-01; LOGTEST-DESIGN-01</x:t>
        </x:is>
      </x:c>
      <x:c r="C377" s="24" t="inlineStr">
        <x:is>
          <x:t xml:space="preserve">F02/F17/F18/F20</x:t>
        </x:is>
      </x:c>
      <x:c r="D377" s="24" t="inlineStr">
        <x:is>
          <x:t xml:space="preserve">DOC-043</x:t>
        </x:is>
      </x:c>
      <x:c r="E377" s="24" t="inlineStr">
        <x:is>
          <x:t xml:space="preserve">Triển khai phương án A</x:t>
        </x:is>
      </x:c>
      <x:c r="F377" s="24" t="inlineStr">
        <x:is>
          <x:t xml:space="preserve">Đã cập nhật</x:t>
        </x:is>
      </x:c>
      <x:c r="G377" s="24" t="inlineStr">
        <x:is>
          <x:t xml:space="preserve">Có</x:t>
        </x:is>
      </x:c>
      <x:c r="H377" s="24" t="inlineStr">
        <x:is>
          <x:t xml:space="preserve">Codex</x:t>
        </x:is>
      </x:c>
      <x:c r="I377" s="29" t="n">
        <x:v>46293</x:v>
      </x:c>
      <x:c r="J377"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77" s="24" t="inlineStr">
        <x:is>
          <x:t xml:space="preserve">Native/remoteCI chưa nghiệm thu; PLAN-004 production chưa hoàn thành.</x:t>
        </x:is>
      </x:c>
      <x:c r="L377" s="24" t="inlineStr">
        <x:is>
          <x:t xml:space="preserve">Hoàn tất phạm vi local</x:t>
        </x:is>
      </x:c>
    </x:row>
    <x:row r="378" ht="120" customHeight="1">
      <x:c r="A378" s="24" t="inlineStr">
        <x:is>
          <x:t xml:space="preserve">LOGTEST-20260928</x:t>
        </x:is>
      </x:c>
      <x:c r="B378" s="24" t="inlineStr">
        <x:is>
          <x:t xml:space="preserve">LOGTEST-01; LOGTEST-DESIGN-01</x:t>
        </x:is>
      </x:c>
      <x:c r="C378" s="24" t="inlineStr">
        <x:is>
          <x:t xml:space="preserve">F02/F17/F18/F20</x:t>
        </x:is>
      </x:c>
      <x:c r="D378" s="24" t="inlineStr">
        <x:is>
          <x:t xml:space="preserve">DOC-045</x:t>
        </x:is>
      </x:c>
      <x:c r="E378" s="24" t="inlineStr">
        <x:is>
          <x:t xml:space="preserve">Triển khai phương án A</x:t>
        </x:is>
      </x:c>
      <x:c r="F378" s="24" t="inlineStr">
        <x:is>
          <x:t xml:space="preserve">Đã cập nhật</x:t>
        </x:is>
      </x:c>
      <x:c r="G378" s="24" t="inlineStr">
        <x:is>
          <x:t xml:space="preserve">Có</x:t>
        </x:is>
      </x:c>
      <x:c r="H378" s="24" t="inlineStr">
        <x:is>
          <x:t xml:space="preserve">Codex</x:t>
        </x:is>
      </x:c>
      <x:c r="I378" s="29" t="n">
        <x:v>46293</x:v>
      </x:c>
      <x:c r="J378"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78" s="24" t="inlineStr">
        <x:is>
          <x:t xml:space="preserve">Native/remoteCI chưa nghiệm thu; PLAN-004 production chưa hoàn thành.</x:t>
        </x:is>
      </x:c>
      <x:c r="L378" s="24" t="inlineStr">
        <x:is>
          <x:t xml:space="preserve">Hoàn tất phạm vi local</x:t>
        </x:is>
      </x:c>
    </x:row>
    <x:row r="379" ht="120" customHeight="1">
      <x:c r="A379" s="24" t="inlineStr">
        <x:is>
          <x:t xml:space="preserve">LOGTEST-20260928</x:t>
        </x:is>
      </x:c>
      <x:c r="B379" s="24" t="inlineStr">
        <x:is>
          <x:t xml:space="preserve">LOGTEST-01; LOGTEST-DESIGN-01</x:t>
        </x:is>
      </x:c>
      <x:c r="C379" s="24" t="inlineStr">
        <x:is>
          <x:t xml:space="preserve">F02/F17/F18/F20</x:t>
        </x:is>
      </x:c>
      <x:c r="D379" s="24" t="inlineStr">
        <x:is>
          <x:t xml:space="preserve">DOC-046</x:t>
        </x:is>
      </x:c>
      <x:c r="E379" s="24" t="inlineStr">
        <x:is>
          <x:t xml:space="preserve">Triển khai phương án A</x:t>
        </x:is>
      </x:c>
      <x:c r="F379" s="24" t="inlineStr">
        <x:is>
          <x:t xml:space="preserve">Đã cập nhật</x:t>
        </x:is>
      </x:c>
      <x:c r="G379" s="24" t="inlineStr">
        <x:is>
          <x:t xml:space="preserve">Có</x:t>
        </x:is>
      </x:c>
      <x:c r="H379" s="24" t="inlineStr">
        <x:is>
          <x:t xml:space="preserve">Codex</x:t>
        </x:is>
      </x:c>
      <x:c r="I379" s="29" t="n">
        <x:v>46293</x:v>
      </x:c>
      <x:c r="J379"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79" s="24" t="inlineStr">
        <x:is>
          <x:t xml:space="preserve">Native/remoteCI chưa nghiệm thu; PLAN-004 production chưa hoàn thành.</x:t>
        </x:is>
      </x:c>
      <x:c r="L379" s="24" t="inlineStr">
        <x:is>
          <x:t xml:space="preserve">Hoàn tất phạm vi local</x:t>
        </x:is>
      </x:c>
    </x:row>
    <x:row r="380" ht="120" customHeight="1">
      <x:c r="A380" s="24" t="inlineStr">
        <x:is>
          <x:t xml:space="preserve">LOGTEST-20260928</x:t>
        </x:is>
      </x:c>
      <x:c r="B380" s="24" t="inlineStr">
        <x:is>
          <x:t xml:space="preserve">LOGTEST-01; LOGTEST-DESIGN-01</x:t>
        </x:is>
      </x:c>
      <x:c r="C380" s="24" t="inlineStr">
        <x:is>
          <x:t xml:space="preserve">F02/F17/F18/F20</x:t>
        </x:is>
      </x:c>
      <x:c r="D380" s="24" t="inlineStr">
        <x:is>
          <x:t xml:space="preserve">DOC-047</x:t>
        </x:is>
      </x:c>
      <x:c r="E380" s="24" t="inlineStr">
        <x:is>
          <x:t xml:space="preserve">Triển khai phương án A</x:t>
        </x:is>
      </x:c>
      <x:c r="F380" s="24" t="inlineStr">
        <x:is>
          <x:t xml:space="preserve">Đã cập nhật</x:t>
        </x:is>
      </x:c>
      <x:c r="G380" s="24" t="inlineStr">
        <x:is>
          <x:t xml:space="preserve">Có</x:t>
        </x:is>
      </x:c>
      <x:c r="H380" s="24" t="inlineStr">
        <x:is>
          <x:t xml:space="preserve">Codex</x:t>
        </x:is>
      </x:c>
      <x:c r="I380" s="29" t="n">
        <x:v>46293</x:v>
      </x:c>
      <x:c r="J380"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80" s="24" t="inlineStr">
        <x:is>
          <x:t xml:space="preserve">Native/remoteCI chưa nghiệm thu; PLAN-004 production chưa hoàn thành.</x:t>
        </x:is>
      </x:c>
      <x:c r="L380" s="24" t="inlineStr">
        <x:is>
          <x:t xml:space="preserve">Hoàn tất phạm vi local</x:t>
        </x:is>
      </x:c>
    </x:row>
    <x:row r="381" ht="120" customHeight="1">
      <x:c r="A381" s="24" t="inlineStr">
        <x:is>
          <x:t xml:space="preserve">LOGTEST-20260928</x:t>
        </x:is>
      </x:c>
      <x:c r="B381" s="24" t="inlineStr">
        <x:is>
          <x:t xml:space="preserve">LOGTEST-01; LOGTEST-DESIGN-01</x:t>
        </x:is>
      </x:c>
      <x:c r="C381" s="24" t="inlineStr">
        <x:is>
          <x:t xml:space="preserve">F02/F17/F18/F20</x:t>
        </x:is>
      </x:c>
      <x:c r="D381" s="24" t="inlineStr">
        <x:is>
          <x:t xml:space="preserve">DOC-048</x:t>
        </x:is>
      </x:c>
      <x:c r="E381" s="24" t="inlineStr">
        <x:is>
          <x:t xml:space="preserve">Triển khai phương án A</x:t>
        </x:is>
      </x:c>
      <x:c r="F381" s="24" t="inlineStr">
        <x:is>
          <x:t xml:space="preserve">Đã cập nhật</x:t>
        </x:is>
      </x:c>
      <x:c r="G381" s="24" t="inlineStr">
        <x:is>
          <x:t xml:space="preserve">Có</x:t>
        </x:is>
      </x:c>
      <x:c r="H381" s="24" t="inlineStr">
        <x:is>
          <x:t xml:space="preserve">Codex</x:t>
        </x:is>
      </x:c>
      <x:c r="I381" s="29" t="n">
        <x:v>46293</x:v>
      </x:c>
      <x:c r="J381"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81" s="24" t="inlineStr">
        <x:is>
          <x:t xml:space="preserve">Native/remoteCI chưa nghiệm thu; PLAN-004 production chưa hoàn thành.</x:t>
        </x:is>
      </x:c>
      <x:c r="L381" s="24" t="inlineStr">
        <x:is>
          <x:t xml:space="preserve">Hoàn tất phạm vi local</x:t>
        </x:is>
      </x:c>
    </x:row>
    <x:row r="382" ht="120" customHeight="1">
      <x:c r="A382" s="24" t="inlineStr">
        <x:is>
          <x:t xml:space="preserve">LOGTEST-20260928</x:t>
        </x:is>
      </x:c>
      <x:c r="B382" s="24" t="inlineStr">
        <x:is>
          <x:t xml:space="preserve">LOGTEST-01; LOGTEST-DESIGN-01</x:t>
        </x:is>
      </x:c>
      <x:c r="C382" s="24" t="inlineStr">
        <x:is>
          <x:t xml:space="preserve">F02/F17/F18/F20</x:t>
        </x:is>
      </x:c>
      <x:c r="D382" s="24" t="inlineStr">
        <x:is>
          <x:t xml:space="preserve">DOC-016</x:t>
        </x:is>
      </x:c>
      <x:c r="E382" s="24" t="inlineStr">
        <x:is>
          <x:t xml:space="preserve">Triển khai phương án A</x:t>
        </x:is>
      </x:c>
      <x:c r="F382" s="24" t="inlineStr">
        <x:is>
          <x:t xml:space="preserve">Đã cập nhật</x:t>
        </x:is>
      </x:c>
      <x:c r="G382" s="24" t="inlineStr">
        <x:is>
          <x:t xml:space="preserve">Có</x:t>
        </x:is>
      </x:c>
      <x:c r="H382" s="24" t="inlineStr">
        <x:is>
          <x:t xml:space="preserve">Codex</x:t>
        </x:is>
      </x:c>
      <x:c r="I382" s="29" t="n">
        <x:v>46293</x:v>
      </x:c>
      <x:c r="J382"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82" s="24" t="inlineStr">
        <x:is>
          <x:t xml:space="preserve">Native/remoteCI chưa nghiệm thu; PLAN-004 production chưa hoàn thành.</x:t>
        </x:is>
      </x:c>
      <x:c r="L382" s="24" t="inlineStr">
        <x:is>
          <x:t xml:space="preserve">Hoàn tất phạm vi local</x:t>
        </x:is>
      </x:c>
    </x:row>
    <x:row r="383" ht="120" customHeight="1">
      <x:c r="A383" s="24" t="inlineStr">
        <x:is>
          <x:t xml:space="preserve">LOGTEST-20260928</x:t>
        </x:is>
      </x:c>
      <x:c r="B383" s="24" t="inlineStr">
        <x:is>
          <x:t xml:space="preserve">LOGTEST-01; LOGTEST-DESIGN-01</x:t>
        </x:is>
      </x:c>
      <x:c r="C383" s="24" t="inlineStr">
        <x:is>
          <x:t xml:space="preserve">F02/F17/F18/F20</x:t>
        </x:is>
      </x:c>
      <x:c r="D383" s="24" t="inlineStr">
        <x:is>
          <x:t xml:space="preserve">DOC-017</x:t>
        </x:is>
      </x:c>
      <x:c r="E383" s="24" t="inlineStr">
        <x:is>
          <x:t xml:space="preserve">Triển khai phương án A</x:t>
        </x:is>
      </x:c>
      <x:c r="F383" s="24" t="inlineStr">
        <x:is>
          <x:t xml:space="preserve">Đã cập nhật</x:t>
        </x:is>
      </x:c>
      <x:c r="G383" s="24" t="inlineStr">
        <x:is>
          <x:t xml:space="preserve">Có</x:t>
        </x:is>
      </x:c>
      <x:c r="H383" s="24" t="inlineStr">
        <x:is>
          <x:t xml:space="preserve">Codex</x:t>
        </x:is>
      </x:c>
      <x:c r="I383" s="29" t="n">
        <x:v>46293</x:v>
      </x:c>
      <x:c r="J383"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83" s="24" t="inlineStr">
        <x:is>
          <x:t xml:space="preserve">Native/remoteCI chưa nghiệm thu; PLAN-004 production chưa hoàn thành.</x:t>
        </x:is>
      </x:c>
      <x:c r="L383" s="24" t="inlineStr">
        <x:is>
          <x:t xml:space="preserve">Hoàn tất phạm vi local</x:t>
        </x:is>
      </x:c>
    </x:row>
    <x:row r="384" ht="120" customHeight="1">
      <x:c r="A384" s="24" t="inlineStr">
        <x:is>
          <x:t xml:space="preserve">LOGTEST-20260928</x:t>
        </x:is>
      </x:c>
      <x:c r="B384" s="24" t="inlineStr">
        <x:is>
          <x:t xml:space="preserve">LOGTEST-01; LOGTEST-DESIGN-01</x:t>
        </x:is>
      </x:c>
      <x:c r="C384" s="24" t="inlineStr">
        <x:is>
          <x:t xml:space="preserve">F02/F17/F18/F20</x:t>
        </x:is>
      </x:c>
      <x:c r="D384" s="24" t="inlineStr">
        <x:is>
          <x:t xml:space="preserve">DOC-018</x:t>
        </x:is>
      </x:c>
      <x:c r="E384" s="24" t="inlineStr">
        <x:is>
          <x:t xml:space="preserve">Triển khai phương án A</x:t>
        </x:is>
      </x:c>
      <x:c r="F384" s="24" t="inlineStr">
        <x:is>
          <x:t xml:space="preserve">Đã cập nhật</x:t>
        </x:is>
      </x:c>
      <x:c r="G384" s="24" t="inlineStr">
        <x:is>
          <x:t xml:space="preserve">Có</x:t>
        </x:is>
      </x:c>
      <x:c r="H384" s="24" t="inlineStr">
        <x:is>
          <x:t xml:space="preserve">Codex</x:t>
        </x:is>
      </x:c>
      <x:c r="I384" s="29" t="n">
        <x:v>46293</x:v>
      </x:c>
      <x:c r="J384"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84" s="24" t="inlineStr">
        <x:is>
          <x:t xml:space="preserve">Native/remoteCI chưa nghiệm thu; PLAN-004 production chưa hoàn thành.</x:t>
        </x:is>
      </x:c>
      <x:c r="L384" s="24" t="inlineStr">
        <x:is>
          <x:t xml:space="preserve">Hoàn tất phạm vi local</x:t>
        </x:is>
      </x:c>
    </x:row>
    <x:row r="385" ht="120" customHeight="1">
      <x:c r="A385" s="24" t="inlineStr">
        <x:is>
          <x:t xml:space="preserve">LOGTEST-20260928</x:t>
        </x:is>
      </x:c>
      <x:c r="B385" s="24" t="inlineStr">
        <x:is>
          <x:t xml:space="preserve">LOGTEST-01; LOGTEST-DESIGN-01</x:t>
        </x:is>
      </x:c>
      <x:c r="C385" s="24" t="inlineStr">
        <x:is>
          <x:t xml:space="preserve">F02/F17/F18/F20</x:t>
        </x:is>
      </x:c>
      <x:c r="D385" s="24" t="inlineStr">
        <x:is>
          <x:t xml:space="preserve">DOC-030</x:t>
        </x:is>
      </x:c>
      <x:c r="E385" s="24" t="inlineStr">
        <x:is>
          <x:t xml:space="preserve">Triển khai phương án A</x:t>
        </x:is>
      </x:c>
      <x:c r="F385" s="24" t="inlineStr">
        <x:is>
          <x:t xml:space="preserve">Đã cập nhật</x:t>
        </x:is>
      </x:c>
      <x:c r="G385" s="24" t="inlineStr">
        <x:is>
          <x:t xml:space="preserve">Có</x:t>
        </x:is>
      </x:c>
      <x:c r="H385" s="24" t="inlineStr">
        <x:is>
          <x:t xml:space="preserve">Codex</x:t>
        </x:is>
      </x:c>
      <x:c r="I385" s="29" t="n">
        <x:v>46293</x:v>
      </x:c>
      <x:c r="J385"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85" s="24" t="inlineStr">
        <x:is>
          <x:t xml:space="preserve">Native/remoteCI chưa nghiệm thu; PLAN-004 production chưa hoàn thành.</x:t>
        </x:is>
      </x:c>
      <x:c r="L385" s="24" t="inlineStr">
        <x:is>
          <x:t xml:space="preserve">Hoàn tất phạm vi local</x:t>
        </x:is>
      </x:c>
    </x:row>
    <x:row r="386" ht="120" customHeight="1">
      <x:c r="A386" s="24" t="inlineStr">
        <x:is>
          <x:t xml:space="preserve">LOGTEST-20260928</x:t>
        </x:is>
      </x:c>
      <x:c r="B386" s="24" t="inlineStr">
        <x:is>
          <x:t xml:space="preserve">LOGTEST-01; LOGTEST-DESIGN-01</x:t>
        </x:is>
      </x:c>
      <x:c r="C386" s="24" t="inlineStr">
        <x:is>
          <x:t xml:space="preserve">F02/F17/F18/F20</x:t>
        </x:is>
      </x:c>
      <x:c r="D386" s="24" t="inlineStr">
        <x:is>
          <x:t xml:space="preserve">DOC-033</x:t>
        </x:is>
      </x:c>
      <x:c r="E386" s="24" t="inlineStr">
        <x:is>
          <x:t xml:space="preserve">Triển khai phương án A</x:t>
        </x:is>
      </x:c>
      <x:c r="F386" s="24" t="inlineStr">
        <x:is>
          <x:t xml:space="preserve">Đã cập nhật</x:t>
        </x:is>
      </x:c>
      <x:c r="G386" s="24" t="inlineStr">
        <x:is>
          <x:t xml:space="preserve">Có</x:t>
        </x:is>
      </x:c>
      <x:c r="H386" s="24" t="inlineStr">
        <x:is>
          <x:t xml:space="preserve">Codex</x:t>
        </x:is>
      </x:c>
      <x:c r="I386" s="29" t="n">
        <x:v>46293</x:v>
      </x:c>
      <x:c r="J386"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86" s="24" t="inlineStr">
        <x:is>
          <x:t xml:space="preserve">Native/remoteCI chưa nghiệm thu; PLAN-004 production chưa hoàn thành.</x:t>
        </x:is>
      </x:c>
      <x:c r="L386" s="24" t="inlineStr">
        <x:is>
          <x:t xml:space="preserve">Hoàn tất phạm vi local</x:t>
        </x:is>
      </x:c>
    </x:row>
    <x:row r="387" ht="120" customHeight="1">
      <x:c r="A387" s="24" t="inlineStr">
        <x:is>
          <x:t xml:space="preserve">LOGTEST-20260928</x:t>
        </x:is>
      </x:c>
      <x:c r="B387" s="24" t="inlineStr">
        <x:is>
          <x:t xml:space="preserve">LOGTEST-01; LOGTEST-DESIGN-01</x:t>
        </x:is>
      </x:c>
      <x:c r="C387" s="24" t="inlineStr">
        <x:is>
          <x:t xml:space="preserve">F02/F17/F18/F20</x:t>
        </x:is>
      </x:c>
      <x:c r="D387" s="24" t="inlineStr">
        <x:is>
          <x:t xml:space="preserve">DOC-071</x:t>
        </x:is>
      </x:c>
      <x:c r="E387" s="24" t="inlineStr">
        <x:is>
          <x:t xml:space="preserve">Triển khai phương án A</x:t>
        </x:is>
      </x:c>
      <x:c r="F387" s="24" t="inlineStr">
        <x:is>
          <x:t xml:space="preserve">Đã cập nhật</x:t>
        </x:is>
      </x:c>
      <x:c r="G387" s="24" t="inlineStr">
        <x:is>
          <x:t xml:space="preserve">Có</x:t>
        </x:is>
      </x:c>
      <x:c r="H387" s="24" t="inlineStr">
        <x:is>
          <x:t xml:space="preserve">Codex</x:t>
        </x:is>
      </x:c>
      <x:c r="I387" s="29" t="n">
        <x:v>46293</x:v>
      </x:c>
      <x:c r="J387" s="24" t="inlineStr">
        <x:is>
          <x:t xml:space="preserve">LOGTEST-01/DOC-071:31 mobile+26 API+2 tooling+2 web E2E PASS; coverage core API100/91.53, mobile100/95.70; load200/concurrency20 PASS. Negative coverage/failure artifacts đã kiểm. Native BLOCKED; remoteCI chưa chạy. Nguồn/served/ZIP và Drive cùng ID đọc lại.</x:t>
        </x:is>
      </x:c>
      <x:c r="K387" s="24" t="inlineStr">
        <x:is>
          <x:t xml:space="preserve">Native/remoteCI chưa nghiệm thu; PLAN-004 production chưa hoàn thành.</x:t>
        </x:is>
      </x:c>
      <x:c r="L387" s="24" t="inlineStr">
        <x:is>
          <x:t xml:space="preserve">Hoàn tất phạm vi local</x:t>
        </x:is>
      </x:c>
    </x:row>
    <x:row r="388" ht="120" customHeight="1">
      <x:c r="A388" s="24" t="inlineStr">
        <x:is>
          <x:t xml:space="preserve">LOGTEST-20260928</x:t>
        </x:is>
      </x:c>
      <x:c r="B388" s="24" t="inlineStr">
        <x:is>
          <x:t xml:space="preserve">LOGTEST-01</x:t>
        </x:is>
      </x:c>
      <x:c r="C388" s="24" t="inlineStr">
        <x:is>
          <x:t xml:space="preserve">F02/F17/F18/F20</x:t>
        </x:is>
      </x:c>
      <x:c r="D388" s="24" t="inlineStr">
        <x:is>
          <x:t xml:space="preserve">BRD/PRD/FR/SRS/ERD/UX</x:t>
        </x:is>
      </x:c>
      <x:c r="E388" s="24" t="inlineStr">
        <x:is>
          <x:t xml:space="preserve">Rà phạm vi nghiệp vụ</x:t>
        </x:is>
      </x:c>
      <x:c r="F388" s="24" t="inlineStr">
        <x:is>
          <x:t xml:space="preserve">Không áp dụng</x:t>
        </x:is>
      </x:c>
      <x:c r="G388" s="24" t="inlineStr">
        <x:is>
          <x:t xml:space="preserve">Có</x:t>
        </x:is>
      </x:c>
      <x:c r="H388" s="24" t="inlineStr">
        <x:is>
          <x:t xml:space="preserve">Codex</x:t>
        </x:is>
      </x:c>
      <x:c r="I388" s="29" t="n">
        <x:v>46293</x:v>
      </x:c>
      <x:c r="J388" s="24" t="inlineStr">
        <x:is>
          <x:t xml:space="preserve">Không đổi nghiệp vụ, quyền/trạng thái, SQL/seed, UI prototype hay ERD. Contract lỗi/header, kiến trúc API và QA được đồng bộ trong nguồn kỹ thuật.</x:t>
        </x:is>
      </x:c>
      <x:c r="K388" s="24" t="inlineStr">
        <x:is>
          <x:t xml:space="preserve">Không cập nhật UI ZIP/nguồn nghiệp vụ chỉ vì thay hạ tầng log/test.</x:t>
        </x:is>
      </x:c>
      <x:c r="L388" s="24" t="inlineStr">
        <x:is>
          <x:t xml:space="preserve">Không áp dụng</x:t>
        </x:is>
      </x:c>
    </x:row>
    <x:row r="389" ht="130" customHeight="1">
      <x:c r="A389" s="24" t="inlineStr">
        <x:is>
          <x:t xml:space="preserve">GUIDE-20260929</x:t>
        </x:is>
      </x:c>
      <x:c r="B389" s="24" t="inlineStr">
        <x:is>
          <x:t xml:space="preserve">MOBILE-GUIDE-01</x:t>
        </x:is>
      </x:c>
      <x:c r="C389" s="24" t="inlineStr">
        <x:is>
          <x:t xml:space="preserve">F17/F18/F20</x:t>
        </x:is>
      </x:c>
      <x:c r="D389" s="24" t="inlineStr">
        <x:is>
          <x:t xml:space="preserve">DOC-072</x:t>
        </x:is>
      </x:c>
      <x:c r="E389" s="24" t="inlineStr">
        <x:is>
          <x:t xml:space="preserve">Tạo hướng dẫn môi trường native, MCP và kiểm thử</x:t>
        </x:is>
      </x:c>
      <x:c r="F389" s="24" t="inlineStr">
        <x:is>
          <x:t xml:space="preserve">Đã cập nhật</x:t>
        </x:is>
      </x:c>
      <x:c r="G389" s="24" t="inlineStr">
        <x:is>
          <x:t xml:space="preserve">Có</x:t>
        </x:is>
      </x:c>
      <x:c r="H389" s="24" t="inlineStr">
        <x:is>
          <x:t xml:space="preserve">Codex</x:t>
        </x:is>
      </x:c>
      <x:c r="I389" s="29" t="n">
        <x:v>46294</x:v>
      </x:c>
      <x:c r="J389" s="24" t="inlineStr">
        <x:is>
          <x:t xml:space="preserve">DOC-072 v1.0; docs/huong-dan-mobile/README.md; 31 khối shell kiểm cú pháp; link local và ZIP parity; Drive DOC-081 đọc lại.</x:t>
        </x:is>
      </x:c>
      <x:c r="K389" s="24" t="inlineStr">
        <x:is>
          <x:t xml:space="preserve">Không coi hướng dẫn là build/test native đã đạt.</x:t>
        </x:is>
      </x:c>
      <x:c r="L389" s="24" t="inlineStr">
        <x:is>
          <x:t xml:space="preserve">Hoàn tất</x:t>
        </x:is>
      </x:c>
    </x:row>
    <x:row r="390" ht="130" customHeight="1">
      <x:c r="A390" s="24" t="inlineStr">
        <x:is>
          <x:t xml:space="preserve">GUIDE-20260929</x:t>
        </x:is>
      </x:c>
      <x:c r="B390" s="24" t="inlineStr">
        <x:is>
          <x:t xml:space="preserve">MOBILE-GUIDE-01</x:t>
        </x:is>
      </x:c>
      <x:c r="C390" s="24" t="inlineStr">
        <x:is>
          <x:t xml:space="preserve">F17/F18/F20</x:t>
        </x:is>
      </x:c>
      <x:c r="D390" s="24" t="inlineStr">
        <x:is>
          <x:t xml:space="preserve">DOC-073</x:t>
        </x:is>
      </x:c>
      <x:c r="E390" s="24" t="inlineStr">
        <x:is>
          <x:t xml:space="preserve">Tạo hướng dẫn môi trường native, MCP và kiểm thử</x:t>
        </x:is>
      </x:c>
      <x:c r="F390" s="24" t="inlineStr">
        <x:is>
          <x:t xml:space="preserve">Đã cập nhật</x:t>
        </x:is>
      </x:c>
      <x:c r="G390" s="24" t="inlineStr">
        <x:is>
          <x:t xml:space="preserve">Có</x:t>
        </x:is>
      </x:c>
      <x:c r="H390" s="24" t="inlineStr">
        <x:is>
          <x:t xml:space="preserve">Codex</x:t>
        </x:is>
      </x:c>
      <x:c r="I390" s="29" t="n">
        <x:v>46294</x:v>
      </x:c>
      <x:c r="J390" s="24" t="inlineStr">
        <x:is>
          <x:t xml:space="preserve">DOC-073 v1.0; docs/huong-dan-mobile/01-chuan-bi-may.md; 31 khối shell kiểm cú pháp; link local và ZIP parity; Drive DOC-081 đọc lại.</x:t>
        </x:is>
      </x:c>
      <x:c r="K390" s="24" t="inlineStr">
        <x:is>
          <x:t xml:space="preserve">Không coi hướng dẫn là build/test native đã đạt.</x:t>
        </x:is>
      </x:c>
      <x:c r="L390" s="24" t="inlineStr">
        <x:is>
          <x:t xml:space="preserve">Hoàn tất</x:t>
        </x:is>
      </x:c>
    </x:row>
    <x:row r="391" ht="130" customHeight="1">
      <x:c r="A391" s="24" t="inlineStr">
        <x:is>
          <x:t xml:space="preserve">GUIDE-20260929</x:t>
        </x:is>
      </x:c>
      <x:c r="B391" s="24" t="inlineStr">
        <x:is>
          <x:t xml:space="preserve">MOBILE-GUIDE-01</x:t>
        </x:is>
      </x:c>
      <x:c r="C391" s="24" t="inlineStr">
        <x:is>
          <x:t xml:space="preserve">F17/F18/F20</x:t>
        </x:is>
      </x:c>
      <x:c r="D391" s="24" t="inlineStr">
        <x:is>
          <x:t xml:space="preserve">DOC-074</x:t>
        </x:is>
      </x:c>
      <x:c r="E391" s="24" t="inlineStr">
        <x:is>
          <x:t xml:space="preserve">Tạo hướng dẫn môi trường native, MCP và kiểm thử</x:t>
        </x:is>
      </x:c>
      <x:c r="F391" s="24" t="inlineStr">
        <x:is>
          <x:t xml:space="preserve">Đã cập nhật</x:t>
        </x:is>
      </x:c>
      <x:c r="G391" s="24" t="inlineStr">
        <x:is>
          <x:t xml:space="preserve">Có</x:t>
        </x:is>
      </x:c>
      <x:c r="H391" s="24" t="inlineStr">
        <x:is>
          <x:t xml:space="preserve">Codex</x:t>
        </x:is>
      </x:c>
      <x:c r="I391" s="29" t="n">
        <x:v>46294</x:v>
      </x:c>
      <x:c r="J391" s="24" t="inlineStr">
        <x:is>
          <x:t xml:space="preserve">DOC-074 v1.0; docs/huong-dan-mobile/02-android.md; 31 khối shell kiểm cú pháp; link local và ZIP parity; Drive DOC-081 đọc lại.</x:t>
        </x:is>
      </x:c>
      <x:c r="K391" s="24" t="inlineStr">
        <x:is>
          <x:t xml:space="preserve">Không coi hướng dẫn là build/test native đã đạt.</x:t>
        </x:is>
      </x:c>
      <x:c r="L391" s="24" t="inlineStr">
        <x:is>
          <x:t xml:space="preserve">Hoàn tất</x:t>
        </x:is>
      </x:c>
    </x:row>
    <x:row r="392" ht="130" customHeight="1">
      <x:c r="A392" s="24" t="inlineStr">
        <x:is>
          <x:t xml:space="preserve">GUIDE-20260929</x:t>
        </x:is>
      </x:c>
      <x:c r="B392" s="24" t="inlineStr">
        <x:is>
          <x:t xml:space="preserve">MOBILE-GUIDE-01</x:t>
        </x:is>
      </x:c>
      <x:c r="C392" s="24" t="inlineStr">
        <x:is>
          <x:t xml:space="preserve">F17/F18/F20</x:t>
        </x:is>
      </x:c>
      <x:c r="D392" s="24" t="inlineStr">
        <x:is>
          <x:t xml:space="preserve">DOC-075</x:t>
        </x:is>
      </x:c>
      <x:c r="E392" s="24" t="inlineStr">
        <x:is>
          <x:t xml:space="preserve">Tạo hướng dẫn môi trường native, MCP và kiểm thử</x:t>
        </x:is>
      </x:c>
      <x:c r="F392" s="24" t="inlineStr">
        <x:is>
          <x:t xml:space="preserve">Đã cập nhật</x:t>
        </x:is>
      </x:c>
      <x:c r="G392" s="24" t="inlineStr">
        <x:is>
          <x:t xml:space="preserve">Có</x:t>
        </x:is>
      </x:c>
      <x:c r="H392" s="24" t="inlineStr">
        <x:is>
          <x:t xml:space="preserve">Codex</x:t>
        </x:is>
      </x:c>
      <x:c r="I392" s="29" t="n">
        <x:v>46294</x:v>
      </x:c>
      <x:c r="J392" s="24" t="inlineStr">
        <x:is>
          <x:t xml:space="preserve">DOC-075 v1.0; docs/huong-dan-mobile/03-ios.md; 31 khối shell kiểm cú pháp; link local và ZIP parity; Drive DOC-081 đọc lại.</x:t>
        </x:is>
      </x:c>
      <x:c r="K392" s="24" t="inlineStr">
        <x:is>
          <x:t xml:space="preserve">Không coi hướng dẫn là build/test native đã đạt.</x:t>
        </x:is>
      </x:c>
      <x:c r="L392" s="24" t="inlineStr">
        <x:is>
          <x:t xml:space="preserve">Hoàn tất</x:t>
        </x:is>
      </x:c>
    </x:row>
    <x:row r="393" ht="130" customHeight="1">
      <x:c r="A393" s="24" t="inlineStr">
        <x:is>
          <x:t xml:space="preserve">GUIDE-20260929</x:t>
        </x:is>
      </x:c>
      <x:c r="B393" s="24" t="inlineStr">
        <x:is>
          <x:t xml:space="preserve">MOBILE-GUIDE-01</x:t>
        </x:is>
      </x:c>
      <x:c r="C393" s="24" t="inlineStr">
        <x:is>
          <x:t xml:space="preserve">F17/F18/F20</x:t>
        </x:is>
      </x:c>
      <x:c r="D393" s="24" t="inlineStr">
        <x:is>
          <x:t xml:space="preserve">DOC-076</x:t>
        </x:is>
      </x:c>
      <x:c r="E393" s="24" t="inlineStr">
        <x:is>
          <x:t xml:space="preserve">Tạo hướng dẫn môi trường native, MCP và kiểm thử</x:t>
        </x:is>
      </x:c>
      <x:c r="F393" s="24" t="inlineStr">
        <x:is>
          <x:t xml:space="preserve">Đã cập nhật</x:t>
        </x:is>
      </x:c>
      <x:c r="G393" s="24" t="inlineStr">
        <x:is>
          <x:t xml:space="preserve">Có</x:t>
        </x:is>
      </x:c>
      <x:c r="H393" s="24" t="inlineStr">
        <x:is>
          <x:t xml:space="preserve">Codex</x:t>
        </x:is>
      </x:c>
      <x:c r="I393" s="29" t="n">
        <x:v>46294</x:v>
      </x:c>
      <x:c r="J393" s="24" t="inlineStr">
        <x:is>
          <x:t xml:space="preserve">DOC-076 v1.0; docs/huong-dan-mobile/04-chay-app.md; 31 khối shell kiểm cú pháp; link local và ZIP parity; Drive DOC-081 đọc lại.</x:t>
        </x:is>
      </x:c>
      <x:c r="K393" s="24" t="inlineStr">
        <x:is>
          <x:t xml:space="preserve">Không coi hướng dẫn là build/test native đã đạt.</x:t>
        </x:is>
      </x:c>
      <x:c r="L393" s="24" t="inlineStr">
        <x:is>
          <x:t xml:space="preserve">Hoàn tất</x:t>
        </x:is>
      </x:c>
    </x:row>
    <x:row r="394" ht="130" customHeight="1">
      <x:c r="A394" s="24" t="inlineStr">
        <x:is>
          <x:t xml:space="preserve">GUIDE-20260929</x:t>
        </x:is>
      </x:c>
      <x:c r="B394" s="24" t="inlineStr">
        <x:is>
          <x:t xml:space="preserve">MOBILE-GUIDE-01</x:t>
        </x:is>
      </x:c>
      <x:c r="C394" s="24" t="inlineStr">
        <x:is>
          <x:t xml:space="preserve">F17/F18/F20</x:t>
        </x:is>
      </x:c>
      <x:c r="D394" s="24" t="inlineStr">
        <x:is>
          <x:t xml:space="preserve">DOC-077</x:t>
        </x:is>
      </x:c>
      <x:c r="E394" s="24" t="inlineStr">
        <x:is>
          <x:t xml:space="preserve">Tạo hướng dẫn môi trường native, MCP và kiểm thử</x:t>
        </x:is>
      </x:c>
      <x:c r="F394" s="24" t="inlineStr">
        <x:is>
          <x:t xml:space="preserve">Đã cập nhật</x:t>
        </x:is>
      </x:c>
      <x:c r="G394" s="24" t="inlineStr">
        <x:is>
          <x:t xml:space="preserve">Có</x:t>
        </x:is>
      </x:c>
      <x:c r="H394" s="24" t="inlineStr">
        <x:is>
          <x:t xml:space="preserve">Codex</x:t>
        </x:is>
      </x:c>
      <x:c r="I394" s="29" t="n">
        <x:v>46294</x:v>
      </x:c>
      <x:c r="J394" s="24" t="inlineStr">
        <x:is>
          <x:t xml:space="preserve">DOC-077 v1.0; docs/huong-dan-mobile/05-mcp.md; 31 khối shell kiểm cú pháp; link local và ZIP parity; Drive DOC-081 đọc lại.</x:t>
        </x:is>
      </x:c>
      <x:c r="K394" s="24" t="inlineStr">
        <x:is>
          <x:t xml:space="preserve">Không coi hướng dẫn là build/test native đã đạt.</x:t>
        </x:is>
      </x:c>
      <x:c r="L394" s="24" t="inlineStr">
        <x:is>
          <x:t xml:space="preserve">Hoàn tất</x:t>
        </x:is>
      </x:c>
    </x:row>
    <x:row r="395" ht="130" customHeight="1">
      <x:c r="A395" s="24" t="inlineStr">
        <x:is>
          <x:t xml:space="preserve">GUIDE-20260929</x:t>
        </x:is>
      </x:c>
      <x:c r="B395" s="24" t="inlineStr">
        <x:is>
          <x:t xml:space="preserve">MOBILE-GUIDE-01</x:t>
        </x:is>
      </x:c>
      <x:c r="C395" s="24" t="inlineStr">
        <x:is>
          <x:t xml:space="preserve">F17/F18/F20</x:t>
        </x:is>
      </x:c>
      <x:c r="D395" s="24" t="inlineStr">
        <x:is>
          <x:t xml:space="preserve">DOC-078</x:t>
        </x:is>
      </x:c>
      <x:c r="E395" s="24" t="inlineStr">
        <x:is>
          <x:t xml:space="preserve">Tạo hướng dẫn môi trường native, MCP và kiểm thử</x:t>
        </x:is>
      </x:c>
      <x:c r="F395" s="24" t="inlineStr">
        <x:is>
          <x:t xml:space="preserve">Đã cập nhật</x:t>
        </x:is>
      </x:c>
      <x:c r="G395" s="24" t="inlineStr">
        <x:is>
          <x:t xml:space="preserve">Có</x:t>
        </x:is>
      </x:c>
      <x:c r="H395" s="24" t="inlineStr">
        <x:is>
          <x:t xml:space="preserve">Codex</x:t>
        </x:is>
      </x:c>
      <x:c r="I395" s="29" t="n">
        <x:v>46294</x:v>
      </x:c>
      <x:c r="J395" s="24" t="inlineStr">
        <x:is>
          <x:t xml:space="preserve">DOC-078 v1.0; docs/huong-dan-mobile/06-kiem-thu-log.md; 31 khối shell kiểm cú pháp; link local và ZIP parity; Drive DOC-081 đọc lại.</x:t>
        </x:is>
      </x:c>
      <x:c r="K395" s="24" t="inlineStr">
        <x:is>
          <x:t xml:space="preserve">Không coi hướng dẫn là build/test native đã đạt.</x:t>
        </x:is>
      </x:c>
      <x:c r="L395" s="24" t="inlineStr">
        <x:is>
          <x:t xml:space="preserve">Hoàn tất</x:t>
        </x:is>
      </x:c>
    </x:row>
    <x:row r="396" ht="130" customHeight="1">
      <x:c r="A396" s="24" t="inlineStr">
        <x:is>
          <x:t xml:space="preserve">GUIDE-20260929</x:t>
        </x:is>
      </x:c>
      <x:c r="B396" s="24" t="inlineStr">
        <x:is>
          <x:t xml:space="preserve">MOBILE-GUIDE-01</x:t>
        </x:is>
      </x:c>
      <x:c r="C396" s="24" t="inlineStr">
        <x:is>
          <x:t xml:space="preserve">F17/F18/F20</x:t>
        </x:is>
      </x:c>
      <x:c r="D396" s="24" t="inlineStr">
        <x:is>
          <x:t xml:space="preserve">DOC-079</x:t>
        </x:is>
      </x:c>
      <x:c r="E396" s="24" t="inlineStr">
        <x:is>
          <x:t xml:space="preserve">Tạo hướng dẫn môi trường native, MCP và kiểm thử</x:t>
        </x:is>
      </x:c>
      <x:c r="F396" s="24" t="inlineStr">
        <x:is>
          <x:t xml:space="preserve">Đã cập nhật</x:t>
        </x:is>
      </x:c>
      <x:c r="G396" s="24" t="inlineStr">
        <x:is>
          <x:t xml:space="preserve">Có</x:t>
        </x:is>
      </x:c>
      <x:c r="H396" s="24" t="inlineStr">
        <x:is>
          <x:t xml:space="preserve">Codex</x:t>
        </x:is>
      </x:c>
      <x:c r="I396" s="29" t="n">
        <x:v>46294</x:v>
      </x:c>
      <x:c r="J396" s="24" t="inlineStr">
        <x:is>
          <x:t xml:space="preserve">DOC-079 v1.0; docs/huong-dan-mobile/07-ke-hoach-khung-app.md; 31 khối shell kiểm cú pháp; link local và ZIP parity; Drive DOC-081 đọc lại.</x:t>
        </x:is>
      </x:c>
      <x:c r="K396" s="24" t="inlineStr">
        <x:is>
          <x:t xml:space="preserve">Không coi hướng dẫn là build/test native đã đạt.</x:t>
        </x:is>
      </x:c>
      <x:c r="L396" s="24" t="inlineStr">
        <x:is>
          <x:t xml:space="preserve">Hoàn tất</x:t>
        </x:is>
      </x:c>
    </x:row>
    <x:row r="397" ht="130" customHeight="1">
      <x:c r="A397" s="24" t="inlineStr">
        <x:is>
          <x:t xml:space="preserve">GUIDE-20260929</x:t>
        </x:is>
      </x:c>
      <x:c r="B397" s="24" t="inlineStr">
        <x:is>
          <x:t xml:space="preserve">MOBILE-GUIDE-01</x:t>
        </x:is>
      </x:c>
      <x:c r="C397" s="24" t="inlineStr">
        <x:is>
          <x:t xml:space="preserve">F17/F18/F20</x:t>
        </x:is>
      </x:c>
      <x:c r="D397" s="24" t="inlineStr">
        <x:is>
          <x:t xml:space="preserve">DOC-080</x:t>
        </x:is>
      </x:c>
      <x:c r="E397" s="24" t="inlineStr">
        <x:is>
          <x:t xml:space="preserve">Tạo hướng dẫn môi trường native, MCP và kiểm thử</x:t>
        </x:is>
      </x:c>
      <x:c r="F397" s="24" t="inlineStr">
        <x:is>
          <x:t xml:space="preserve">Đã cập nhật</x:t>
        </x:is>
      </x:c>
      <x:c r="G397" s="24" t="inlineStr">
        <x:is>
          <x:t xml:space="preserve">Có</x:t>
        </x:is>
      </x:c>
      <x:c r="H397" s="24" t="inlineStr">
        <x:is>
          <x:t xml:space="preserve">Codex</x:t>
        </x:is>
      </x:c>
      <x:c r="I397" s="29" t="n">
        <x:v>46294</x:v>
      </x:c>
      <x:c r="J397" s="24" t="inlineStr">
        <x:is>
          <x:t xml:space="preserve">DOC-080 v1.0; docs/huong-dan-mobile/08-xu-ly-loi.md; 31 khối shell kiểm cú pháp; link local và ZIP parity; Drive DOC-081 đọc lại.</x:t>
        </x:is>
      </x:c>
      <x:c r="K397" s="24" t="inlineStr">
        <x:is>
          <x:t xml:space="preserve">Không coi hướng dẫn là build/test native đã đạt.</x:t>
        </x:is>
      </x:c>
      <x:c r="L397" s="24" t="inlineStr">
        <x:is>
          <x:t xml:space="preserve">Hoàn tất</x:t>
        </x:is>
      </x:c>
    </x:row>
    <x:row r="398" ht="130" customHeight="1">
      <x:c r="A398" s="24" t="inlineStr">
        <x:is>
          <x:t xml:space="preserve">GUIDE-20260929</x:t>
        </x:is>
      </x:c>
      <x:c r="B398" s="24" t="inlineStr">
        <x:is>
          <x:t xml:space="preserve">MOBILE-GUIDE-01</x:t>
        </x:is>
      </x:c>
      <x:c r="C398" s="24" t="inlineStr">
        <x:is>
          <x:t xml:space="preserve">F17/F18/F20</x:t>
        </x:is>
      </x:c>
      <x:c r="D398" s="24" t="inlineStr">
        <x:is>
          <x:t xml:space="preserve">DOC-081</x:t>
        </x:is>
      </x:c>
      <x:c r="E398" s="24" t="inlineStr">
        <x:is>
          <x:t xml:space="preserve">Tạo hướng dẫn môi trường native, MCP và kiểm thử</x:t>
        </x:is>
      </x:c>
      <x:c r="F398" s="24" t="inlineStr">
        <x:is>
          <x:t xml:space="preserve">Đã cập nhật</x:t>
        </x:is>
      </x:c>
      <x:c r="G398" s="24" t="inlineStr">
        <x:is>
          <x:t xml:space="preserve">Có</x:t>
        </x:is>
      </x:c>
      <x:c r="H398" s="24" t="inlineStr">
        <x:is>
          <x:t xml:space="preserve">Codex</x:t>
        </x:is>
      </x:c>
      <x:c r="I398" s="29" t="n">
        <x:v>46294</x:v>
      </x:c>
      <x:c r="J398" s="24" t="inlineStr">
        <x:is>
          <x:t xml:space="preserve">DOC-081 v1.0; docs/huong-dan-mobile/huong-dan-mobile-v1.0.zip; 31 khối shell kiểm cú pháp; link local và ZIP parity; Drive DOC-081 đọc lại.</x:t>
        </x:is>
      </x:c>
      <x:c r="K398" s="24" t="inlineStr">
        <x:is>
          <x:t xml:space="preserve">Không coi hướng dẫn là build/test native đã đạt.</x:t>
        </x:is>
      </x:c>
      <x:c r="L398" s="24" t="inlineStr">
        <x:is>
          <x:t xml:space="preserve">Hoàn tất</x:t>
        </x:is>
      </x:c>
    </x:row>
    <x:row r="399" ht="130" customHeight="1">
      <x:c r="A399" s="24" t="inlineStr">
        <x:is>
          <x:t xml:space="preserve">GUIDE-20260929</x:t>
        </x:is>
      </x:c>
      <x:c r="B399" s="24" t="inlineStr">
        <x:is>
          <x:t xml:space="preserve">MOBILE-GUIDE-01</x:t>
        </x:is>
      </x:c>
      <x:c r="C399" s="24" t="inlineStr">
        <x:is>
          <x:t xml:space="preserve">F17/F18/F20</x:t>
        </x:is>
      </x:c>
      <x:c r="D399" s="24" t="inlineStr">
        <x:is>
          <x:t xml:space="preserve">DOC-054/064/065/066/069/070/071</x:t>
        </x:is>
      </x:c>
      <x:c r="E399" s="24" t="inlineStr">
        <x:is>
          <x:t xml:space="preserve">Rà phụ thuộc hướng dẫn hiện hành</x:t>
        </x:is>
      </x:c>
      <x:c r="F399" s="24" t="inlineStr">
        <x:is>
          <x:t xml:space="preserve">Không áp dụng</x:t>
        </x:is>
      </x:c>
      <x:c r="G399" s="24" t="inlineStr">
        <x:is>
          <x:t xml:space="preserve">Có</x:t>
        </x:is>
      </x:c>
      <x:c r="H399" s="24" t="inlineStr">
        <x:is>
          <x:t xml:space="preserve">Codex</x:t>
        </x:is>
      </x:c>
      <x:c r="I399" s="29" t="n">
        <x:v>46294</x:v>
      </x:c>
      <x:c r="J399" s="24" t="inlineStr">
        <x:is>
          <x:t xml:space="preserve">Đã đối chiếu package/scripts/config, DOC-064/065/070/071. Không đổi code/cách chạy hiện có; guide ghi rõ bước chuẩn bị chưa thực hiện.</x:t>
        </x:is>
      </x:c>
      <x:c r="K399" s="24" t="inlineStr">
        <x:is>
          <x:t xml:space="preserve">Giữ các runbook và ZIP kỹ thuật 28/09 làm bằng chứng theo đợt. Bộ hướng dẫn mới DOC-072–081 độc lập.</x:t>
        </x:is>
      </x:c>
      <x:c r="L399" s="24" t="inlineStr">
        <x:is>
          <x:t xml:space="preserve">Không áp dụng</x:t>
        </x:is>
      </x:c>
    </x:row>
    <x:row r="400" ht="130" customHeight="1">
      <x:c r="A400" s="24" t="inlineStr">
        <x:is>
          <x:t xml:space="preserve">GUIDE-20260929</x:t>
        </x:is>
      </x:c>
      <x:c r="B400" s="24" t="inlineStr">
        <x:is>
          <x:t xml:space="preserve">MOBILE-GUIDE-01</x:t>
        </x:is>
      </x:c>
      <x:c r="C400" s="24" t="inlineStr">
        <x:is>
          <x:t xml:space="preserve">F17/F18/F20</x:t>
        </x:is>
      </x:c>
      <x:c r="D400" s="24" t="inlineStr">
        <x:is>
          <x:t xml:space="preserve">BRD/PRD/FR/SRS/UX/ERD/API/QA/prototype</x:t>
        </x:is>
      </x:c>
      <x:c r="E400" s="24" t="inlineStr">
        <x:is>
          <x:t xml:space="preserve">Rà tác động nghiệp vụ và bản xuất</x:t>
        </x:is>
      </x:c>
      <x:c r="F400" s="24" t="inlineStr">
        <x:is>
          <x:t xml:space="preserve">Không áp dụng</x:t>
        </x:is>
      </x:c>
      <x:c r="G400" s="24" t="inlineStr">
        <x:is>
          <x:t xml:space="preserve">Có</x:t>
        </x:is>
      </x:c>
      <x:c r="H400" s="24" t="inlineStr">
        <x:is>
          <x:t xml:space="preserve">Codex</x:t>
        </x:is>
      </x:c>
      <x:c r="I400" s="29" t="n">
        <x:v>46294</x:v>
      </x:c>
      <x:c r="J400" s="24" t="inlineStr">
        <x:is>
          <x:t xml:space="preserve">Chỉ bổ sung hướng dẫn cài/chạy/test; không đổi contract, DB, quyền, nghiệp vụ hoặc kết quả nghiệm thu.</x:t>
        </x:is>
      </x:c>
      <x:c r="K400" s="24" t="inlineStr">
        <x:is>
          <x:t xml:space="preserve">Không tạo lại HTML/localhost/ZIP thiết kế vì nguồn không đổi; guide chỉ có Markdown và DOC-081 ZIP.</x:t>
        </x:is>
      </x:c>
      <x:c r="L400" s="24" t="inlineStr">
        <x:is>
          <x:t xml:space="preserve">Không áp dụng</x:t>
        </x:is>
      </x:c>
    </x:row>
    <x:row r="401" ht="85" customHeight="1">
      <x:c r="A401" s="24" t="inlineStr">
        <x:is>
          <x:t xml:space="preserve">PATH-20260929</x:t>
        </x:is>
      </x:c>
      <x:c r="B401" s="24" t="inlineStr">
        <x:is>
          <x:t xml:space="preserve">PATH-01</x:t>
        </x:is>
      </x:c>
      <x:c r="C401" s="24" t="inlineStr">
        <x:is>
          <x:t xml:space="preserve">F17/F18/F20</x:t>
        </x:is>
      </x:c>
      <x:c r="D401" s="24" t="inlineStr">
        <x:is>
          <x:t xml:space="preserve">DOC-011</x:t>
        </x:is>
      </x:c>
      <x:c r="E401" s="24" t="inlineStr">
        <x:is>
          <x:t xml:space="preserve">Bỏ alias outputs; đồng bộ đường dẫn và bản xuất liên quan</x:t>
        </x:is>
      </x:c>
      <x:c r="F401" s="24" t="inlineStr">
        <x:is>
          <x:t xml:space="preserve">Đã cập nhật</x:t>
        </x:is>
      </x:c>
      <x:c r="G401" s="24" t="inlineStr">
        <x:is>
          <x:t xml:space="preserve">Có</x:t>
        </x:is>
      </x:c>
      <x:c r="H401" s="24" t="inlineStr">
        <x:is>
          <x:t xml:space="preserve">Codex</x:t>
        </x:is>
      </x:c>
      <x:c r="I401" s="30" t="n">
        <x:v>46294</x:v>
      </x:c>
      <x:c r="J401" s="24" t="inlineStr">
        <x:is>
          <x:t xml:space="preserve">v0.1.1 / PATH-01; docs/project-docs/01-danh-muc-ho-so.md; kiểm local + ZIP parity; Drive cùng ID đã đọc lại metadata/kích thước.</x:t>
        </x:is>
      </x:c>
      <x:c r="K401" s="24" t="n"/>
      <x:c r="L401" s="24" t="inlineStr">
        <x:is>
          <x:t xml:space="preserve">Hoàn tất</x:t>
        </x:is>
      </x:c>
    </x:row>
    <x:row r="402" ht="85" customHeight="1">
      <x:c r="A402" s="24" t="inlineStr">
        <x:is>
          <x:t xml:space="preserve">PATH-20260929</x:t>
        </x:is>
      </x:c>
      <x:c r="B402" s="24" t="inlineStr">
        <x:is>
          <x:t xml:space="preserve">PATH-01</x:t>
        </x:is>
      </x:c>
      <x:c r="C402" s="24" t="inlineStr">
        <x:is>
          <x:t xml:space="preserve">F17/F18/F20</x:t>
        </x:is>
      </x:c>
      <x:c r="D402" s="24" t="inlineStr">
        <x:is>
          <x:t xml:space="preserve">DOC-018</x:t>
        </x:is>
      </x:c>
      <x:c r="E402" s="24" t="inlineStr">
        <x:is>
          <x:t xml:space="preserve">Bỏ alias outputs; đồng bộ đường dẫn và bản xuất liên quan</x:t>
        </x:is>
      </x:c>
      <x:c r="F402" s="24" t="inlineStr">
        <x:is>
          <x:t xml:space="preserve">Đã cập nhật</x:t>
        </x:is>
      </x:c>
      <x:c r="G402" s="24" t="inlineStr">
        <x:is>
          <x:t xml:space="preserve">Có</x:t>
        </x:is>
      </x:c>
      <x:c r="H402" s="24" t="inlineStr">
        <x:is>
          <x:t xml:space="preserve">Codex</x:t>
        </x:is>
      </x:c>
      <x:c r="I402" s="30" t="n">
        <x:v>46294</x:v>
      </x:c>
      <x:c r="J402" s="24" t="inlineStr">
        <x:is>
          <x:t xml:space="preserve">v0.1.1 / PATH-01; docs/project-docs/architecture-source-v0.1.1.zip; kiểm local + ZIP parity; Drive cùng ID đã đọc lại metadata/kích thước.</x:t>
        </x:is>
      </x:c>
      <x:c r="K402" s="24" t="n"/>
      <x:c r="L402" s="24" t="inlineStr">
        <x:is>
          <x:t xml:space="preserve">Hoàn tất</x:t>
        </x:is>
      </x:c>
    </x:row>
    <x:row r="403" ht="85" customHeight="1">
      <x:c r="A403" s="24" t="inlineStr">
        <x:is>
          <x:t xml:space="preserve">PATH-20260929</x:t>
        </x:is>
      </x:c>
      <x:c r="B403" s="24" t="inlineStr">
        <x:is>
          <x:t xml:space="preserve">PATH-01</x:t>
        </x:is>
      </x:c>
      <x:c r="C403" s="24" t="inlineStr">
        <x:is>
          <x:t xml:space="preserve">F17/F18/F20</x:t>
        </x:is>
      </x:c>
      <x:c r="D403" s="24" t="inlineStr">
        <x:is>
          <x:t xml:space="preserve">DOC-040</x:t>
        </x:is>
      </x:c>
      <x:c r="E403" s="24" t="inlineStr">
        <x:is>
          <x:t xml:space="preserve">Bỏ alias outputs; đồng bộ đường dẫn và bản xuất liên quan</x:t>
        </x:is>
      </x:c>
      <x:c r="F403" s="24" t="inlineStr">
        <x:is>
          <x:t xml:space="preserve">Đã cập nhật</x:t>
        </x:is>
      </x:c>
      <x:c r="G403" s="24" t="inlineStr">
        <x:is>
          <x:t xml:space="preserve">Có</x:t>
        </x:is>
      </x:c>
      <x:c r="H403" s="24" t="inlineStr">
        <x:is>
          <x:t xml:space="preserve">Codex</x:t>
        </x:is>
      </x:c>
      <x:c r="I403" s="30" t="n">
        <x:v>46294</x:v>
      </x:c>
      <x:c r="J403" s="24" t="inlineStr">
        <x:is>
          <x:t xml:space="preserve">v0.1.1 / PATH-01; docs/technical-design/technical-design-v0.1.1.zip; kiểm local + ZIP parity; Drive cùng ID đã đọc lại metadata/kích thước.</x:t>
        </x:is>
      </x:c>
      <x:c r="K403" s="24" t="n"/>
      <x:c r="L403" s="24" t="inlineStr">
        <x:is>
          <x:t xml:space="preserve">Hoàn tất</x:t>
        </x:is>
      </x:c>
    </x:row>
    <x:row r="404" ht="85" customHeight="1">
      <x:c r="A404" s="24" t="inlineStr">
        <x:is>
          <x:t xml:space="preserve">PATH-20260929</x:t>
        </x:is>
      </x:c>
      <x:c r="B404" s="24" t="inlineStr">
        <x:is>
          <x:t xml:space="preserve">PATH-01</x:t>
        </x:is>
      </x:c>
      <x:c r="C404" s="24" t="inlineStr">
        <x:is>
          <x:t xml:space="preserve">F17/F18/F20</x:t>
        </x:is>
      </x:c>
      <x:c r="D404" s="24" t="inlineStr">
        <x:is>
          <x:t xml:space="preserve">DOC-050</x:t>
        </x:is>
      </x:c>
      <x:c r="E404" s="24" t="inlineStr">
        <x:is>
          <x:t xml:space="preserve">Bỏ alias outputs; đồng bộ đường dẫn và bản xuất liên quan</x:t>
        </x:is>
      </x:c>
      <x:c r="F404" s="24" t="inlineStr">
        <x:is>
          <x:t xml:space="preserve">Đã cập nhật</x:t>
        </x:is>
      </x:c>
      <x:c r="G404" s="24" t="inlineStr">
        <x:is>
          <x:t xml:space="preserve">Có</x:t>
        </x:is>
      </x:c>
      <x:c r="H404" s="24" t="inlineStr">
        <x:is>
          <x:t xml:space="preserve">Codex</x:t>
        </x:is>
      </x:c>
      <x:c r="I404" s="30" t="n">
        <x:v>46294</x:v>
      </x:c>
      <x:c r="J404" s="24" t="inlineStr">
        <x:is>
          <x:t xml:space="preserve">v0.15 / gói PATH-01; ui-ux/exports/UI-UX-v0.19.zip; kiểm local + ZIP parity; Drive cùng ID đã đọc lại metadata/kích thước.</x:t>
        </x:is>
      </x:c>
      <x:c r="K404" s="24" t="n"/>
      <x:c r="L404" s="24" t="inlineStr">
        <x:is>
          <x:t xml:space="preserve">Hoàn tất</x:t>
        </x:is>
      </x:c>
    </x:row>
    <x:row r="405" ht="85" customHeight="1">
      <x:c r="A405" s="24" t="inlineStr">
        <x:is>
          <x:t xml:space="preserve">PATH-20260929</x:t>
        </x:is>
      </x:c>
      <x:c r="B405" s="24" t="inlineStr">
        <x:is>
          <x:t xml:space="preserve">PATH-01</x:t>
        </x:is>
      </x:c>
      <x:c r="C405" s="24" t="inlineStr">
        <x:is>
          <x:t xml:space="preserve">F17/F18/F20</x:t>
        </x:is>
      </x:c>
      <x:c r="D405" s="24" t="inlineStr">
        <x:is>
          <x:t xml:space="preserve">DOC-054</x:t>
        </x:is>
      </x:c>
      <x:c r="E405" s="24" t="inlineStr">
        <x:is>
          <x:t xml:space="preserve">Bỏ alias outputs; đồng bộ đường dẫn và bản xuất liên quan</x:t>
        </x:is>
      </x:c>
      <x:c r="F405" s="24" t="inlineStr">
        <x:is>
          <x:t xml:space="preserve">Đã cập nhật</x:t>
        </x:is>
      </x:c>
      <x:c r="G405" s="24" t="inlineStr">
        <x:is>
          <x:t xml:space="preserve">Có</x:t>
        </x:is>
      </x:c>
      <x:c r="H405" s="24" t="inlineStr">
        <x:is>
          <x:t xml:space="preserve">Codex</x:t>
        </x:is>
      </x:c>
      <x:c r="I405" s="30" t="n">
        <x:v>46294</x:v>
      </x:c>
      <x:c r="J405" s="24" t="inlineStr">
        <x:is>
          <x:t xml:space="preserve">v0.4 / PATH-01; README.md trong DOC-040 và UI-UX-v0.19.zip; kiểm local + ZIP parity; Drive cùng ID đã đọc lại metadata/kích thước.</x:t>
        </x:is>
      </x:c>
      <x:c r="K405" s="24" t="n"/>
      <x:c r="L405" s="24" t="inlineStr">
        <x:is>
          <x:t xml:space="preserve">Hoàn tất</x:t>
        </x:is>
      </x:c>
    </x:row>
    <x:row r="406" ht="85" customHeight="1">
      <x:c r="A406" s="24" t="inlineStr">
        <x:is>
          <x:t xml:space="preserve">PATH-20260929</x:t>
        </x:is>
      </x:c>
      <x:c r="B406" s="24" t="inlineStr">
        <x:is>
          <x:t xml:space="preserve">PATH-01</x:t>
        </x:is>
      </x:c>
      <x:c r="C406" s="24" t="inlineStr">
        <x:is>
          <x:t xml:space="preserve">F17/F18/F20</x:t>
        </x:is>
      </x:c>
      <x:c r="D406" s="24" t="inlineStr">
        <x:is>
          <x:t xml:space="preserve">DOC-064</x:t>
        </x:is>
      </x:c>
      <x:c r="E406" s="24" t="inlineStr">
        <x:is>
          <x:t xml:space="preserve">Bỏ alias outputs; đồng bộ đường dẫn và bản xuất liên quan</x:t>
        </x:is>
      </x:c>
      <x:c r="F406" s="24" t="inlineStr">
        <x:is>
          <x:t xml:space="preserve">Đã cập nhật</x:t>
        </x:is>
      </x:c>
      <x:c r="G406" s="24" t="inlineStr">
        <x:is>
          <x:t xml:space="preserve">Có</x:t>
        </x:is>
      </x:c>
      <x:c r="H406" s="24" t="inlineStr">
        <x:is>
          <x:t xml:space="preserve">Codex</x:t>
        </x:is>
      </x:c>
      <x:c r="I406" s="30" t="n">
        <x:v>46294</x:v>
      </x:c>
      <x:c r="J406" s="24" t="inlineStr">
        <x:is>
          <x:t xml:space="preserve">v1.4; docs/handoff/CODEX-IMPLEMENTATION-PROMPT.md; kiểm local + ZIP parity; Drive cùng ID đã đọc lại metadata/kích thước.</x:t>
        </x:is>
      </x:c>
      <x:c r="K406" s="24" t="n"/>
      <x:c r="L406" s="24" t="inlineStr">
        <x:is>
          <x:t xml:space="preserve">Hoàn tất</x:t>
        </x:is>
      </x:c>
    </x:row>
    <x:row r="407" ht="85" customHeight="1">
      <x:c r="A407" s="24" t="inlineStr">
        <x:is>
          <x:t xml:space="preserve">PATH-20260929</x:t>
        </x:is>
      </x:c>
      <x:c r="B407" s="24" t="inlineStr">
        <x:is>
          <x:t xml:space="preserve">PATH-01</x:t>
        </x:is>
      </x:c>
      <x:c r="C407" s="24" t="inlineStr">
        <x:is>
          <x:t xml:space="preserve">F17/F18/F20</x:t>
        </x:is>
      </x:c>
      <x:c r="D407" s="24" t="inlineStr">
        <x:is>
          <x:t xml:space="preserve">DOC-065</x:t>
        </x:is>
      </x:c>
      <x:c r="E407" s="24" t="inlineStr">
        <x:is>
          <x:t xml:space="preserve">Bỏ alias outputs; đồng bộ đường dẫn và bản xuất liên quan</x:t>
        </x:is>
      </x:c>
      <x:c r="F407" s="24" t="inlineStr">
        <x:is>
          <x:t xml:space="preserve">Đã cập nhật</x:t>
        </x:is>
      </x:c>
      <x:c r="G407" s="24" t="inlineStr">
        <x:is>
          <x:t xml:space="preserve">Có</x:t>
        </x:is>
      </x:c>
      <x:c r="H407" s="24" t="inlineStr">
        <x:is>
          <x:t xml:space="preserve">Codex</x:t>
        </x:is>
      </x:c>
      <x:c r="I407" s="30" t="n">
        <x:v>46294</x:v>
      </x:c>
      <x:c r="J407" s="24" t="inlineStr">
        <x:is>
          <x:t xml:space="preserve">v1.5; docs/implementation/dot-1.md; kiểm local + ZIP parity; Drive cùng ID đã đọc lại metadata/kích thước.</x:t>
        </x:is>
      </x:c>
      <x:c r="K407" s="24" t="n"/>
      <x:c r="L407" s="24" t="inlineStr">
        <x:is>
          <x:t xml:space="preserve">Hoàn tất</x:t>
        </x:is>
      </x:c>
    </x:row>
    <x:row r="408" ht="85" customHeight="1">
      <x:c r="A408" s="24" t="inlineStr">
        <x:is>
          <x:t xml:space="preserve">PATH-20260929</x:t>
        </x:is>
      </x:c>
      <x:c r="B408" s="24" t="inlineStr">
        <x:is>
          <x:t xml:space="preserve">PATH-01</x:t>
        </x:is>
      </x:c>
      <x:c r="C408" s="24" t="inlineStr">
        <x:is>
          <x:t xml:space="preserve">F17/F18/F20</x:t>
        </x:is>
      </x:c>
      <x:c r="D408" s="24" t="inlineStr">
        <x:is>
          <x:t xml:space="preserve">DOC-070</x:t>
        </x:is>
      </x:c>
      <x:c r="E408" s="24" t="inlineStr">
        <x:is>
          <x:t xml:space="preserve">Bỏ alias outputs; đồng bộ đường dẫn và bản xuất liên quan</x:t>
        </x:is>
      </x:c>
      <x:c r="F408" s="24" t="inlineStr">
        <x:is>
          <x:t xml:space="preserve">Đã cập nhật</x:t>
        </x:is>
      </x:c>
      <x:c r="G408" s="24" t="inlineStr">
        <x:is>
          <x:t xml:space="preserve">Có</x:t>
        </x:is>
      </x:c>
      <x:c r="H408" s="24" t="inlineStr">
        <x:is>
          <x:t xml:space="preserve">Codex</x:t>
        </x:is>
      </x:c>
      <x:c r="I408" s="30" t="n">
        <x:v>46294</x:v>
      </x:c>
      <x:c r="J408" s="24" t="inlineStr">
        <x:is>
          <x:t xml:space="preserve">v1.2; docs/implementation/project-structure.md; kiểm local + ZIP parity; Drive cùng ID đã đọc lại metadata/kích thước.</x:t>
        </x:is>
      </x:c>
      <x:c r="K408" s="24" t="n"/>
      <x:c r="L408" s="24" t="inlineStr">
        <x:is>
          <x:t xml:space="preserve">Hoàn tất</x:t>
        </x:is>
      </x:c>
    </x:row>
    <x:row r="409" ht="85" customHeight="1">
      <x:c r="A409" s="24" t="inlineStr">
        <x:is>
          <x:t xml:space="preserve">PATH-20260929</x:t>
        </x:is>
      </x:c>
      <x:c r="B409" s="24" t="inlineStr">
        <x:is>
          <x:t xml:space="preserve">PATH-01</x:t>
        </x:is>
      </x:c>
      <x:c r="C409" s="24" t="inlineStr">
        <x:is>
          <x:t xml:space="preserve">F17/F18/F20</x:t>
        </x:is>
      </x:c>
      <x:c r="D409" s="24" t="inlineStr">
        <x:is>
          <x:t xml:space="preserve">BRD/PRD/FR/NFR/SRS/UX/API/ERD/QA/mobile guide</x:t>
        </x:is>
      </x:c>
      <x:c r="E409" s="24" t="inlineStr">
        <x:is>
          <x:t xml:space="preserve">Rà phạm vi nghiệp vụ, HTML và hướng dẫn native</x:t>
        </x:is>
      </x:c>
      <x:c r="F409" s="24" t="inlineStr">
        <x:is>
          <x:t xml:space="preserve">Không áp dụng</x:t>
        </x:is>
      </x:c>
      <x:c r="G409" s="24" t="inlineStr">
        <x:is>
          <x:t xml:space="preserve">Có</x:t>
        </x:is>
      </x:c>
      <x:c r="H409" s="24" t="inlineStr">
        <x:is>
          <x:t xml:space="preserve">Codex</x:t>
        </x:is>
      </x:c>
      <x:c r="I409" s="30" t="n">
        <x:v>46294</x:v>
      </x:c>
      <x:c r="J409" s="24" t="inlineStr">
        <x:is>
          <x:t xml:space="preserve">Không đổi code app/API, contract hoặc nội dung nghiệp vụ. Đường dẫn build/outputs/apk trong hướng dẫn Android thuộc Gradle, giữ nguyên.</x:t>
        </x:is>
      </x:c>
      <x:c r="K409" s="24" t="inlineStr">
        <x:is>
          <x:t xml:space="preserve">Thay đổi alias thư mục local; nội dung nguồn các tài liệu này không đổi.</x:t>
        </x:is>
      </x:c>
      <x:c r="L409" s="24" t="inlineStr">
        <x:is>
          <x:t xml:space="preserve">Không áp dụng</x:t>
        </x:is>
      </x:c>
    </x:row>
    <x:row r="410" ht="85" customHeight="1">
      <x:c r="A410" s="24" t="inlineStr">
        <x:is>
          <x:t xml:space="preserve">PATH-20260929</x:t>
        </x:is>
      </x:c>
      <x:c r="B410" s="24" t="inlineStr">
        <x:is>
          <x:t xml:space="preserve">PATH-01</x:t>
        </x:is>
      </x:c>
      <x:c r="C410" s="24" t="inlineStr">
        <x:is>
          <x:t xml:space="preserve">F17/F18/F20</x:t>
        </x:is>
      </x:c>
      <x:c r="D410" s="24" t="inlineStr">
        <x:is>
          <x:t xml:space="preserve">Archive / ZIP cũ / baseline / tools</x:t>
        </x:is>
      </x:c>
      <x:c r="E410" s="24" t="inlineStr">
        <x:is>
          <x:t xml:space="preserve">Rà lịch sử và công cụ nội bộ</x:t>
        </x:is>
      </x:c>
      <x:c r="F410" s="24" t="inlineStr">
        <x:is>
          <x:t xml:space="preserve">Đã cập nhật</x:t>
        </x:is>
      </x:c>
      <x:c r="G410" s="24" t="inlineStr">
        <x:is>
          <x:t xml:space="preserve">Có</x:t>
        </x:is>
      </x:c>
      <x:c r="H410" s="24" t="inlineStr">
        <x:is>
          <x:t xml:space="preserve">Codex</x:t>
        </x:is>
      </x:c>
      <x:c r="I410" s="30" t="n">
        <x:v>46294</x:v>
      </x:c>
      <x:c r="J410" s="24" t="inlineStr">
        <x:is>
          <x:t xml:space="preserve">Sửa helper dùng đường dẫn local hiện tại; kiểm cú pháp Python/Node. Archive, baseline, biên nhận và script migration cũ giữ nguyên; không chạy lại builder lịch sử.</x:t>
        </x:is>
      </x:c>
      <x:c r="K410" s="24" t="n"/>
      <x:c r="L410" s="24" t="inlineStr">
        <x:is>
          <x:t xml:space="preserve">Hoàn tất</x:t>
        </x:is>
      </x:c>
    </x:row>
    <x:row r="411" ht="120" customHeight="1">
      <x:c r="A411" s="24" t="inlineStr">
        <x:is>
          <x:t xml:space="preserve">NATIVE-B-20260929</x:t>
        </x:is>
      </x:c>
      <x:c r="B411" s="24" t="inlineStr">
        <x:is>
          <x:t xml:space="preserve">NATIVE-B-01</x:t>
        </x:is>
      </x:c>
      <x:c r="C411" s="24" t="inlineStr">
        <x:is>
          <x:t xml:space="preserve">F17/F18/F20</x:t>
        </x:is>
      </x:c>
      <x:c r="D411" s="24" t="inlineStr">
        <x:is>
          <x:t xml:space="preserve">DOC-065</x:t>
        </x:is>
      </x:c>
      <x:c r="E411" s="24" t="inlineStr">
        <x:is>
          <x:t xml:space="preserve">Đồng bộ cấu hình và kết quả kiểm phần B</x:t>
        </x:is>
      </x:c>
      <x:c r="F411" s="24" t="inlineStr">
        <x:is>
          <x:t xml:space="preserve">Đã cập nhật</x:t>
        </x:is>
      </x:c>
      <x:c r="G411" s="24" t="inlineStr">
        <x:is>
          <x:t xml:space="preserve">Có</x:t>
        </x:is>
      </x:c>
      <x:c r="H411" s="24" t="inlineStr">
        <x:is>
          <x:t xml:space="preserve">Codex</x:t>
        </x:is>
      </x:c>
      <x:c r="I411" s="29" t="n">
        <x:v>46294</x:v>
      </x:c>
      <x:c r="J411" s="24" t="inlineStr">
        <x:is>
          <x:t xml:space="preserve">v1.6; /Users/j2866/Documents/anhthai/dich-vu-quanh-ban/docs/implementation/dot-1.md; Drive cùng ID 1JjfKtYYgYGHlLSZCKZ21hqWiscQxoFpT; đọc lại byte/hash. DOC-076 ghi kiểm môi trường/config, không nhận là native E2E.</x:t>
        </x:is>
      </x:c>
      <x:c r="K411" s="24" t="n"/>
      <x:c r="L411" s="24" t="inlineStr">
        <x:is>
          <x:t xml:space="preserve">Hoàn tất</x:t>
        </x:is>
      </x:c>
    </x:row>
    <x:row r="412" ht="120" customHeight="1">
      <x:c r="A412" s="24" t="inlineStr">
        <x:is>
          <x:t xml:space="preserve">NATIVE-B-20260929</x:t>
        </x:is>
      </x:c>
      <x:c r="B412" s="24" t="inlineStr">
        <x:is>
          <x:t xml:space="preserve">NATIVE-B-01</x:t>
        </x:is>
      </x:c>
      <x:c r="C412" s="24" t="inlineStr">
        <x:is>
          <x:t xml:space="preserve">F17/F18/F20</x:t>
        </x:is>
      </x:c>
      <x:c r="D412" s="24" t="inlineStr">
        <x:is>
          <x:t xml:space="preserve">DOC-070</x:t>
        </x:is>
      </x:c>
      <x:c r="E412" s="24" t="inlineStr">
        <x:is>
          <x:t xml:space="preserve">Đồng bộ cấu hình và kết quả kiểm phần B</x:t>
        </x:is>
      </x:c>
      <x:c r="F412" s="24" t="inlineStr">
        <x:is>
          <x:t xml:space="preserve">Đã cập nhật</x:t>
        </x:is>
      </x:c>
      <x:c r="G412" s="24" t="inlineStr">
        <x:is>
          <x:t xml:space="preserve">Có</x:t>
        </x:is>
      </x:c>
      <x:c r="H412" s="24" t="inlineStr">
        <x:is>
          <x:t xml:space="preserve">Codex</x:t>
        </x:is>
      </x:c>
      <x:c r="I412" s="29" t="n">
        <x:v>46294</x:v>
      </x:c>
      <x:c r="J412" s="24" t="inlineStr">
        <x:is>
          <x:t xml:space="preserve">v1.3; /Users/j2866/Documents/anhthai/dich-vu-quanh-ban/docs/implementation/project-structure.md; Drive cùng ID 1pWijvZgP7U3mpjq5Wualaa1mdPCDk_Ge; đọc lại byte/hash. DOC-076 ghi kiểm môi trường/config, không nhận là native E2E.</x:t>
        </x:is>
      </x:c>
      <x:c r="K412" s="24" t="n"/>
      <x:c r="L412" s="24" t="inlineStr">
        <x:is>
          <x:t xml:space="preserve">Hoàn tất</x:t>
        </x:is>
      </x:c>
    </x:row>
    <x:row r="413" ht="120" customHeight="1">
      <x:c r="A413" s="24" t="inlineStr">
        <x:is>
          <x:t xml:space="preserve">NATIVE-B-20260929</x:t>
        </x:is>
      </x:c>
      <x:c r="B413" s="24" t="inlineStr">
        <x:is>
          <x:t xml:space="preserve">NATIVE-B-01</x:t>
        </x:is>
      </x:c>
      <x:c r="C413" s="24" t="inlineStr">
        <x:is>
          <x:t xml:space="preserve">F17/F18/F20</x:t>
        </x:is>
      </x:c>
      <x:c r="D413" s="24" t="inlineStr">
        <x:is>
          <x:t xml:space="preserve">DOC-071</x:t>
        </x:is>
      </x:c>
      <x:c r="E413" s="24" t="inlineStr">
        <x:is>
          <x:t xml:space="preserve">Đồng bộ cấu hình và kết quả kiểm phần B</x:t>
        </x:is>
      </x:c>
      <x:c r="F413" s="24" t="inlineStr">
        <x:is>
          <x:t xml:space="preserve">Đã cập nhật</x:t>
        </x:is>
      </x:c>
      <x:c r="G413" s="24" t="inlineStr">
        <x:is>
          <x:t xml:space="preserve">Có</x:t>
        </x:is>
      </x:c>
      <x:c r="H413" s="24" t="inlineStr">
        <x:is>
          <x:t xml:space="preserve">Codex</x:t>
        </x:is>
      </x:c>
      <x:c r="I413" s="29" t="n">
        <x:v>46294</x:v>
      </x:c>
      <x:c r="J413" s="24" t="inlineStr">
        <x:is>
          <x:t xml:space="preserve">v1.1; /Users/j2866/Documents/anhthai/dich-vu-quanh-ban/docs/implementation/logging-testing.md; Drive cùng ID 1m7nrDRbwKj7HPH3TQoWUIsT4zSKn_ldK; đọc lại byte/hash. DOC-076 ghi kiểm môi trường/config, không nhận là native E2E.</x:t>
        </x:is>
      </x:c>
      <x:c r="K413" s="24" t="n"/>
      <x:c r="L413" s="24" t="inlineStr">
        <x:is>
          <x:t xml:space="preserve">Hoàn tất</x:t>
        </x:is>
      </x:c>
    </x:row>
    <x:row r="414" ht="120" customHeight="1">
      <x:c r="A414" s="24" t="inlineStr">
        <x:is>
          <x:t xml:space="preserve">NATIVE-B-20260929</x:t>
        </x:is>
      </x:c>
      <x:c r="B414" s="24" t="inlineStr">
        <x:is>
          <x:t xml:space="preserve">NATIVE-B-01</x:t>
        </x:is>
      </x:c>
      <x:c r="C414" s="24" t="inlineStr">
        <x:is>
          <x:t xml:space="preserve">F17/F18/F20</x:t>
        </x:is>
      </x:c>
      <x:c r="D414" s="24" t="inlineStr">
        <x:is>
          <x:t xml:space="preserve">DOC-072</x:t>
        </x:is>
      </x:c>
      <x:c r="E414" s="24" t="inlineStr">
        <x:is>
          <x:t xml:space="preserve">Đồng bộ cấu hình và kết quả kiểm phần B</x:t>
        </x:is>
      </x:c>
      <x:c r="F414" s="24" t="inlineStr">
        <x:is>
          <x:t xml:space="preserve">Đã cập nhật</x:t>
        </x:is>
      </x:c>
      <x:c r="G414" s="24" t="inlineStr">
        <x:is>
          <x:t xml:space="preserve">Có</x:t>
        </x:is>
      </x:c>
      <x:c r="H414" s="24" t="inlineStr">
        <x:is>
          <x:t xml:space="preserve">Codex</x:t>
        </x:is>
      </x:c>
      <x:c r="I414" s="29" t="n">
        <x:v>46294</x:v>
      </x:c>
      <x:c r="J414" s="24" t="inlineStr">
        <x:is>
          <x:t xml:space="preserve">v1.1; /Users/j2866/Documents/anhthai/dich-vu-quanh-ban/docs/huong-dan-mobile/README.md; Drive cùng ID 10gU2AUdgJLgIZH1UNs1Q2AE225sRlD-u; đọc lại byte/hash. DOC-076 ghi kiểm môi trường/config, không nhận là native E2E.</x:t>
        </x:is>
      </x:c>
      <x:c r="K414" s="24" t="n"/>
      <x:c r="L414" s="24" t="inlineStr">
        <x:is>
          <x:t xml:space="preserve">Hoàn tất</x:t>
        </x:is>
      </x:c>
    </x:row>
    <x:row r="415" ht="120" customHeight="1">
      <x:c r="A415" s="24" t="inlineStr">
        <x:is>
          <x:t xml:space="preserve">NATIVE-B-20260929</x:t>
        </x:is>
      </x:c>
      <x:c r="B415" s="24" t="inlineStr">
        <x:is>
          <x:t xml:space="preserve">NATIVE-B-01</x:t>
        </x:is>
      </x:c>
      <x:c r="C415" s="24" t="inlineStr">
        <x:is>
          <x:t xml:space="preserve">F17/F18/F20</x:t>
        </x:is>
      </x:c>
      <x:c r="D415" s="24" t="inlineStr">
        <x:is>
          <x:t xml:space="preserve">DOC-075</x:t>
        </x:is>
      </x:c>
      <x:c r="E415" s="24" t="inlineStr">
        <x:is>
          <x:t xml:space="preserve">Đồng bộ cấu hình và kết quả kiểm phần B</x:t>
        </x:is>
      </x:c>
      <x:c r="F415" s="24" t="inlineStr">
        <x:is>
          <x:t xml:space="preserve">Đã cập nhật</x:t>
        </x:is>
      </x:c>
      <x:c r="G415" s="24" t="inlineStr">
        <x:is>
          <x:t xml:space="preserve">Có</x:t>
        </x:is>
      </x:c>
      <x:c r="H415" s="24" t="inlineStr">
        <x:is>
          <x:t xml:space="preserve">Codex</x:t>
        </x:is>
      </x:c>
      <x:c r="I415" s="29" t="n">
        <x:v>46294</x:v>
      </x:c>
      <x:c r="J415" s="24" t="inlineStr">
        <x:is>
          <x:t xml:space="preserve">v1.1; /Users/j2866/Documents/anhthai/dich-vu-quanh-ban/docs/huong-dan-mobile/03-ios.md; Drive cùng ID 10gU2AUdgJLgIZH1UNs1Q2AE225sRlD-u; đọc lại byte/hash. DOC-076 ghi kiểm môi trường/config, không nhận là native E2E.</x:t>
        </x:is>
      </x:c>
      <x:c r="K415" s="24" t="n"/>
      <x:c r="L415" s="24" t="inlineStr">
        <x:is>
          <x:t xml:space="preserve">Hoàn tất</x:t>
        </x:is>
      </x:c>
    </x:row>
    <x:row r="416" ht="120" customHeight="1">
      <x:c r="A416" s="24" t="inlineStr">
        <x:is>
          <x:t xml:space="preserve">NATIVE-B-20260929</x:t>
        </x:is>
      </x:c>
      <x:c r="B416" s="24" t="inlineStr">
        <x:is>
          <x:t xml:space="preserve">NATIVE-B-01</x:t>
        </x:is>
      </x:c>
      <x:c r="C416" s="24" t="inlineStr">
        <x:is>
          <x:t xml:space="preserve">F17/F18/F20</x:t>
        </x:is>
      </x:c>
      <x:c r="D416" s="24" t="inlineStr">
        <x:is>
          <x:t xml:space="preserve">DOC-076</x:t>
        </x:is>
      </x:c>
      <x:c r="E416" s="24" t="inlineStr">
        <x:is>
          <x:t xml:space="preserve">Đồng bộ cấu hình và kết quả kiểm phần B</x:t>
        </x:is>
      </x:c>
      <x:c r="F416" s="24" t="inlineStr">
        <x:is>
          <x:t xml:space="preserve">Đã cập nhật</x:t>
        </x:is>
      </x:c>
      <x:c r="G416" s="24" t="inlineStr">
        <x:is>
          <x:t xml:space="preserve">Có</x:t>
        </x:is>
      </x:c>
      <x:c r="H416" s="24" t="inlineStr">
        <x:is>
          <x:t xml:space="preserve">Codex</x:t>
        </x:is>
      </x:c>
      <x:c r="I416" s="29" t="n">
        <x:v>46294</x:v>
      </x:c>
      <x:c r="J416" s="24" t="inlineStr">
        <x:is>
          <x:t xml:space="preserve">v1.1; /Users/j2866/Documents/anhthai/dich-vu-quanh-ban/docs/huong-dan-mobile/04-chay-app.md; Drive cùng ID 10gU2AUdgJLgIZH1UNs1Q2AE225sRlD-u; đọc lại byte/hash. DOC-076 ghi kiểm môi trường/config, không nhận là native E2E.</x:t>
        </x:is>
      </x:c>
      <x:c r="K416" s="24" t="n"/>
      <x:c r="L416" s="24" t="inlineStr">
        <x:is>
          <x:t xml:space="preserve">Hoàn tất</x:t>
        </x:is>
      </x:c>
    </x:row>
    <x:row r="417" ht="120" customHeight="1">
      <x:c r="A417" s="24" t="inlineStr">
        <x:is>
          <x:t xml:space="preserve">NATIVE-B-20260929</x:t>
        </x:is>
      </x:c>
      <x:c r="B417" s="24" t="inlineStr">
        <x:is>
          <x:t xml:space="preserve">NATIVE-B-01</x:t>
        </x:is>
      </x:c>
      <x:c r="C417" s="24" t="inlineStr">
        <x:is>
          <x:t xml:space="preserve">F17/F18/F20</x:t>
        </x:is>
      </x:c>
      <x:c r="D417" s="24" t="inlineStr">
        <x:is>
          <x:t xml:space="preserve">DOC-079</x:t>
        </x:is>
      </x:c>
      <x:c r="E417" s="24" t="inlineStr">
        <x:is>
          <x:t xml:space="preserve">Đồng bộ cấu hình và kết quả kiểm phần B</x:t>
        </x:is>
      </x:c>
      <x:c r="F417" s="24" t="inlineStr">
        <x:is>
          <x:t xml:space="preserve">Đã cập nhật</x:t>
        </x:is>
      </x:c>
      <x:c r="G417" s="24" t="inlineStr">
        <x:is>
          <x:t xml:space="preserve">Có</x:t>
        </x:is>
      </x:c>
      <x:c r="H417" s="24" t="inlineStr">
        <x:is>
          <x:t xml:space="preserve">Codex</x:t>
        </x:is>
      </x:c>
      <x:c r="I417" s="29" t="n">
        <x:v>46294</x:v>
      </x:c>
      <x:c r="J417" s="24" t="inlineStr">
        <x:is>
          <x:t xml:space="preserve">v1.1; /Users/j2866/Documents/anhthai/dich-vu-quanh-ban/docs/huong-dan-mobile/07-ke-hoach-khung-app.md; Drive cùng ID 10gU2AUdgJLgIZH1UNs1Q2AE225sRlD-u; đọc lại byte/hash. DOC-076 ghi kiểm môi trường/config, không nhận là native E2E.</x:t>
        </x:is>
      </x:c>
      <x:c r="K417" s="24" t="n"/>
      <x:c r="L417" s="24" t="inlineStr">
        <x:is>
          <x:t xml:space="preserve">Hoàn tất</x:t>
        </x:is>
      </x:c>
    </x:row>
    <x:row r="418" ht="120" customHeight="1">
      <x:c r="A418" s="24" t="inlineStr">
        <x:is>
          <x:t xml:space="preserve">NATIVE-B-20260929</x:t>
        </x:is>
      </x:c>
      <x:c r="B418" s="24" t="inlineStr">
        <x:is>
          <x:t xml:space="preserve">NATIVE-B-01</x:t>
        </x:is>
      </x:c>
      <x:c r="C418" s="24" t="inlineStr">
        <x:is>
          <x:t xml:space="preserve">F17/F18/F20</x:t>
        </x:is>
      </x:c>
      <x:c r="D418" s="24" t="inlineStr">
        <x:is>
          <x:t xml:space="preserve">DOC-080</x:t>
        </x:is>
      </x:c>
      <x:c r="E418" s="24" t="inlineStr">
        <x:is>
          <x:t xml:space="preserve">Đồng bộ cấu hình và kết quả kiểm phần B</x:t>
        </x:is>
      </x:c>
      <x:c r="F418" s="24" t="inlineStr">
        <x:is>
          <x:t xml:space="preserve">Đã cập nhật</x:t>
        </x:is>
      </x:c>
      <x:c r="G418" s="24" t="inlineStr">
        <x:is>
          <x:t xml:space="preserve">Có</x:t>
        </x:is>
      </x:c>
      <x:c r="H418" s="24" t="inlineStr">
        <x:is>
          <x:t xml:space="preserve">Codex</x:t>
        </x:is>
      </x:c>
      <x:c r="I418" s="29" t="n">
        <x:v>46294</x:v>
      </x:c>
      <x:c r="J418" s="24" t="inlineStr">
        <x:is>
          <x:t xml:space="preserve">v1.1; /Users/j2866/Documents/anhthai/dich-vu-quanh-ban/docs/huong-dan-mobile/08-xu-ly-loi.md; Drive cùng ID 10gU2AUdgJLgIZH1UNs1Q2AE225sRlD-u; đọc lại byte/hash. DOC-076 ghi kiểm môi trường/config, không nhận là native E2E.</x:t>
        </x:is>
      </x:c>
      <x:c r="K418" s="24" t="n"/>
      <x:c r="L418" s="24" t="inlineStr">
        <x:is>
          <x:t xml:space="preserve">Hoàn tất</x:t>
        </x:is>
      </x:c>
    </x:row>
    <x:row r="419" ht="120" customHeight="1">
      <x:c r="A419" s="24" t="inlineStr">
        <x:is>
          <x:t xml:space="preserve">NATIVE-B-20260929</x:t>
        </x:is>
      </x:c>
      <x:c r="B419" s="24" t="inlineStr">
        <x:is>
          <x:t xml:space="preserve">NATIVE-B-01</x:t>
        </x:is>
      </x:c>
      <x:c r="C419" s="24" t="inlineStr">
        <x:is>
          <x:t xml:space="preserve">F17/F18/F20</x:t>
        </x:is>
      </x:c>
      <x:c r="D419" s="24" t="inlineStr">
        <x:is>
          <x:t xml:space="preserve">DOC-081</x:t>
        </x:is>
      </x:c>
      <x:c r="E419" s="24" t="inlineStr">
        <x:is>
          <x:t xml:space="preserve">Đồng bộ cấu hình và kết quả kiểm phần B</x:t>
        </x:is>
      </x:c>
      <x:c r="F419" s="24" t="inlineStr">
        <x:is>
          <x:t xml:space="preserve">Đã cập nhật</x:t>
        </x:is>
      </x:c>
      <x:c r="G419" s="24" t="inlineStr">
        <x:is>
          <x:t xml:space="preserve">Có</x:t>
        </x:is>
      </x:c>
      <x:c r="H419" s="24" t="inlineStr">
        <x:is>
          <x:t xml:space="preserve">Codex</x:t>
        </x:is>
      </x:c>
      <x:c r="I419" s="29" t="n">
        <x:v>46294</x:v>
      </x:c>
      <x:c r="J419" s="24" t="inlineStr">
        <x:is>
          <x:t xml:space="preserve">v1.1; /Users/j2866/Documents/anhthai/dich-vu-quanh-ban/docs/huong-dan-mobile/huong-dan-mobile-v1.1.zip; Drive cùng ID 10gU2AUdgJLgIZH1UNs1Q2AE225sRlD-u; đọc lại byte/hash. DOC-076 ghi kiểm môi trường/config, không nhận là native E2E.</x:t>
        </x:is>
      </x:c>
      <x:c r="K419" s="24" t="n"/>
      <x:c r="L419" s="24" t="inlineStr">
        <x:is>
          <x:t xml:space="preserve">Hoàn tất</x:t>
        </x:is>
      </x:c>
    </x:row>
    <x:row r="420" ht="120" customHeight="1">
      <x:c r="A420" s="24" t="inlineStr">
        <x:is>
          <x:t xml:space="preserve">NATIVE-B-20260929</x:t>
        </x:is>
      </x:c>
      <x:c r="B420" s="24" t="inlineStr">
        <x:is>
          <x:t xml:space="preserve">NATIVE-B-01</x:t>
        </x:is>
      </x:c>
      <x:c r="C420" s="24" t="inlineStr">
        <x:is>
          <x:t xml:space="preserve">F17/F18/F20</x:t>
        </x:is>
      </x:c>
      <x:c r="D420" s="24" t="inlineStr">
        <x:is>
          <x:t xml:space="preserve">DOC-018</x:t>
        </x:is>
      </x:c>
      <x:c r="E420" s="24" t="inlineStr">
        <x:is>
          <x:t xml:space="preserve">Đồng bộ cấu hình và kết quả kiểm phần B</x:t>
        </x:is>
      </x:c>
      <x:c r="F420" s="24" t="inlineStr">
        <x:is>
          <x:t xml:space="preserve">Đã cập nhật</x:t>
        </x:is>
      </x:c>
      <x:c r="G420" s="24" t="inlineStr">
        <x:is>
          <x:t xml:space="preserve">Có</x:t>
        </x:is>
      </x:c>
      <x:c r="H420" s="24" t="inlineStr">
        <x:is>
          <x:t xml:space="preserve">Codex</x:t>
        </x:is>
      </x:c>
      <x:c r="I420" s="29" t="n">
        <x:v>46294</x:v>
      </x:c>
      <x:c r="J420" s="24" t="inlineStr">
        <x:is>
          <x:t xml:space="preserve">v0.1.1 / NATIVE-B-01; /Users/j2866/Documents/anhthai/dich-vu-quanh-ban/docs/project-docs/architecture-source-v0.1.1.zip; Drive cùng ID 1QFvCWLng19VPnOoXcCZ2i0PUCsmlexMC; đọc lại byte/hash. DOC-076 ghi kiểm môi trường/config, không nhận là native E2E.</x:t>
        </x:is>
      </x:c>
      <x:c r="K420" s="24" t="n"/>
      <x:c r="L420" s="24" t="inlineStr">
        <x:is>
          <x:t xml:space="preserve">Hoàn tất</x:t>
        </x:is>
      </x:c>
    </x:row>
    <x:row r="421" ht="120" customHeight="1">
      <x:c r="A421" s="24" t="inlineStr">
        <x:is>
          <x:t xml:space="preserve">NATIVE-B-20260929</x:t>
        </x:is>
      </x:c>
      <x:c r="B421" s="24" t="inlineStr">
        <x:is>
          <x:t xml:space="preserve">NATIVE-B-01</x:t>
        </x:is>
      </x:c>
      <x:c r="C421" s="24" t="inlineStr">
        <x:is>
          <x:t xml:space="preserve">F17/F18/F20</x:t>
        </x:is>
      </x:c>
      <x:c r="D421" s="24" t="inlineStr">
        <x:is>
          <x:t xml:space="preserve">DOC-040</x:t>
        </x:is>
      </x:c>
      <x:c r="E421" s="24" t="inlineStr">
        <x:is>
          <x:t xml:space="preserve">Đồng bộ cấu hình và kết quả kiểm phần B</x:t>
        </x:is>
      </x:c>
      <x:c r="F421" s="24" t="inlineStr">
        <x:is>
          <x:t xml:space="preserve">Đã cập nhật</x:t>
        </x:is>
      </x:c>
      <x:c r="G421" s="24" t="inlineStr">
        <x:is>
          <x:t xml:space="preserve">Có</x:t>
        </x:is>
      </x:c>
      <x:c r="H421" s="24" t="inlineStr">
        <x:is>
          <x:t xml:space="preserve">Codex</x:t>
        </x:is>
      </x:c>
      <x:c r="I421" s="29" t="n">
        <x:v>46294</x:v>
      </x:c>
      <x:c r="J421" s="24" t="inlineStr">
        <x:is>
          <x:t xml:space="preserve">v0.1.1 / NATIVE-B-01; /Users/j2866/Documents/anhthai/dich-vu-quanh-ban/docs/technical-design/technical-design-v0.1.1.zip; Drive cùng ID 18z-ReFxGP-RhX5_cOVTidcHJJGFfB48D; đọc lại byte/hash. DOC-076 ghi kiểm môi trường/config, không nhận là native E2E.</x:t>
        </x:is>
      </x:c>
      <x:c r="K421" s="24" t="n"/>
      <x:c r="L421" s="24" t="inlineStr">
        <x:is>
          <x:t xml:space="preserve">Hoàn tất</x:t>
        </x:is>
      </x:c>
    </x:row>
    <x:row r="422" ht="120" customHeight="1">
      <x:c r="A422" s="24" t="inlineStr">
        <x:is>
          <x:t xml:space="preserve">NATIVE-B-20260929</x:t>
        </x:is>
      </x:c>
      <x:c r="B422" s="24" t="inlineStr">
        <x:is>
          <x:t xml:space="preserve">NATIVE-B-01</x:t>
        </x:is>
      </x:c>
      <x:c r="C422" s="24" t="inlineStr">
        <x:is>
          <x:t xml:space="preserve">F17/F18/F20</x:t>
        </x:is>
      </x:c>
      <x:c r="D422" s="24" t="inlineStr">
        <x:is>
          <x:t xml:space="preserve">DOC-054/064; BRD/PRD/FR/NFR/SRS/UX/ERD/API/QA; DOC-073/074/077/078</x:t>
        </x:is>
      </x:c>
      <x:c r="E422" s="24" t="inlineStr">
        <x:is>
          <x:t xml:space="preserve">Rà ảnh hưởng</x:t>
        </x:is>
      </x:c>
      <x:c r="F422" s="24" t="inlineStr">
        <x:is>
          <x:t xml:space="preserve">Không áp dụng</x:t>
        </x:is>
      </x:c>
      <x:c r="G422" s="24" t="inlineStr">
        <x:is>
          <x:t xml:space="preserve">Có</x:t>
        </x:is>
      </x:c>
      <x:c r="H422" s="24" t="inlineStr">
        <x:is>
          <x:t xml:space="preserve">Codex</x:t>
        </x:is>
      </x:c>
      <x:c r="I422" s="29" t="n">
        <x:v>46294</x:v>
      </x:c>
      <x:c r="J422" s="24" t="inlineStr">
        <x:is>
          <x:t xml:space="preserve">Không đổi nghiệp vụ/contract/UI; handoff/README vẫn yêu cầu nghiệm thu native. Bài01 giữ snapshot ban đầu; bài02/05/06 là quy trình còn đúng. K trạng thái dẫn DOC-076 mới; không giả kết quả runtime.</x:t>
        </x:is>
      </x:c>
      <x:c r="K422" s="24" t="inlineStr">
        <x:is>
          <x:t xml:space="preserve">Phần B cấu hình build local, không triển khai chức năng/MCP/Maestro.</x:t>
        </x:is>
      </x:c>
      <x:c r="L422" s="24" t="inlineStr">
        <x:is>
          <x:t xml:space="preserve">Không áp dụng</x:t>
        </x:is>
      </x:c>
    </x:row>
    <x:row r="423" ht="120" customHeight="1">
      <x:c r="A423" s="24" t="inlineStr">
        <x:is>
          <x:t xml:space="preserve">NATIVE-B-20260929</x:t>
        </x:is>
      </x:c>
      <x:c r="B423" s="24" t="inlineStr">
        <x:is>
          <x:t xml:space="preserve">NATIVE-B-01</x:t>
        </x:is>
      </x:c>
      <x:c r="C423" s="24" t="inlineStr">
        <x:is>
          <x:t xml:space="preserve">F17/F18/F20</x:t>
        </x:is>
      </x:c>
      <x:c r="D423" s="24" t="inlineStr">
        <x:is>
          <x:t xml:space="preserve">HTML/localhost; archive; UI-UX-v0.19.zip</x:t>
        </x:is>
      </x:c>
      <x:c r="E423" s="24" t="inlineStr">
        <x:is>
          <x:t xml:space="preserve">Rà bản phục vụ và lịch sử</x:t>
        </x:is>
      </x:c>
      <x:c r="F423" s="24" t="inlineStr">
        <x:is>
          <x:t xml:space="preserve">Không áp dụng</x:t>
        </x:is>
      </x:c>
      <x:c r="G423" s="24" t="inlineStr">
        <x:is>
          <x:t xml:space="preserve">Có</x:t>
        </x:is>
      </x:c>
      <x:c r="H423" s="24" t="inlineStr">
        <x:is>
          <x:t xml:space="preserve">Codex</x:t>
        </x:is>
      </x:c>
      <x:c r="I423" s="29" t="n">
        <x:v>46294</x:v>
      </x:c>
      <x:c r="J423" s="24" t="inlineStr">
        <x:is>
          <x:t xml:space="preserve">Nguồn bị sửa là Markdown/code, không có bản HTML phục vụ riêng; UI ZIP không chứa các nguồn thay đổi. Giữ ZIP mobile v1.0 làm lịch sử.</x:t>
        </x:is>
      </x:c>
      <x:c r="K423" s="24" t="inlineStr">
        <x:is>
          <x:t xml:space="preserve">Không thay prototype/UI hoặc tài liệu lịch sử.</x:t>
        </x:is>
      </x:c>
      <x:c r="L423" s="24" t="inlineStr">
        <x:is>
          <x:t xml:space="preserve">Không áp dụng</x:t>
        </x:is>
      </x:c>
    </x:row>
    <x:row r="424" ht="165" customHeight="1">
      <x:c r="A424" s="24" t="inlineStr">
        <x:is>
          <x:t xml:space="preserve">MCP-20260930</x:t>
        </x:is>
      </x:c>
      <x:c r="B424" s="24" t="inlineStr">
        <x:is>
          <x:t xml:space="preserve">MCP-01</x:t>
        </x:is>
      </x:c>
      <x:c r="C424" s="24" t="inlineStr">
        <x:is>
          <x:t xml:space="preserve">F17/F18/F20</x:t>
        </x:is>
      </x:c>
      <x:c r="D424" s="24" t="inlineStr">
        <x:is>
          <x:t xml:space="preserve">DOC-072/077/078</x:t>
        </x:is>
      </x:c>
      <x:c r="E424" s="24" t="inlineStr">
        <x:is>
          <x:t xml:space="preserve">Cấu hình và kiểm MCP, phân biệt E2E sản phẩm</x:t>
        </x:is>
      </x:c>
      <x:c r="F424" s="24" t="inlineStr">
        <x:is>
          <x:t xml:space="preserve">Đã cập nhật</x:t>
        </x:is>
      </x:c>
      <x:c r="G424" s="24" t="inlineStr">
        <x:is>
          <x:t xml:space="preserve">Có</x:t>
        </x:is>
      </x:c>
      <x:c r="H424" s="24" t="inlineStr">
        <x:is>
          <x:t xml:space="preserve">Codex</x:t>
        </x:is>
      </x:c>
      <x:c r="I424" s="29" t="n">
        <x:v>46295</x:v>
      </x:c>
      <x:c r="J424" s="24" t="inlineStr">
        <x:is>
          <x:t xml:space="preserve">DOC-072 v1.2; DOC-077/078 v1.1; test-results/mcp/2026-09-30/result.json và ảnh Android/iOS. Markdown/ZIP khớp; Drive trong DOC-081 cùng ID.</x:t>
        </x:is>
      </x:c>
      <x:c r="K424" s="24" t="n"/>
      <x:c r="L424" s="24" t="inlineStr">
        <x:is>
          <x:t xml:space="preserve">Hoàn tất</x:t>
        </x:is>
      </x:c>
    </x:row>
    <x:row r="425" ht="165" customHeight="1">
      <x:c r="A425" s="24" t="inlineStr">
        <x:is>
          <x:t xml:space="preserve">MCP-20260930</x:t>
        </x:is>
      </x:c>
      <x:c r="B425" s="24" t="inlineStr">
        <x:is>
          <x:t xml:space="preserve">MCP-01</x:t>
        </x:is>
      </x:c>
      <x:c r="C425" s="24" t="inlineStr">
        <x:is>
          <x:t xml:space="preserve">F17/F18/F20</x:t>
        </x:is>
      </x:c>
      <x:c r="D425" s="24" t="inlineStr">
        <x:is>
          <x:t xml:space="preserve">DOC-081</x:t>
        </x:is>
      </x:c>
      <x:c r="E425" s="24" t="inlineStr">
        <x:is>
          <x:t xml:space="preserve">Tái tạo gói mobile v1.2</x:t>
        </x:is>
      </x:c>
      <x:c r="F425" s="24" t="inlineStr">
        <x:is>
          <x:t xml:space="preserve">Đã cập nhật</x:t>
        </x:is>
      </x:c>
      <x:c r="G425" s="24" t="inlineStr">
        <x:is>
          <x:t xml:space="preserve">Có</x:t>
        </x:is>
      </x:c>
      <x:c r="H425" s="24" t="inlineStr">
        <x:is>
          <x:t xml:space="preserve">Codex</x:t>
        </x:is>
      </x:c>
      <x:c r="I425" s="29" t="n">
        <x:v>46295</x:v>
      </x:c>
      <x:c r="J425" s="24" t="inlineStr">
        <x:is>
          <x:t xml:space="preserve">docs/huong-dan-mobile/huong-dan-mobile-v1.2.zip, 9 nguồn Markdown khớp bytes; Drive10gU2AUdgJLgIZH1UNs1Q2AE225sRlD-u đọc lại khớp.</x:t>
        </x:is>
      </x:c>
      <x:c r="K425" s="24" t="n"/>
      <x:c r="L425" s="24" t="inlineStr">
        <x:is>
          <x:t xml:space="preserve">Hoàn tất</x:t>
        </x:is>
      </x:c>
    </x:row>
    <x:row r="426" ht="165" customHeight="1">
      <x:c r="A426" s="24" t="inlineStr">
        <x:is>
          <x:t xml:space="preserve">MCP-20260930</x:t>
        </x:is>
      </x:c>
      <x:c r="B426" s="24" t="inlineStr">
        <x:is>
          <x:t xml:space="preserve">MCP-01</x:t>
        </x:is>
      </x:c>
      <x:c r="C426" s="24" t="inlineStr">
        <x:is>
          <x:t xml:space="preserve">F17/F18/F20</x:t>
        </x:is>
      </x:c>
      <x:c r="D426" s="24" t="inlineStr">
        <x:is>
          <x:t xml:space="preserve">DOC-018/040</x:t>
        </x:is>
      </x:c>
      <x:c r="E426" s="24" t="inlineStr">
        <x:is>
          <x:t xml:space="preserve">Đồng bộ nguồn hướng dẫn trong gói kỹ thuật</x:t>
        </x:is>
      </x:c>
      <x:c r="F426" s="24" t="inlineStr">
        <x:is>
          <x:t xml:space="preserve">Đã cập nhật</x:t>
        </x:is>
      </x:c>
      <x:c r="G426" s="24" t="inlineStr">
        <x:is>
          <x:t xml:space="preserve">Có</x:t>
        </x:is>
      </x:c>
      <x:c r="H426" s="24" t="inlineStr">
        <x:is>
          <x:t xml:space="preserve">Codex</x:t>
        </x:is>
      </x:c>
      <x:c r="I426" s="29" t="n">
        <x:v>46295</x:v>
      </x:c>
      <x:c r="J426" s="24" t="inlineStr">
        <x:is>
          <x:t xml:space="preserve">architecture-source-v0.1.1.zip và technical-design-v0.1.1.zip / MCP-01; cập nhật 3 Markdown và ghi revision MCP-01.txt, bảo toàn entry khác. Drive cùng ID, đọc lại bytes.</x:t>
        </x:is>
      </x:c>
      <x:c r="K426" s="24" t="n"/>
      <x:c r="L426" s="24" t="inlineStr">
        <x:is>
          <x:t xml:space="preserve">Hoàn tất</x:t>
        </x:is>
      </x:c>
    </x:row>
    <x:row r="427" ht="165" customHeight="1">
      <x:c r="A427" s="24" t="inlineStr">
        <x:is>
          <x:t xml:space="preserve">MCP-20260930</x:t>
        </x:is>
      </x:c>
      <x:c r="B427" s="24" t="inlineStr">
        <x:is>
          <x:t xml:space="preserve">MCP-01</x:t>
        </x:is>
      </x:c>
      <x:c r="C427" s="24" t="inlineStr">
        <x:is>
          <x:t xml:space="preserve">F17/F18/F20</x:t>
        </x:is>
      </x:c>
      <x:c r="D427" s="24" t="inlineStr">
        <x:is>
          <x:t xml:space="preserve">DOC-000</x:t>
        </x:is>
      </x:c>
      <x:c r="E427" s="24" t="inlineStr">
        <x:is>
          <x:t xml:space="preserve">Sổ quản lý v1.38</x:t>
        </x:is>
      </x:c>
      <x:c r="F427" s="24" t="inlineStr">
        <x:is>
          <x:t xml:space="preserve">Đã cập nhật</x:t>
        </x:is>
      </x:c>
      <x:c r="G427" s="24" t="inlineStr">
        <x:is>
          <x:t xml:space="preserve">Có</x:t>
        </x:is>
      </x:c>
      <x:c r="H427" s="24" t="inlineStr">
        <x:is>
          <x:t xml:space="preserve">Codex</x:t>
        </x:is>
      </x:c>
      <x:c r="I427" s="29" t="n">
        <x:v>46295</x:v>
      </x:c>
      <x:c r="J427" s="24" t="inlineStr">
        <x:is>
          <x:t xml:space="preserve">Danh muc/Quyet dinh/Dong bo; Anh huong F17/F18/F20 đã có DOC-072–081. Bảo toàn công thức/style và nội dung ngoài phạm vi; Drive18eWx9ObcWbpRNSIsxKs7YTwBpR-ZPjQq cùng ID, đọc lại.</x:t>
        </x:is>
      </x:c>
      <x:c r="K427" s="24" t="n"/>
      <x:c r="L427" s="24" t="inlineStr">
        <x:is>
          <x:t xml:space="preserve">Hoàn tất</x:t>
        </x:is>
      </x:c>
    </x:row>
    <x:row r="428" ht="165" customHeight="1">
      <x:c r="A428" s="24" t="inlineStr">
        <x:is>
          <x:t xml:space="preserve">MCP-20260930</x:t>
        </x:is>
      </x:c>
      <x:c r="B428" s="24" t="inlineStr">
        <x:is>
          <x:t xml:space="preserve">MCP-01</x:t>
        </x:is>
      </x:c>
      <x:c r="C428" s="24" t="inlineStr">
        <x:is>
          <x:t xml:space="preserve">F17/F18/F20</x:t>
        </x:is>
      </x:c>
      <x:c r="D428" s="24" t="inlineStr">
        <x:is>
          <x:t xml:space="preserve">DOC-073/074/075/076/079/080; DOC-064/065/070/071; BRD/PRD/FR/NFR/SRS/UX/ERD/API/QA</x:t>
        </x:is>
      </x:c>
      <x:c r="E428" s="24" t="inlineStr">
        <x:is>
          <x:t xml:space="preserve">Rà ảnh hưởng</x:t>
        </x:is>
      </x:c>
      <x:c r="F428" s="24" t="inlineStr">
        <x:is>
          <x:t xml:space="preserve">Không áp dụng</x:t>
        </x:is>
      </x:c>
      <x:c r="G428" s="24" t="inlineStr">
        <x:is>
          <x:t xml:space="preserve">Có</x:t>
        </x:is>
      </x:c>
      <x:c r="H428" s="24" t="inlineStr">
        <x:is>
          <x:t xml:space="preserve">Codex</x:t>
        </x:is>
      </x:c>
      <x:c r="I428" s="29" t="n">
        <x:v>46295</x:v>
      </x:c>
      <x:c r="J428" s="24" t="inlineStr">
        <x:is>
          <x:t xml:space="preserve">Cross-search MCP/native: bài01 giữ snapshot; bài04 B và các runbook vẫn đúng. Native E2E sản phẩm giữ pending.</x:t>
        </x:is>
      </x:c>
      <x:c r="K428" s="24" t="inlineStr">
        <x:is>
          <x:t xml:space="preserve">Chỉ kết nối công cụ máy phát triển; không sửa code, nghiệp vụ, UI/contract, SDK/build hoặc kế hoạch.</x:t>
        </x:is>
      </x:c>
      <x:c r="L428" s="24" t="inlineStr">
        <x:is>
          <x:t xml:space="preserve">Không áp dụng có lý do</x:t>
        </x:is>
      </x:c>
    </x:row>
    <x:row r="429" ht="165" customHeight="1">
      <x:c r="A429" s="24" t="inlineStr">
        <x:is>
          <x:t xml:space="preserve">MCP-20260930</x:t>
        </x:is>
      </x:c>
      <x:c r="B429" s="24" t="inlineStr">
        <x:is>
          <x:t xml:space="preserve">MCP-01</x:t>
        </x:is>
      </x:c>
      <x:c r="C429" s="24" t="inlineStr">
        <x:is>
          <x:t xml:space="preserve">F17/F18/F20</x:t>
        </x:is>
      </x:c>
      <x:c r="D429" s="24" t="inlineStr">
        <x:is>
          <x:t xml:space="preserve">HTML/localhost; UI-UX ZIP; archive</x:t>
        </x:is>
      </x:c>
      <x:c r="E429" s="24" t="inlineStr">
        <x:is>
          <x:t xml:space="preserve">Rà bản phục vụ và lịch sử</x:t>
        </x:is>
      </x:c>
      <x:c r="F429" s="24" t="inlineStr">
        <x:is>
          <x:t xml:space="preserve">Không áp dụng</x:t>
        </x:is>
      </x:c>
      <x:c r="G429" s="24" t="inlineStr">
        <x:is>
          <x:t xml:space="preserve">Có</x:t>
        </x:is>
      </x:c>
      <x:c r="H429" s="24" t="inlineStr">
        <x:is>
          <x:t xml:space="preserve">Codex</x:t>
        </x:is>
      </x:c>
      <x:c r="I429" s="29" t="n">
        <x:v>46295</x:v>
      </x:c>
      <x:c r="J429" s="24" t="inlineStr">
        <x:is>
          <x:t xml:space="preserve">3 Markdown thay đổi không có bản HTML/localhost riêng; UI ZIP không chứa nguồn hướng dẫn. Guide v1.0/v1.1 giữ nguyên.</x:t>
        </x:is>
      </x:c>
      <x:c r="K429" s="24" t="inlineStr">
        <x:is>
          <x:t xml:space="preserve">Không sửa prototype, không tạo bản phục vụ mới, không sửa lịch sử.</x:t>
        </x:is>
      </x:c>
      <x:c r="L429" s="24" t="inlineStr">
        <x:is>
          <x:t xml:space="preserve">Không áp dụng có lý do</x:t>
        </x:is>
      </x:c>
    </x:row>
    <x:row r="430" ht="165" customHeight="1">
      <x:c r="A430" s="24" t="inlineStr">
        <x:is>
          <x:t xml:space="preserve">EXPO-MCP-20260930</x:t>
        </x:is>
      </x:c>
      <x:c r="B430" s="24" t="inlineStr">
        <x:is>
          <x:t xml:space="preserve">EXPO-MCP-01</x:t>
        </x:is>
      </x:c>
      <x:c r="C430" s="24" t="inlineStr">
        <x:is>
          <x:t xml:space="preserve">F17/F18/F20</x:t>
        </x:is>
      </x:c>
      <x:c r="D430" s="24" t="inlineStr">
        <x:is>
          <x:t xml:space="preserve">DOC-072/077/078</x:t>
        </x:is>
      </x:c>
      <x:c r="E430" s="24" t="inlineStr">
        <x:is>
          <x:t xml:space="preserve">Cài Expo MCP và chỉ dùng công cụ miễn phí</x:t>
        </x:is>
      </x:c>
      <x:c r="F430" s="24" t="inlineStr">
        <x:is>
          <x:t xml:space="preserve">Đã cập nhật</x:t>
        </x:is>
      </x:c>
      <x:c r="G430" s="24" t="inlineStr">
        <x:is>
          <x:t xml:space="preserve">Có</x:t>
        </x:is>
      </x:c>
      <x:c r="H430" s="24" t="inlineStr">
        <x:is>
          <x:t xml:space="preserve">Codex</x:t>
        </x:is>
      </x:c>
      <x:c r="I430" s="29" t="n">
        <x:v>46295</x:v>
      </x:c>
      <x:c r="J430" s="24" t="inlineStr">
        <x:is>
          <x:t xml:space="preserve">DOC-072 v1.3; DOC-077/078 v1.2. test-results/mcp/expo-2026-09-30: Codex connected/OAuth, read_documentation/add_library PASS. Local tools expose; app UI chờ binary.</x:t>
        </x:is>
      </x:c>
      <x:c r="K430" s="24" t="n"/>
      <x:c r="L430" s="24" t="inlineStr">
        <x:is>
          <x:t xml:space="preserve">Hoàn tất</x:t>
        </x:is>
      </x:c>
    </x:row>
    <x:row r="431" ht="165" customHeight="1">
      <x:c r="A431" s="24" t="inlineStr">
        <x:is>
          <x:t xml:space="preserve">EXPO-MCP-20260930</x:t>
        </x:is>
      </x:c>
      <x:c r="B431" s="24" t="inlineStr">
        <x:is>
          <x:t xml:space="preserve">EXPO-MCP-01</x:t>
        </x:is>
      </x:c>
      <x:c r="C431" s="24" t="inlineStr">
        <x:is>
          <x:t xml:space="preserve">F17/F18/F20</x:t>
        </x:is>
      </x:c>
      <x:c r="D431" s="24" t="inlineStr">
        <x:is>
          <x:t xml:space="preserve">DOC-081</x:t>
        </x:is>
      </x:c>
      <x:c r="E431" s="24" t="inlineStr">
        <x:is>
          <x:t xml:space="preserve">Gói hướng dẫn v1.3</x:t>
        </x:is>
      </x:c>
      <x:c r="F431" s="24" t="inlineStr">
        <x:is>
          <x:t xml:space="preserve">Đã cập nhật</x:t>
        </x:is>
      </x:c>
      <x:c r="G431" s="24" t="inlineStr">
        <x:is>
          <x:t xml:space="preserve">Có</x:t>
        </x:is>
      </x:c>
      <x:c r="H431" s="24" t="inlineStr">
        <x:is>
          <x:t xml:space="preserve">Codex</x:t>
        </x:is>
      </x:c>
      <x:c r="I431" s="29" t="n">
        <x:v>46295</x:v>
      </x:c>
      <x:c r="J431" s="24" t="inlineStr">
        <x:is>
          <x:t xml:space="preserve">docs/huong-dan-mobile/huong-dan-mobile-v1.3.zip; 9 Markdown khớp nguồn. Drive10gU2AUdgJLgIZH1UNs1Q2AE225sRlD-u cùng ID, đọc lại khớp.</x:t>
        </x:is>
      </x:c>
      <x:c r="K431" s="24" t="n"/>
      <x:c r="L431" s="24" t="inlineStr">
        <x:is>
          <x:t xml:space="preserve">Hoàn tất</x:t>
        </x:is>
      </x:c>
    </x:row>
    <x:row r="432" ht="165" customHeight="1">
      <x:c r="A432" s="24" t="inlineStr">
        <x:is>
          <x:t xml:space="preserve">EXPO-MCP-20260930</x:t>
        </x:is>
      </x:c>
      <x:c r="B432" s="24" t="inlineStr">
        <x:is>
          <x:t xml:space="preserve">EXPO-MCP-01</x:t>
        </x:is>
      </x:c>
      <x:c r="C432" s="24" t="inlineStr">
        <x:is>
          <x:t xml:space="preserve">F17/F18/F20</x:t>
        </x:is>
      </x:c>
      <x:c r="D432" s="24" t="inlineStr">
        <x:is>
          <x:t xml:space="preserve">DOC-018/040</x:t>
        </x:is>
      </x:c>
      <x:c r="E432" s="24" t="inlineStr">
        <x:is>
          <x:t xml:space="preserve">Gói kỹ thuật / EXPO-MCP-01</x:t>
        </x:is>
      </x:c>
      <x:c r="F432" s="24" t="inlineStr">
        <x:is>
          <x:t xml:space="preserve">Đã cập nhật</x:t>
        </x:is>
      </x:c>
      <x:c r="G432" s="24" t="inlineStr">
        <x:is>
          <x:t xml:space="preserve">Có</x:t>
        </x:is>
      </x:c>
      <x:c r="H432" s="24" t="inlineStr">
        <x:is>
          <x:t xml:space="preserve">Codex</x:t>
        </x:is>
      </x:c>
      <x:c r="I432" s="29" t="n">
        <x:v>46295</x:v>
      </x:c>
      <x:c r="J432" s="24" t="inlineStr">
        <x:is>
          <x:t xml:space="preserve">Cập nhật nguồn hướng dẫn và dependency liên quan nếu có trong ZIP, EXPO-MCP-01.txt; giữ entry khác. Drive cùng ID, đọc lại khớp.</x:t>
        </x:is>
      </x:c>
      <x:c r="K432" s="24" t="n"/>
      <x:c r="L432" s="24" t="inlineStr">
        <x:is>
          <x:t xml:space="preserve">Hoàn tất</x:t>
        </x:is>
      </x:c>
    </x:row>
    <x:row r="433" ht="165" customHeight="1">
      <x:c r="A433" s="24" t="inlineStr">
        <x:is>
          <x:t xml:space="preserve">EXPO-MCP-20260930</x:t>
        </x:is>
      </x:c>
      <x:c r="B433" s="24" t="inlineStr">
        <x:is>
          <x:t xml:space="preserve">EXPO-MCP-01</x:t>
        </x:is>
      </x:c>
      <x:c r="C433" s="24" t="inlineStr">
        <x:is>
          <x:t xml:space="preserve">F17/F18/F20</x:t>
        </x:is>
      </x:c>
      <x:c r="D433" s="24" t="inlineStr">
        <x:is>
          <x:t xml:space="preserve">DOC-000</x:t>
        </x:is>
      </x:c>
      <x:c r="E433" s="24" t="inlineStr">
        <x:is>
          <x:t xml:space="preserve">Sổ quản lý v1.39</x:t>
        </x:is>
      </x:c>
      <x:c r="F433" s="24" t="inlineStr">
        <x:is>
          <x:t xml:space="preserve">Đã cập nhật</x:t>
        </x:is>
      </x:c>
      <x:c r="G433" s="24" t="inlineStr">
        <x:is>
          <x:t xml:space="preserve">Có</x:t>
        </x:is>
      </x:c>
      <x:c r="H433" s="24" t="inlineStr">
        <x:is>
          <x:t xml:space="preserve">Codex</x:t>
        </x:is>
      </x:c>
      <x:c r="I433" s="29" t="n">
        <x:v>46295</x:v>
      </x:c>
      <x:c r="J433" s="24" t="inlineStr">
        <x:is>
          <x:t xml:space="preserve">Danh muc/Quyet dinh/Dong bo; giữ Anh huong F17/F18/F20 đã có. Công thức/định dạng giữ nguyên; Drive cùng ID đọc lại. Chuẩn hóa kết quả MCP-01 về Hoàn tất/Không áp dụng có lý do để bộ đếm hiện có nhận đúng.</x:t>
        </x:is>
      </x:c>
      <x:c r="K433" s="24" t="n"/>
      <x:c r="L433" s="24" t="inlineStr">
        <x:is>
          <x:t xml:space="preserve">Hoàn tất</x:t>
        </x:is>
      </x:c>
    </x:row>
    <x:row r="434" ht="165" customHeight="1">
      <x:c r="A434" s="24" t="inlineStr">
        <x:is>
          <x:t xml:space="preserve">EXPO-MCP-20260930</x:t>
        </x:is>
      </x:c>
      <x:c r="B434" s="24" t="inlineStr">
        <x:is>
          <x:t xml:space="preserve">EXPO-MCP-01</x:t>
        </x:is>
      </x:c>
      <x:c r="C434" s="24" t="inlineStr">
        <x:is>
          <x:t xml:space="preserve">F17/F18/F20</x:t>
        </x:is>
      </x:c>
      <x:c r="D434" s="24" t="inlineStr">
        <x:is>
          <x:t xml:space="preserve">DOC-073/074/075/076/079/080; DOC-064/065/070/071; BRD/PRD/FR/NFR/SRS/UX/ERD/API/QA</x:t>
        </x:is>
      </x:c>
      <x:c r="E434" s="24" t="inlineStr">
        <x:is>
          <x:t xml:space="preserve">Rà ảnh hưởng</x:t>
        </x:is>
      </x:c>
      <x:c r="F434" s="24" t="inlineStr">
        <x:is>
          <x:t xml:space="preserve">Không áp dụng</x:t>
        </x:is>
      </x:c>
      <x:c r="G434" s="24" t="inlineStr">
        <x:is>
          <x:t xml:space="preserve">Có</x:t>
        </x:is>
      </x:c>
      <x:c r="H434" s="24" t="inlineStr">
        <x:is>
          <x:t xml:space="preserve">Codex</x:t>
        </x:is>
      </x:c>
      <x:c r="I434" s="29" t="n">
        <x:v>46295</x:v>
      </x:c>
      <x:c r="J434" s="24" t="inlineStr">
        <x:is>
          <x:t xml:space="preserve">Chỉ thêm devDependency expo-mcp và cấu hình Codex trên máy. DOC-077/078 ghi giới hạn miễn phí; binary/E2E vẫn pending.</x:t>
        </x:is>
      </x:c>
      <x:c r="K434" s="24" t="inlineStr">
        <x:is>
          <x:t xml:space="preserve">Không đổi chức năng/UI/contract hoặc quy trình build/test cũ; không sửa tài liệu nghiệp vụ.</x:t>
        </x:is>
      </x:c>
      <x:c r="L434" s="24" t="inlineStr">
        <x:is>
          <x:t xml:space="preserve">Không áp dụng có lý do</x:t>
        </x:is>
      </x:c>
    </x:row>
    <x:row r="435" ht="165" customHeight="1">
      <x:c r="A435" s="24" t="inlineStr">
        <x:is>
          <x:t xml:space="preserve">EXPO-MCP-20260930</x:t>
        </x:is>
      </x:c>
      <x:c r="B435" s="24" t="inlineStr">
        <x:is>
          <x:t xml:space="preserve">EXPO-MCP-01</x:t>
        </x:is>
      </x:c>
      <x:c r="C435" s="24" t="inlineStr">
        <x:is>
          <x:t xml:space="preserve">F17/F18/F20</x:t>
        </x:is>
      </x:c>
      <x:c r="D435" s="24" t="inlineStr">
        <x:is>
          <x:t xml:space="preserve">HTML/localhost; UI-UX ZIP; archive</x:t>
        </x:is>
      </x:c>
      <x:c r="E435" s="24" t="inlineStr">
        <x:is>
          <x:t xml:space="preserve">Rà bản xuất khác</x:t>
        </x:is>
      </x:c>
      <x:c r="F435" s="24" t="inlineStr">
        <x:is>
          <x:t xml:space="preserve">Không áp dụng</x:t>
        </x:is>
      </x:c>
      <x:c r="G435" s="24" t="inlineStr">
        <x:is>
          <x:t xml:space="preserve">Có</x:t>
        </x:is>
      </x:c>
      <x:c r="H435" s="24" t="inlineStr">
        <x:is>
          <x:t xml:space="preserve">Codex</x:t>
        </x:is>
      </x:c>
      <x:c r="I435" s="29" t="n">
        <x:v>46295</x:v>
      </x:c>
      <x:c r="J435" s="24" t="inlineStr">
        <x:is>
          <x:t xml:space="preserve">3 Markdown không có bản HTML phục vụ riêng; UI ZIP không chứa nguồn này. Guidev1.0/v1.1/v1.2 giữ nguyên.</x:t>
        </x:is>
      </x:c>
      <x:c r="K435" s="24" t="inlineStr">
        <x:is>
          <x:t xml:space="preserve">Không đổi prototype hoặc lịch sử.</x:t>
        </x:is>
      </x:c>
      <x:c r="L435" s="24" t="inlineStr">
        <x:is>
          <x:t xml:space="preserve">Không áp dụng có lý do</x:t>
        </x:is>
      </x:c>
    </x:row>
    <x:row r="436" ht="165" customHeight="1">
      <x:c r="A436" s="24" t="inlineStr">
        <x:is>
          <x:t xml:space="preserve">DELIVERY-20261001</x:t>
        </x:is>
      </x:c>
      <x:c r="B436" s="24" t="inlineStr">
        <x:is>
          <x:t xml:space="preserve">DELIVERY-01</x:t>
        </x:is>
      </x:c>
      <x:c r="C436" s="24" t="inlineStr">
        <x:is>
          <x:t xml:space="preserve">F01/F02/F17/F18/F20</x:t>
        </x:is>
      </x:c>
      <x:c r="D436" s="24" t="inlineStr">
        <x:is>
          <x:t xml:space="preserve">DOC-082</x:t>
        </x:is>
      </x:c>
      <x:c r="E436" s="24" t="inlineStr">
        <x:is>
          <x:t xml:space="preserve">Tạo và kiểm bản local</x:t>
        </x:is>
      </x:c>
      <x:c r="F436" s="24" t="inlineStr">
        <x:is>
          <x:t xml:space="preserve">Đã cập nhật</x:t>
        </x:is>
      </x:c>
      <x:c r="G436" s="24" t="inlineStr">
        <x:is>
          <x:t xml:space="preserve">Có</x:t>
        </x:is>
      </x:c>
      <x:c r="H436" s="24" t="inlineStr">
        <x:is>
          <x:t xml:space="preserve">Codex</x:t>
        </x:is>
      </x:c>
      <x:c r="I436" s="29" t="n">
        <x:v>46296</x:v>
      </x:c>
      <x:c r="J436" s="24" t="inlineStr">
        <x:is>
          <x:t xml:space="preserve">/Users/j2866/Documents/anhthai/dich-vu-quanh-ban/docs/ke-hoach-trien-khai/README.md; kiểm liên kết và ZIP parity; CI 50d184a đạt; native artifacts được đọc lại.</x:t>
        </x:is>
      </x:c>
      <x:c r="K436" s="24" t="inlineStr">
        <x:is>
          <x:t xml:space="preserve"/>
        </x:is>
      </x:c>
      <x:c r="L436" s="24" t="inlineStr">
        <x:is>
          <x:t xml:space="preserve">Hoàn tất</x:t>
        </x:is>
      </x:c>
    </x:row>
    <x:row r="437" ht="165" customHeight="1">
      <x:c r="A437" s="24" t="inlineStr">
        <x:is>
          <x:t xml:space="preserve">DELIVERY-20261001</x:t>
        </x:is>
      </x:c>
      <x:c r="B437" s="24" t="inlineStr">
        <x:is>
          <x:t xml:space="preserve">DELIVERY-01</x:t>
        </x:is>
      </x:c>
      <x:c r="C437" s="24" t="inlineStr">
        <x:is>
          <x:t xml:space="preserve">F01/F02/F17/F18/F20</x:t>
        </x:is>
      </x:c>
      <x:c r="D437" s="24" t="inlineStr">
        <x:is>
          <x:t xml:space="preserve">DOC-083</x:t>
        </x:is>
      </x:c>
      <x:c r="E437" s="24" t="inlineStr">
        <x:is>
          <x:t xml:space="preserve">Tạo và kiểm bản local</x:t>
        </x:is>
      </x:c>
      <x:c r="F437" s="24" t="inlineStr">
        <x:is>
          <x:t xml:space="preserve">Đã cập nhật</x:t>
        </x:is>
      </x:c>
      <x:c r="G437" s="24" t="inlineStr">
        <x:is>
          <x:t xml:space="preserve">Có</x:t>
        </x:is>
      </x:c>
      <x:c r="H437" s="24" t="inlineStr">
        <x:is>
          <x:t xml:space="preserve">Codex</x:t>
        </x:is>
      </x:c>
      <x:c r="I437" s="29" t="n">
        <x:v>46296</x:v>
      </x:c>
      <x:c r="J437" s="24" t="inlineStr">
        <x:is>
          <x:t xml:space="preserve">/Users/j2866/Documents/anhthai/dich-vu-quanh-ban/docs/ke-hoach-trien-khai/01-checklist.md; kiểm liên kết và ZIP parity; CI 50d184a đạt; native artifacts được đọc lại.</x:t>
        </x:is>
      </x:c>
      <x:c r="K437" s="24" t="inlineStr">
        <x:is>
          <x:t xml:space="preserve"/>
        </x:is>
      </x:c>
      <x:c r="L437" s="24" t="inlineStr">
        <x:is>
          <x:t xml:space="preserve">Hoàn tất</x:t>
        </x:is>
      </x:c>
    </x:row>
    <x:row r="438" ht="165" customHeight="1">
      <x:c r="A438" s="24" t="inlineStr">
        <x:is>
          <x:t xml:space="preserve">DELIVERY-20261001</x:t>
        </x:is>
      </x:c>
      <x:c r="B438" s="24" t="inlineStr">
        <x:is>
          <x:t xml:space="preserve">DELIVERY-01</x:t>
        </x:is>
      </x:c>
      <x:c r="C438" s="24" t="inlineStr">
        <x:is>
          <x:t xml:space="preserve">F01/F02/F17/F18/F20</x:t>
        </x:is>
      </x:c>
      <x:c r="D438" s="24" t="inlineStr">
        <x:is>
          <x:t xml:space="preserve">DOC-084</x:t>
        </x:is>
      </x:c>
      <x:c r="E438" s="24" t="inlineStr">
        <x:is>
          <x:t xml:space="preserve">Tạo và kiểm bản local</x:t>
        </x:is>
      </x:c>
      <x:c r="F438" s="24" t="inlineStr">
        <x:is>
          <x:t xml:space="preserve">Đã cập nhật</x:t>
        </x:is>
      </x:c>
      <x:c r="G438" s="24" t="inlineStr">
        <x:is>
          <x:t xml:space="preserve">Có</x:t>
        </x:is>
      </x:c>
      <x:c r="H438" s="24" t="inlineStr">
        <x:is>
          <x:t xml:space="preserve">Codex</x:t>
        </x:is>
      </x:c>
      <x:c r="I438" s="29" t="n">
        <x:v>46296</x:v>
      </x:c>
      <x:c r="J438" s="24" t="inlineStr">
        <x:is>
          <x:t xml:space="preserve">/Users/j2866/Documents/anhthai/dich-vu-quanh-ban/docs/ke-hoach-trien-khai/02-quy-trinh-va-cau-truc.md; kiểm liên kết và ZIP parity; CI 50d184a đạt; native artifacts được đọc lại.</x:t>
        </x:is>
      </x:c>
      <x:c r="K438" s="24" t="inlineStr">
        <x:is>
          <x:t xml:space="preserve"/>
        </x:is>
      </x:c>
      <x:c r="L438" s="24" t="inlineStr">
        <x:is>
          <x:t xml:space="preserve">Hoàn tất</x:t>
        </x:is>
      </x:c>
    </x:row>
    <x:row r="439" ht="165" customHeight="1">
      <x:c r="A439" s="24" t="inlineStr">
        <x:is>
          <x:t xml:space="preserve">DELIVERY-20261001</x:t>
        </x:is>
      </x:c>
      <x:c r="B439" s="24" t="inlineStr">
        <x:is>
          <x:t xml:space="preserve">DELIVERY-01</x:t>
        </x:is>
      </x:c>
      <x:c r="C439" s="24" t="inlineStr">
        <x:is>
          <x:t xml:space="preserve">F01/F02/F17/F18/F20</x:t>
        </x:is>
      </x:c>
      <x:c r="D439" s="24" t="inlineStr">
        <x:is>
          <x:t xml:space="preserve">DOC-085</x:t>
        </x:is>
      </x:c>
      <x:c r="E439" s="24" t="inlineStr">
        <x:is>
          <x:t xml:space="preserve">Tạo và kiểm bản local</x:t>
        </x:is>
      </x:c>
      <x:c r="F439" s="24" t="inlineStr">
        <x:is>
          <x:t xml:space="preserve">Đã cập nhật</x:t>
        </x:is>
      </x:c>
      <x:c r="G439" s="24" t="inlineStr">
        <x:is>
          <x:t xml:space="preserve">Có</x:t>
        </x:is>
      </x:c>
      <x:c r="H439" s="24" t="inlineStr">
        <x:is>
          <x:t xml:space="preserve">Codex</x:t>
        </x:is>
      </x:c>
      <x:c r="I439" s="29" t="n">
        <x:v>46296</x:v>
      </x:c>
      <x:c r="J439" s="24" t="inlineStr">
        <x:is>
          <x:t xml:space="preserve">/Users/j2866/Documents/anhthai/dich-vu-quanh-ban/docs/ke-hoach-trien-khai/03-thu-tu-trien-khai.md; kiểm liên kết và ZIP parity; CI 50d184a đạt; native artifacts được đọc lại.</x:t>
        </x:is>
      </x:c>
      <x:c r="K439" s="24" t="inlineStr">
        <x:is>
          <x:t xml:space="preserve"/>
        </x:is>
      </x:c>
      <x:c r="L439" s="24" t="inlineStr">
        <x:is>
          <x:t xml:space="preserve">Hoàn tất</x:t>
        </x:is>
      </x:c>
    </x:row>
    <x:row r="440" ht="165" customHeight="1">
      <x:c r="A440" s="24" t="inlineStr">
        <x:is>
          <x:t xml:space="preserve">DELIVERY-20261001</x:t>
        </x:is>
      </x:c>
      <x:c r="B440" s="24" t="inlineStr">
        <x:is>
          <x:t xml:space="preserve">DELIVERY-01</x:t>
        </x:is>
      </x:c>
      <x:c r="C440" s="24" t="inlineStr">
        <x:is>
          <x:t xml:space="preserve">F01/F02/F17/F18/F20</x:t>
        </x:is>
      </x:c>
      <x:c r="D440" s="24" t="inlineStr">
        <x:is>
          <x:t xml:space="preserve">DOC-086</x:t>
        </x:is>
      </x:c>
      <x:c r="E440" s="24" t="inlineStr">
        <x:is>
          <x:t xml:space="preserve">Tạo và kiểm bản local</x:t>
        </x:is>
      </x:c>
      <x:c r="F440" s="24" t="inlineStr">
        <x:is>
          <x:t xml:space="preserve">Đã cập nhật</x:t>
        </x:is>
      </x:c>
      <x:c r="G440" s="24" t="inlineStr">
        <x:is>
          <x:t xml:space="preserve">Có</x:t>
        </x:is>
      </x:c>
      <x:c r="H440" s="24" t="inlineStr">
        <x:is>
          <x:t xml:space="preserve">Codex</x:t>
        </x:is>
      </x:c>
      <x:c r="I440" s="29" t="n">
        <x:v>46296</x:v>
      </x:c>
      <x:c r="J440" s="24" t="inlineStr">
        <x:is>
          <x:t xml:space="preserve">/Users/j2866/Documents/anhthai/dich-vu-quanh-ban/docs/ke-hoach-trien-khai/bao-cao/MAU-BAO-CAO.md; kiểm liên kết và ZIP parity; CI 50d184a đạt; native artifacts được đọc lại.</x:t>
        </x:is>
      </x:c>
      <x:c r="K440" s="24" t="inlineStr">
        <x:is>
          <x:t xml:space="preserve"/>
        </x:is>
      </x:c>
      <x:c r="L440" s="24" t="inlineStr">
        <x:is>
          <x:t xml:space="preserve">Hoàn tất</x:t>
        </x:is>
      </x:c>
    </x:row>
    <x:row r="441" ht="165" customHeight="1">
      <x:c r="A441" s="24" t="inlineStr">
        <x:is>
          <x:t xml:space="preserve">DELIVERY-20261001</x:t>
        </x:is>
      </x:c>
      <x:c r="B441" s="24" t="inlineStr">
        <x:is>
          <x:t xml:space="preserve">DELIVERY-01</x:t>
        </x:is>
      </x:c>
      <x:c r="C441" s="24" t="inlineStr">
        <x:is>
          <x:t xml:space="preserve">F01/F02/F17/F18/F20</x:t>
        </x:is>
      </x:c>
      <x:c r="D441" s="24" t="inlineStr">
        <x:is>
          <x:t xml:space="preserve">DOC-087</x:t>
        </x:is>
      </x:c>
      <x:c r="E441" s="24" t="inlineStr">
        <x:is>
          <x:t xml:space="preserve">Tạo và kiểm bản local</x:t>
        </x:is>
      </x:c>
      <x:c r="F441" s="24" t="inlineStr">
        <x:is>
          <x:t xml:space="preserve">Đã cập nhật</x:t>
        </x:is>
      </x:c>
      <x:c r="G441" s="24" t="inlineStr">
        <x:is>
          <x:t xml:space="preserve">Có</x:t>
        </x:is>
      </x:c>
      <x:c r="H441" s="24" t="inlineStr">
        <x:is>
          <x:t xml:space="preserve">Codex</x:t>
        </x:is>
      </x:c>
      <x:c r="I441" s="29" t="n">
        <x:v>46296</x:v>
      </x:c>
      <x:c r="J441" s="24" t="inlineStr">
        <x:is>
          <x:t xml:space="preserve">/Users/j2866/Documents/anhthai/dich-vu-quanh-ban/docs/ke-hoach-trien-khai/bao-cao/B00-01-nen-tang-danh-muc.md; kiểm liên kết và ZIP parity; CI 50d184a đạt; native artifacts được đọc lại.</x:t>
        </x:is>
      </x:c>
      <x:c r="K441" s="24" t="inlineStr">
        <x:is>
          <x:t xml:space="preserve"/>
        </x:is>
      </x:c>
      <x:c r="L441" s="24" t="inlineStr">
        <x:is>
          <x:t xml:space="preserve">Hoàn tất</x:t>
        </x:is>
      </x:c>
    </x:row>
    <x:row r="442" ht="165" customHeight="1">
      <x:c r="A442" s="24" t="inlineStr">
        <x:is>
          <x:t xml:space="preserve">DELIVERY-20261001</x:t>
        </x:is>
      </x:c>
      <x:c r="B442" s="24" t="inlineStr">
        <x:is>
          <x:t xml:space="preserve">DELIVERY-01</x:t>
        </x:is>
      </x:c>
      <x:c r="C442" s="24" t="inlineStr">
        <x:is>
          <x:t xml:space="preserve">F01/F02/F17/F18/F20</x:t>
        </x:is>
      </x:c>
      <x:c r="D442" s="24" t="inlineStr">
        <x:is>
          <x:t xml:space="preserve">DOC-088</x:t>
        </x:is>
      </x:c>
      <x:c r="E442" s="24" t="inlineStr">
        <x:is>
          <x:t xml:space="preserve">Tạo và kiểm bản local</x:t>
        </x:is>
      </x:c>
      <x:c r="F442" s="24" t="inlineStr">
        <x:is>
          <x:t xml:space="preserve">Đã cập nhật</x:t>
        </x:is>
      </x:c>
      <x:c r="G442" s="24" t="inlineStr">
        <x:is>
          <x:t xml:space="preserve">Có</x:t>
        </x:is>
      </x:c>
      <x:c r="H442" s="24" t="inlineStr">
        <x:is>
          <x:t xml:space="preserve">Codex</x:t>
        </x:is>
      </x:c>
      <x:c r="I442" s="29" t="n">
        <x:v>46296</x:v>
      </x:c>
      <x:c r="J442" s="24" t="inlineStr">
        <x:is>
          <x:t xml:space="preserve">/Users/j2866/Documents/anhthai/dich-vu-quanh-ban/docs/ke-hoach-trien-khai/bao-cao/B01-01-email-mat-khau.md; kiểm liên kết và ZIP parity; CI 50d184a đạt; native artifacts được đọc lại.</x:t>
        </x:is>
      </x:c>
      <x:c r="K442" s="24" t="inlineStr">
        <x:is>
          <x:t xml:space="preserve"/>
        </x:is>
      </x:c>
      <x:c r="L442" s="24" t="inlineStr">
        <x:is>
          <x:t xml:space="preserve">Hoàn tất</x:t>
        </x:is>
      </x:c>
    </x:row>
    <x:row r="443" ht="165" customHeight="1">
      <x:c r="A443" s="24" t="inlineStr">
        <x:is>
          <x:t xml:space="preserve">DELIVERY-20261001</x:t>
        </x:is>
      </x:c>
      <x:c r="B443" s="24" t="inlineStr">
        <x:is>
          <x:t xml:space="preserve">DELIVERY-01</x:t>
        </x:is>
      </x:c>
      <x:c r="C443" s="24" t="inlineStr">
        <x:is>
          <x:t xml:space="preserve">F01/F02/F17/F18/F20</x:t>
        </x:is>
      </x:c>
      <x:c r="D443" s="24" t="inlineStr">
        <x:is>
          <x:t xml:space="preserve">DOC-089</x:t>
        </x:is>
      </x:c>
      <x:c r="E443" s="24" t="inlineStr">
        <x:is>
          <x:t xml:space="preserve">Tạo và kiểm bản local</x:t>
        </x:is>
      </x:c>
      <x:c r="F443" s="24" t="inlineStr">
        <x:is>
          <x:t xml:space="preserve">Đã cập nhật</x:t>
        </x:is>
      </x:c>
      <x:c r="G443" s="24" t="inlineStr">
        <x:is>
          <x:t xml:space="preserve">Có</x:t>
        </x:is>
      </x:c>
      <x:c r="H443" s="24" t="inlineStr">
        <x:is>
          <x:t xml:space="preserve">Codex</x:t>
        </x:is>
      </x:c>
      <x:c r="I443" s="29" t="n">
        <x:v>46296</x:v>
      </x:c>
      <x:c r="J443" s="24" t="inlineStr">
        <x:is>
          <x:t xml:space="preserve">/Users/j2866/Documents/anhthai/dich-vu-quanh-ban/docs/ke-hoach-trien-khai/ke-hoach-trien-khai-v1.0.zip; kiểm liên kết và ZIP parity; CI 50d184a đạt; native artifacts được đọc lại.</x:t>
        </x:is>
      </x:c>
      <x:c r="K443" s="24" t="inlineStr">
        <x:is>
          <x:t xml:space="preserve"/>
        </x:is>
      </x:c>
      <x:c r="L443" s="24" t="inlineStr">
        <x:is>
          <x:t xml:space="preserve">Hoàn tất</x:t>
        </x:is>
      </x:c>
    </x:row>
    <x:row r="444" ht="165" customHeight="1">
      <x:c r="A444" s="24" t="inlineStr">
        <x:is>
          <x:t xml:space="preserve">DELIVERY-20261001</x:t>
        </x:is>
      </x:c>
      <x:c r="B444" s="24" t="inlineStr">
        <x:is>
          <x:t xml:space="preserve">DELIVERY-01</x:t>
        </x:is>
      </x:c>
      <x:c r="C444" s="24" t="inlineStr">
        <x:is>
          <x:t xml:space="preserve">F17/F18/F20</x:t>
        </x:is>
      </x:c>
      <x:c r="D444" s="24" t="inlineStr">
        <x:is>
          <x:t xml:space="preserve">DOC-054</x:t>
        </x:is>
      </x:c>
      <x:c r="E444" s="24" t="inlineStr">
        <x:is>
          <x:t xml:space="preserve">Cập nhật điểm vào/quy tắc/đăng ký local</x:t>
        </x:is>
      </x:c>
      <x:c r="F444" s="24" t="inlineStr">
        <x:is>
          <x:t xml:space="preserve">Đã cập nhật</x:t>
        </x:is>
      </x:c>
      <x:c r="G444" s="24" t="inlineStr">
        <x:is>
          <x:t xml:space="preserve">Có</x:t>
        </x:is>
      </x:c>
      <x:c r="H444" s="24" t="inlineStr">
        <x:is>
          <x:t xml:space="preserve">Codex</x:t>
        </x:is>
      </x:c>
      <x:c r="I444" s="29" t="n">
        <x:v>46296</x:v>
      </x:c>
      <x:c r="J444" s="24" t="inlineStr">
        <x:is>
          <x:t xml:space="preserve">/Users/j2866/Documents/anhthai/dich-vu-quanh-ban/README.md; bảo toàn nội dung cũ; Drive text khớp local trước sửa.</x:t>
        </x:is>
      </x:c>
      <x:c r="K444" s="24" t="inlineStr">
        <x:is>
          <x:t xml:space="preserve"/>
        </x:is>
      </x:c>
      <x:c r="L444" s="24" t="inlineStr">
        <x:is>
          <x:t xml:space="preserve">Hoàn tất</x:t>
        </x:is>
      </x:c>
    </x:row>
    <x:row r="445" ht="165" customHeight="1">
      <x:c r="A445" s="24" t="inlineStr">
        <x:is>
          <x:t xml:space="preserve">DELIVERY-20261001</x:t>
        </x:is>
      </x:c>
      <x:c r="B445" s="24" t="inlineStr">
        <x:is>
          <x:t xml:space="preserve">DELIVERY-01</x:t>
        </x:is>
      </x:c>
      <x:c r="C445" s="24" t="inlineStr">
        <x:is>
          <x:t xml:space="preserve">F17/F18/F20</x:t>
        </x:is>
      </x:c>
      <x:c r="D445" s="24" t="inlineStr">
        <x:is>
          <x:t xml:space="preserve">RULE-001</x:t>
        </x:is>
      </x:c>
      <x:c r="E445" s="24" t="inlineStr">
        <x:is>
          <x:t xml:space="preserve">Cập nhật điểm vào/quy tắc/đăng ký local</x:t>
        </x:is>
      </x:c>
      <x:c r="F445" s="24" t="inlineStr">
        <x:is>
          <x:t xml:space="preserve">Đã cập nhật</x:t>
        </x:is>
      </x:c>
      <x:c r="G445" s="24" t="inlineStr">
        <x:is>
          <x:t xml:space="preserve">Có</x:t>
        </x:is>
      </x:c>
      <x:c r="H445" s="24" t="inlineStr">
        <x:is>
          <x:t xml:space="preserve">Codex</x:t>
        </x:is>
      </x:c>
      <x:c r="I445" s="29" t="n">
        <x:v>46296</x:v>
      </x:c>
      <x:c r="J445" s="24" t="inlineStr">
        <x:is>
          <x:t xml:space="preserve">/Users/j2866/Documents/anhthai/dich-vu-quanh-ban/AGENTS.md; bảo toàn nội dung cũ; Drive text khớp local trước sửa.</x:t>
        </x:is>
      </x:c>
      <x:c r="K445" s="24" t="inlineStr">
        <x:is>
          <x:t xml:space="preserve"/>
        </x:is>
      </x:c>
      <x:c r="L445" s="24" t="inlineStr">
        <x:is>
          <x:t xml:space="preserve">Hoàn tất</x:t>
        </x:is>
      </x:c>
    </x:row>
    <x:row r="446" ht="165" customHeight="1">
      <x:c r="A446" s="24" t="inlineStr">
        <x:is>
          <x:t xml:space="preserve">DELIVERY-20261001</x:t>
        </x:is>
      </x:c>
      <x:c r="B446" s="24" t="inlineStr">
        <x:is>
          <x:t xml:space="preserve">DELIVERY-01</x:t>
        </x:is>
      </x:c>
      <x:c r="C446" s="24" t="inlineStr">
        <x:is>
          <x:t xml:space="preserve">F17/F18/F20</x:t>
        </x:is>
      </x:c>
      <x:c r="D446" s="24" t="inlineStr">
        <x:is>
          <x:t xml:space="preserve">DOC-000</x:t>
        </x:is>
      </x:c>
      <x:c r="E446" s="24" t="inlineStr">
        <x:is>
          <x:t xml:space="preserve">Cập nhật điểm vào/quy tắc/đăng ký local</x:t>
        </x:is>
      </x:c>
      <x:c r="F446" s="24" t="inlineStr">
        <x:is>
          <x:t xml:space="preserve">Đã cập nhật</x:t>
        </x:is>
      </x:c>
      <x:c r="G446" s="24" t="inlineStr">
        <x:is>
          <x:t xml:space="preserve">Có</x:t>
        </x:is>
      </x:c>
      <x:c r="H446" s="24" t="inlineStr">
        <x:is>
          <x:t xml:space="preserve">Codex</x:t>
        </x:is>
      </x:c>
      <x:c r="I446" s="29" t="n">
        <x:v>46296</x:v>
      </x:c>
      <x:c r="J446" s="24" t="inlineStr">
        <x:is>
          <x:t xml:space="preserve">/Users/j2866/Documents/anhthai/dich-vu-quanh-ban/docs/project-control/So-quan-ly-tai-lieu.xlsx; bảo toàn nội dung cũ; Drive text khớp local trước sửa.</x:t>
        </x:is>
      </x:c>
      <x:c r="K446" s="24" t="inlineStr">
        <x:is>
          <x:t xml:space="preserve"/>
        </x:is>
      </x:c>
      <x:c r="L446" s="24" t="inlineStr">
        <x:is>
          <x:t xml:space="preserve">Hoàn tất</x:t>
        </x:is>
      </x:c>
    </x:row>
    <x:row r="447" ht="165" customHeight="1">
      <x:c r="A447" s="24" t="inlineStr">
        <x:is>
          <x:t xml:space="preserve">DELIVERY-20261001</x:t>
        </x:is>
      </x:c>
      <x:c r="B447" s="24" t="inlineStr">
        <x:is>
          <x:t xml:space="preserve">DELIVERY-01</x:t>
        </x:is>
      </x:c>
      <x:c r="C447" s="24" t="inlineStr">
        <x:is>
          <x:t xml:space="preserve">F17/F18/F20</x:t>
        </x:is>
      </x:c>
      <x:c r="D447" s="24" t="inlineStr">
        <x:is>
          <x:t xml:space="preserve">DOC-082–089; DOC-054; RULE-001; DOC-000</x:t>
        </x:is>
      </x:c>
      <x:c r="E447" s="24" t="inlineStr">
        <x:is>
          <x:t xml:space="preserve">Phân phối ZIP mới và cập nhật cùng Drive ID của sổ</x:t>
        </x:is>
      </x:c>
      <x:c r="F447" s="24" t="inlineStr">
        <x:is>
          <x:t xml:space="preserve">Chưa cập nhật</x:t>
        </x:is>
      </x:c>
      <x:c r="G447" s="24" t="inlineStr">
        <x:is>
          <x:t xml:space="preserve">Có</x:t>
        </x:is>
      </x:c>
      <x:c r="H447" s="24" t="inlineStr">
        <x:is>
          <x:t xml:space="preserve">Codex</x:t>
        </x:is>
      </x:c>
      <x:c r="I447" s="29" t="n">
        <x:v>46296</x:v>
      </x:c>
      <x:c r="J447" s="24" t="inlineStr">
        <x:is>
          <x:t xml:space="preserve">Automatic approval review từ chối google_drive_upload_file: chưa được user cho phép rõ payload ZIP gồm tài liệu dự án và AGENTS gửi tới Drive. Chưa thử ghi registry lên Drive; giữ nguyên bản remote.</x:t>
        </x:is>
      </x:c>
      <x:c r="K447" s="24" t="inlineStr">
        <x:is>
          <x:t xml:space="preserve"/>
        </x:is>
      </x:c>
      <x:c r="L447" s="24" t="inlineStr">
        <x:is>
          <x:t xml:space="preserve">Chưa hoàn tất</x:t>
        </x:is>
      </x:c>
    </x:row>
    <x:row r="448" ht="165" customHeight="1">
      <x:c r="A448" s="24" t="inlineStr">
        <x:is>
          <x:t xml:space="preserve">DELIVERY-20261001</x:t>
        </x:is>
      </x:c>
      <x:c r="B448" s="24" t="inlineStr">
        <x:is>
          <x:t xml:space="preserve">DELIVERY-01</x:t>
        </x:is>
      </x:c>
      <x:c r="C448" s="24" t="inlineStr">
        <x:is>
          <x:t xml:space="preserve">F19</x:t>
        </x:is>
      </x:c>
      <x:c r="D448" s="24" t="inlineStr">
        <x:is>
          <x:t xml:space="preserve">BRD/PRD/FR/NFR/SRS/API/ERD/UX; ZIP kỹ thuật/UI cũ; HTML/localhost</x:t>
        </x:is>
      </x:c>
      <x:c r="E448" s="24" t="inlineStr">
        <x:is>
          <x:t xml:space="preserve">Rà phạm vi spec/bản xuất khác</x:t>
        </x:is>
      </x:c>
      <x:c r="F448" s="24" t="inlineStr">
        <x:is>
          <x:t xml:space="preserve">Không áp dụng</x:t>
        </x:is>
      </x:c>
      <x:c r="G448" s="24" t="inlineStr">
        <x:is>
          <x:t xml:space="preserve">Có</x:t>
        </x:is>
      </x:c>
      <x:c r="H448" s="24" t="inlineStr">
        <x:is>
          <x:t xml:space="preserve">Codex</x:t>
        </x:is>
      </x:c>
      <x:c r="I448" s="29" t="n">
        <x:v>46296</x:v>
      </x:c>
      <x:c r="J448" s="24" t="inlineStr">
        <x:is>
          <x:t xml:space="preserve">Bộ DELIVERY-01 là kế hoạch/tiến độ/giải thích code. i18n contract còn là nhiệm vụ chưa chốt, không sửa spec trong đợt này. ZIP mới chứa README/AGENTS hiện hành; snapshot README trong ZIP cũ giữ mốc lịch sử.</x:t>
        </x:is>
      </x:c>
      <x:c r="K448" s="24" t="inlineStr">
        <x:is>
          <x:t xml:space="preserve">Không thay nghiệp vụ hay tạo viewer; không tái tạo các bản xuất cũ bằng builder.</x:t>
        </x:is>
      </x:c>
      <x:c r="L448" s="24" t="inlineStr">
        <x:is>
          <x:t xml:space="preserve">Không áp dụng có lý do</x:t>
        </x:is>
      </x:c>
    </x:row>
    <x:row r="449" ht="100" customHeight="1">
      <x:c r="A449" s="8" t="inlineStr">
        <x:is>
          <x:t xml:space="preserve">CHG-I18N-04</x:t>
        </x:is>
      </x:c>
      <x:c r="B449" s="8" t="inlineStr">
        <x:is>
          <x:t xml:space="preserve">I18N-04</x:t>
        </x:is>
      </x:c>
      <x:c r="C449" s="8" t="inlineStr">
        <x:is>
          <x:t xml:space="preserve">F02; F17</x:t>
        </x:is>
      </x:c>
      <x:c r="D449" s="8" t="inlineStr">
        <x:is>
          <x:t xml:space="preserve">DOC-002</x:t>
        </x:is>
      </x:c>
      <x:c r="E449" s="8" t="inlineStr">
        <x:is>
          <x:t xml:space="preserve">Đọc danh mục VI/EN/JA và mở rộng dữ liệu thật</x:t>
        </x:is>
      </x:c>
      <x:c r="F449" s="8" t="inlineStr">
        <x:is>
          <x:t xml:space="preserve">Đã cập nhật</x:t>
        </x:is>
      </x:c>
      <x:c r="G449" s="8" t="inlineStr">
        <x:is>
          <x:t xml:space="preserve">Có</x:t>
        </x:is>
      </x:c>
      <x:c r="H449" s="8" t="inlineStr">
        <x:is>
          <x:t xml:space="preserve">Codex</x:t>
        </x:is>
      </x:c>
      <x:c r="I449" s="27" t="n">
        <x:v>46300</x:v>
      </x:c>
      <x:c r="J449" s="8" t="inlineStr">
        <x:is>
          <x:t xml:space="preserve">I18N-04: 10 ngành/50 nhóm/140 kỹ năng; 34 API,86 mobile,5 web; native i18n/layout Android+iOS đạt local. Chưa push/CI/UAT. 9 file Drive cùng ID đã tải lại đối chiếu bytes; PRD/SRS/UX và FR/NFR đã đọc lại đúng phạm vi. Báo cáo học code chỉ lưu repo. docs/ke-hoach-trien-khai/bao-cao/I18N-04-danh-muc-da-ngon-ngu.md</x:t>
        </x:is>
      </x:c>
      <x:c r="K449" s="8" t="inlineStr">
        <x:is>
          <x:t xml:space="preserve"/>
        </x:is>
      </x:c>
      <x:c r="L449" s="8" t="str">
        <x:f>IF(F449="Không áp dụng",IF(AND(K449&lt;&gt;"",H449&lt;&gt;""),"Không áp dụng có lý do","Thiếu lý do/người kiểm"),IF(AND(B449&lt;&gt;"",D449&lt;&gt;"",F449="Đã cập nhật",G449="Có",H449&lt;&gt;"",ISNUMBER(I449),J449&lt;&gt;""),"Hoàn tất","Chưa hoàn tất"))</x:f>
        <x:v>Hoàn tất</x:v>
      </x:c>
    </x:row>
    <x:row r="450" ht="100" customHeight="1">
      <x:c r="A450" s="8" t="inlineStr">
        <x:is>
          <x:t xml:space="preserve">CHG-I18N-04</x:t>
        </x:is>
      </x:c>
      <x:c r="B450" s="8" t="inlineStr">
        <x:is>
          <x:t xml:space="preserve">I18N-04</x:t>
        </x:is>
      </x:c>
      <x:c r="C450" s="8" t="inlineStr">
        <x:is>
          <x:t xml:space="preserve">F02; F17</x:t>
        </x:is>
      </x:c>
      <x:c r="D450" s="8" t="inlineStr">
        <x:is>
          <x:t xml:space="preserve">DOC-004</x:t>
        </x:is>
      </x:c>
      <x:c r="E450" s="8" t="inlineStr">
        <x:is>
          <x:t xml:space="preserve">Đọc danh mục VI/EN/JA và mở rộng dữ liệu thật</x:t>
        </x:is>
      </x:c>
      <x:c r="F450" s="8" t="inlineStr">
        <x:is>
          <x:t xml:space="preserve">Đã cập nhật</x:t>
        </x:is>
      </x:c>
      <x:c r="G450" s="8" t="inlineStr">
        <x:is>
          <x:t xml:space="preserve">Có</x:t>
        </x:is>
      </x:c>
      <x:c r="H450" s="8" t="inlineStr">
        <x:is>
          <x:t xml:space="preserve">Codex</x:t>
        </x:is>
      </x:c>
      <x:c r="I450" s="27" t="n">
        <x:v>46300</x:v>
      </x:c>
      <x:c r="J450" s="8" t="inlineStr">
        <x:is>
          <x:t xml:space="preserve">I18N-04: 10 ngành/50 nhóm/140 kỹ năng; 34 API,86 mobile,5 web; native i18n/layout Android+iOS đạt local. Chưa push/CI/UAT. 9 file Drive cùng ID đã tải lại đối chiếu bytes; PRD/SRS/UX và FR/NFR đã đọc lại đúng phạm vi. Báo cáo học code chỉ lưu repo. docs/ke-hoach-trien-khai/bao-cao/I18N-04-danh-muc-da-ngon-ngu.md</x:t>
        </x:is>
      </x:c>
      <x:c r="K450" s="8" t="inlineStr">
        <x:is>
          <x:t xml:space="preserve"/>
        </x:is>
      </x:c>
      <x:c r="L450" s="8" t="str">
        <x:f>IF(F450="Không áp dụng",IF(AND(K450&lt;&gt;"",H450&lt;&gt;""),"Không áp dụng có lý do","Thiếu lý do/người kiểm"),IF(AND(B450&lt;&gt;"",D450&lt;&gt;"",F450="Đã cập nhật",G450="Có",H450&lt;&gt;"",ISNUMBER(I450),J450&lt;&gt;""),"Hoàn tất","Chưa hoàn tất"))</x:f>
        <x:v>Hoàn tất</x:v>
      </x:c>
    </x:row>
    <x:row r="451" ht="100" customHeight="1">
      <x:c r="A451" s="8" t="inlineStr">
        <x:is>
          <x:t xml:space="preserve">CHG-I18N-04</x:t>
        </x:is>
      </x:c>
      <x:c r="B451" s="8" t="inlineStr">
        <x:is>
          <x:t xml:space="preserve">I18N-04</x:t>
        </x:is>
      </x:c>
      <x:c r="C451" s="8" t="inlineStr">
        <x:is>
          <x:t xml:space="preserve">F02; F17</x:t>
        </x:is>
      </x:c>
      <x:c r="D451" s="8" t="inlineStr">
        <x:is>
          <x:t xml:space="preserve">DOC-005</x:t>
        </x:is>
      </x:c>
      <x:c r="E451" s="8" t="inlineStr">
        <x:is>
          <x:t xml:space="preserve">Đọc danh mục VI/EN/JA và mở rộng dữ liệu thật</x:t>
        </x:is>
      </x:c>
      <x:c r="F451" s="8" t="inlineStr">
        <x:is>
          <x:t xml:space="preserve">Đã cập nhật</x:t>
        </x:is>
      </x:c>
      <x:c r="G451" s="8" t="inlineStr">
        <x:is>
          <x:t xml:space="preserve">Có</x:t>
        </x:is>
      </x:c>
      <x:c r="H451" s="8" t="inlineStr">
        <x:is>
          <x:t xml:space="preserve">Codex</x:t>
        </x:is>
      </x:c>
      <x:c r="I451" s="27" t="n">
        <x:v>46300</x:v>
      </x:c>
      <x:c r="J451" s="8" t="inlineStr">
        <x:is>
          <x:t xml:space="preserve">I18N-04: 10 ngành/50 nhóm/140 kỹ năng; 34 API,86 mobile,5 web; native i18n/layout Android+iOS đạt local. Chưa push/CI/UAT. 9 file Drive cùng ID đã tải lại đối chiếu bytes; PRD/SRS/UX và FR/NFR đã đọc lại đúng phạm vi. Báo cáo học code chỉ lưu repo. docs/ke-hoach-trien-khai/bao-cao/I18N-04-danh-muc-da-ngon-ngu.md</x:t>
        </x:is>
      </x:c>
      <x:c r="K451" s="8" t="inlineStr">
        <x:is>
          <x:t xml:space="preserve"/>
        </x:is>
      </x:c>
      <x:c r="L451" s="8" t="str">
        <x:f>IF(F451="Không áp dụng",IF(AND(K451&lt;&gt;"",H451&lt;&gt;""),"Không áp dụng có lý do","Thiếu lý do/người kiểm"),IF(AND(B451&lt;&gt;"",D451&lt;&gt;"",F451="Đã cập nhật",G451="Có",H451&lt;&gt;"",ISNUMBER(I451),J451&lt;&gt;""),"Hoàn tất","Chưa hoàn tất"))</x:f>
        <x:v>Hoàn tất</x:v>
      </x:c>
    </x:row>
    <x:row r="452" ht="100" customHeight="1">
      <x:c r="A452" s="8" t="inlineStr">
        <x:is>
          <x:t xml:space="preserve">CHG-I18N-04</x:t>
        </x:is>
      </x:c>
      <x:c r="B452" s="8" t="inlineStr">
        <x:is>
          <x:t xml:space="preserve">I18N-04</x:t>
        </x:is>
      </x:c>
      <x:c r="C452" s="8" t="inlineStr">
        <x:is>
          <x:t xml:space="preserve">F02; F17</x:t>
        </x:is>
      </x:c>
      <x:c r="D452" s="8" t="inlineStr">
        <x:is>
          <x:t xml:space="preserve">DOC-006</x:t>
        </x:is>
      </x:c>
      <x:c r="E452" s="8" t="inlineStr">
        <x:is>
          <x:t xml:space="preserve">Đọc danh mục VI/EN/JA và mở rộng dữ liệu thật</x:t>
        </x:is>
      </x:c>
      <x:c r="F452" s="8" t="inlineStr">
        <x:is>
          <x:t xml:space="preserve">Đã cập nhật</x:t>
        </x:is>
      </x:c>
      <x:c r="G452" s="8" t="inlineStr">
        <x:is>
          <x:t xml:space="preserve">Có</x:t>
        </x:is>
      </x:c>
      <x:c r="H452" s="8" t="inlineStr">
        <x:is>
          <x:t xml:space="preserve">Codex</x:t>
        </x:is>
      </x:c>
      <x:c r="I452" s="27" t="n">
        <x:v>46300</x:v>
      </x:c>
      <x:c r="J452" s="8" t="inlineStr">
        <x:is>
          <x:t xml:space="preserve">I18N-04: 10 ngành/50 nhóm/140 kỹ năng; 34 API,86 mobile,5 web; native i18n/layout Android+iOS đạt local. Chưa push/CI/UAT. 9 file Drive cùng ID đã tải lại đối chiếu bytes; PRD/SRS/UX và FR/NFR đã đọc lại đúng phạm vi. Báo cáo học code chỉ lưu repo. docs/ke-hoach-trien-khai/bao-cao/I18N-04-danh-muc-da-ngon-ngu.md</x:t>
        </x:is>
      </x:c>
      <x:c r="K452" s="8" t="inlineStr">
        <x:is>
          <x:t xml:space="preserve"/>
        </x:is>
      </x:c>
      <x:c r="L452" s="8" t="str">
        <x:f>IF(F452="Không áp dụng",IF(AND(K452&lt;&gt;"",H452&lt;&gt;""),"Không áp dụng có lý do","Thiếu lý do/người kiểm"),IF(AND(B452&lt;&gt;"",D452&lt;&gt;"",F452="Đã cập nhật",G452="Có",H452&lt;&gt;"",ISNUMBER(I452),J452&lt;&gt;""),"Hoàn tất","Chưa hoàn tất"))</x:f>
        <x:v>Hoàn tất</x:v>
      </x:c>
    </x:row>
    <x:row r="453" ht="100" customHeight="1">
      <x:c r="A453" s="8" t="inlineStr">
        <x:is>
          <x:t xml:space="preserve">CHG-I18N-04</x:t>
        </x:is>
      </x:c>
      <x:c r="B453" s="8" t="inlineStr">
        <x:is>
          <x:t xml:space="preserve">I18N-04</x:t>
        </x:is>
      </x:c>
      <x:c r="C453" s="8" t="inlineStr">
        <x:is>
          <x:t xml:space="preserve">F02; F17</x:t>
        </x:is>
      </x:c>
      <x:c r="D453" s="8" t="inlineStr">
        <x:is>
          <x:t xml:space="preserve">DOC-007</x:t>
        </x:is>
      </x:c>
      <x:c r="E453" s="8" t="inlineStr">
        <x:is>
          <x:t xml:space="preserve">Đọc danh mục VI/EN/JA và mở rộng dữ liệu thật</x:t>
        </x:is>
      </x:c>
      <x:c r="F453" s="8" t="inlineStr">
        <x:is>
          <x:t xml:space="preserve">Đã cập nhật</x:t>
        </x:is>
      </x:c>
      <x:c r="G453" s="8" t="inlineStr">
        <x:is>
          <x:t xml:space="preserve">Có</x:t>
        </x:is>
      </x:c>
      <x:c r="H453" s="8" t="inlineStr">
        <x:is>
          <x:t xml:space="preserve">Codex</x:t>
        </x:is>
      </x:c>
      <x:c r="I453" s="27" t="n">
        <x:v>46300</x:v>
      </x:c>
      <x:c r="J453" s="8" t="inlineStr">
        <x:is>
          <x:t xml:space="preserve">I18N-04: 10 ngành/50 nhóm/140 kỹ năng; 34 API,86 mobile,5 web; native i18n/layout Android+iOS đạt local. Chưa push/CI/UAT. 9 file Drive cùng ID đã tải lại đối chiếu bytes; PRD/SRS/UX và FR/NFR đã đọc lại đúng phạm vi. Báo cáo học code chỉ lưu repo. docs/ke-hoach-trien-khai/bao-cao/I18N-04-danh-muc-da-ngon-ngu.md</x:t>
        </x:is>
      </x:c>
      <x:c r="K453" s="8" t="inlineStr">
        <x:is>
          <x:t xml:space="preserve"/>
        </x:is>
      </x:c>
      <x:c r="L453" s="8" t="str">
        <x:f>IF(F453="Không áp dụng",IF(AND(K453&lt;&gt;"",H453&lt;&gt;""),"Không áp dụng có lý do","Thiếu lý do/người kiểm"),IF(AND(B453&lt;&gt;"",D453&lt;&gt;"",F453="Đã cập nhật",G453="Có",H453&lt;&gt;"",ISNUMBER(I453),J453&lt;&gt;""),"Hoàn tất","Chưa hoàn tất"))</x:f>
        <x:v>Hoàn tất</x:v>
      </x:c>
    </x:row>
    <x:row r="454" ht="100" customHeight="1">
      <x:c r="A454" s="8" t="inlineStr">
        <x:is>
          <x:t xml:space="preserve">CHG-I18N-04</x:t>
        </x:is>
      </x:c>
      <x:c r="B454" s="8" t="inlineStr">
        <x:is>
          <x:t xml:space="preserve">I18N-04</x:t>
        </x:is>
      </x:c>
      <x:c r="C454" s="8" t="inlineStr">
        <x:is>
          <x:t xml:space="preserve">F02; F17</x:t>
        </x:is>
      </x:c>
      <x:c r="D454" s="8" t="inlineStr">
        <x:is>
          <x:t xml:space="preserve">DOC-008</x:t>
        </x:is>
      </x:c>
      <x:c r="E454" s="8" t="inlineStr">
        <x:is>
          <x:t xml:space="preserve">Đọc danh mục VI/EN/JA và mở rộng dữ liệu thật</x:t>
        </x:is>
      </x:c>
      <x:c r="F454" s="8" t="inlineStr">
        <x:is>
          <x:t xml:space="preserve">Không áp dụng</x:t>
        </x:is>
      </x:c>
      <x:c r="G454" s="8" t="inlineStr">
        <x:is>
          <x:t xml:space="preserve">Có</x:t>
        </x:is>
      </x:c>
      <x:c r="H454" s="8" t="inlineStr">
        <x:is>
          <x:t xml:space="preserve">Codex</x:t>
        </x:is>
      </x:c>
      <x:c r="I454" s="27" t="n">
        <x:v>46300</x:v>
      </x:c>
      <x:c r="J454" s="8" t="inlineStr">
        <x:is>
          <x:t xml:space="preserve">Tra Anh huong và tìm kiếm chéo nguồn hiện hành; không sửa ngoài phạm vi I18N-04.</x:t>
        </x:is>
      </x:c>
      <x:c r="K454"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54" s="8" t="str">
        <x:f>IF(F454="Không áp dụng",IF(AND(K454&lt;&gt;"",H454&lt;&gt;""),"Không áp dụng có lý do","Thiếu lý do/người kiểm"),IF(AND(B454&lt;&gt;"",D454&lt;&gt;"",F454="Đã cập nhật",G454="Có",H454&lt;&gt;"",ISNUMBER(I454),J454&lt;&gt;""),"Hoàn tất","Chưa hoàn tất"))</x:f>
        <x:v>Không áp dụng có lý do</x:v>
      </x:c>
    </x:row>
    <x:row r="455" ht="100" customHeight="1">
      <x:c r="A455" s="8" t="inlineStr">
        <x:is>
          <x:t xml:space="preserve">CHG-I18N-04</x:t>
        </x:is>
      </x:c>
      <x:c r="B455" s="8" t="inlineStr">
        <x:is>
          <x:t xml:space="preserve">I18N-04</x:t>
        </x:is>
      </x:c>
      <x:c r="C455" s="8" t="inlineStr">
        <x:is>
          <x:t xml:space="preserve">F02; F17</x:t>
        </x:is>
      </x:c>
      <x:c r="D455" s="8" t="inlineStr">
        <x:is>
          <x:t xml:space="preserve">DOC-012</x:t>
        </x:is>
      </x:c>
      <x:c r="E455" s="8" t="inlineStr">
        <x:is>
          <x:t xml:space="preserve">Đọc danh mục VI/EN/JA và mở rộng dữ liệu thật</x:t>
        </x:is>
      </x:c>
      <x:c r="F455" s="8" t="inlineStr">
        <x:is>
          <x:t xml:space="preserve">Không áp dụng</x:t>
        </x:is>
      </x:c>
      <x:c r="G455" s="8" t="inlineStr">
        <x:is>
          <x:t xml:space="preserve">Có</x:t>
        </x:is>
      </x:c>
      <x:c r="H455" s="8" t="inlineStr">
        <x:is>
          <x:t xml:space="preserve">Codex</x:t>
        </x:is>
      </x:c>
      <x:c r="I455" s="27" t="n">
        <x:v>46300</x:v>
      </x:c>
      <x:c r="J455" s="8" t="inlineStr">
        <x:is>
          <x:t xml:space="preserve">Tra Anh huong và tìm kiếm chéo nguồn hiện hành; không sửa ngoài phạm vi I18N-04.</x:t>
        </x:is>
      </x:c>
      <x:c r="K455"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55" s="8" t="str">
        <x:f>IF(F455="Không áp dụng",IF(AND(K455&lt;&gt;"",H455&lt;&gt;""),"Không áp dụng có lý do","Thiếu lý do/người kiểm"),IF(AND(B455&lt;&gt;"",D455&lt;&gt;"",F455="Đã cập nhật",G455="Có",H455&lt;&gt;"",ISNUMBER(I455),J455&lt;&gt;""),"Hoàn tất","Chưa hoàn tất"))</x:f>
        <x:v>Không áp dụng có lý do</x:v>
      </x:c>
    </x:row>
    <x:row r="456" ht="100" customHeight="1">
      <x:c r="A456" s="8" t="inlineStr">
        <x:is>
          <x:t xml:space="preserve">CHG-I18N-04</x:t>
        </x:is>
      </x:c>
      <x:c r="B456" s="8" t="inlineStr">
        <x:is>
          <x:t xml:space="preserve">I18N-04</x:t>
        </x:is>
      </x:c>
      <x:c r="C456" s="8" t="inlineStr">
        <x:is>
          <x:t xml:space="preserve">F02; F17</x:t>
        </x:is>
      </x:c>
      <x:c r="D456" s="8" t="inlineStr">
        <x:is>
          <x:t xml:space="preserve">DOC-013</x:t>
        </x:is>
      </x:c>
      <x:c r="E456" s="8" t="inlineStr">
        <x:is>
          <x:t xml:space="preserve">Đọc danh mục VI/EN/JA và mở rộng dữ liệu thật</x:t>
        </x:is>
      </x:c>
      <x:c r="F456" s="8" t="inlineStr">
        <x:is>
          <x:t xml:space="preserve">Không áp dụng</x:t>
        </x:is>
      </x:c>
      <x:c r="G456" s="8" t="inlineStr">
        <x:is>
          <x:t xml:space="preserve">Có</x:t>
        </x:is>
      </x:c>
      <x:c r="H456" s="8" t="inlineStr">
        <x:is>
          <x:t xml:space="preserve">Codex</x:t>
        </x:is>
      </x:c>
      <x:c r="I456" s="27" t="n">
        <x:v>46300</x:v>
      </x:c>
      <x:c r="J456" s="8" t="inlineStr">
        <x:is>
          <x:t xml:space="preserve">Tra Anh huong và tìm kiếm chéo nguồn hiện hành; không sửa ngoài phạm vi I18N-04.</x:t>
        </x:is>
      </x:c>
      <x:c r="K456"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56" s="8" t="str">
        <x:f>IF(F456="Không áp dụng",IF(AND(K456&lt;&gt;"",H456&lt;&gt;""),"Không áp dụng có lý do","Thiếu lý do/người kiểm"),IF(AND(B456&lt;&gt;"",D456&lt;&gt;"",F456="Đã cập nhật",G456="Có",H456&lt;&gt;"",ISNUMBER(I456),J456&lt;&gt;""),"Hoàn tất","Chưa hoàn tất"))</x:f>
        <x:v>Không áp dụng có lý do</x:v>
      </x:c>
    </x:row>
    <x:row r="457" ht="100" customHeight="1">
      <x:c r="A457" s="8" t="inlineStr">
        <x:is>
          <x:t xml:space="preserve">CHG-I18N-04</x:t>
        </x:is>
      </x:c>
      <x:c r="B457" s="8" t="inlineStr">
        <x:is>
          <x:t xml:space="preserve">I18N-04</x:t>
        </x:is>
      </x:c>
      <x:c r="C457" s="8" t="inlineStr">
        <x:is>
          <x:t xml:space="preserve">F02; F17</x:t>
        </x:is>
      </x:c>
      <x:c r="D457" s="8" t="inlineStr">
        <x:is>
          <x:t xml:space="preserve">DOC-015</x:t>
        </x:is>
      </x:c>
      <x:c r="E457" s="8" t="inlineStr">
        <x:is>
          <x:t xml:space="preserve">Đọc danh mục VI/EN/JA và mở rộng dữ liệu thật</x:t>
        </x:is>
      </x:c>
      <x:c r="F457" s="8" t="inlineStr">
        <x:is>
          <x:t xml:space="preserve">Không áp dụng</x:t>
        </x:is>
      </x:c>
      <x:c r="G457" s="8" t="inlineStr">
        <x:is>
          <x:t xml:space="preserve">Có</x:t>
        </x:is>
      </x:c>
      <x:c r="H457" s="8" t="inlineStr">
        <x:is>
          <x:t xml:space="preserve">Codex</x:t>
        </x:is>
      </x:c>
      <x:c r="I457" s="27" t="n">
        <x:v>46300</x:v>
      </x:c>
      <x:c r="J457" s="8" t="inlineStr">
        <x:is>
          <x:t xml:space="preserve">Tra Anh huong và tìm kiếm chéo nguồn hiện hành; không sửa ngoài phạm vi I18N-04.</x:t>
        </x:is>
      </x:c>
      <x:c r="K457"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57" s="8" t="str">
        <x:f>IF(F457="Không áp dụng",IF(AND(K457&lt;&gt;"",H457&lt;&gt;""),"Không áp dụng có lý do","Thiếu lý do/người kiểm"),IF(AND(B457&lt;&gt;"",D457&lt;&gt;"",F457="Đã cập nhật",G457="Có",H457&lt;&gt;"",ISNUMBER(I457),J457&lt;&gt;""),"Hoàn tất","Chưa hoàn tất"))</x:f>
        <x:v>Không áp dụng có lý do</x:v>
      </x:c>
    </x:row>
    <x:row r="458" ht="100" customHeight="1">
      <x:c r="A458" s="8" t="inlineStr">
        <x:is>
          <x:t xml:space="preserve">CHG-I18N-04</x:t>
        </x:is>
      </x:c>
      <x:c r="B458" s="8" t="inlineStr">
        <x:is>
          <x:t xml:space="preserve">I18N-04</x:t>
        </x:is>
      </x:c>
      <x:c r="C458" s="8" t="inlineStr">
        <x:is>
          <x:t xml:space="preserve">F02; F17</x:t>
        </x:is>
      </x:c>
      <x:c r="D458" s="8" t="inlineStr">
        <x:is>
          <x:t xml:space="preserve">DOC-016</x:t>
        </x:is>
      </x:c>
      <x:c r="E458" s="8" t="inlineStr">
        <x:is>
          <x:t xml:space="preserve">Đọc danh mục VI/EN/JA và mở rộng dữ liệu thật</x:t>
        </x:is>
      </x:c>
      <x:c r="F458" s="8" t="inlineStr">
        <x:is>
          <x:t xml:space="preserve">Không áp dụng</x:t>
        </x:is>
      </x:c>
      <x:c r="G458" s="8" t="inlineStr">
        <x:is>
          <x:t xml:space="preserve">Có</x:t>
        </x:is>
      </x:c>
      <x:c r="H458" s="8" t="inlineStr">
        <x:is>
          <x:t xml:space="preserve">Codex</x:t>
        </x:is>
      </x:c>
      <x:c r="I458" s="27" t="n">
        <x:v>46300</x:v>
      </x:c>
      <x:c r="J458" s="8" t="inlineStr">
        <x:is>
          <x:t xml:space="preserve">Tra Anh huong và tìm kiếm chéo nguồn hiện hành; không sửa ngoài phạm vi I18N-04.</x:t>
        </x:is>
      </x:c>
      <x:c r="K458"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58" s="8" t="str">
        <x:f>IF(F458="Không áp dụng",IF(AND(K458&lt;&gt;"",H458&lt;&gt;""),"Không áp dụng có lý do","Thiếu lý do/người kiểm"),IF(AND(B458&lt;&gt;"",D458&lt;&gt;"",F458="Đã cập nhật",G458="Có",H458&lt;&gt;"",ISNUMBER(I458),J458&lt;&gt;""),"Hoàn tất","Chưa hoàn tất"))</x:f>
        <x:v>Không áp dụng có lý do</x:v>
      </x:c>
    </x:row>
    <x:row r="459" ht="100" customHeight="1">
      <x:c r="A459" s="8" t="inlineStr">
        <x:is>
          <x:t xml:space="preserve">CHG-I18N-04</x:t>
        </x:is>
      </x:c>
      <x:c r="B459" s="8" t="inlineStr">
        <x:is>
          <x:t xml:space="preserve">I18N-04</x:t>
        </x:is>
      </x:c>
      <x:c r="C459" s="8" t="inlineStr">
        <x:is>
          <x:t xml:space="preserve">F02; F17</x:t>
        </x:is>
      </x:c>
      <x:c r="D459" s="8" t="inlineStr">
        <x:is>
          <x:t xml:space="preserve">DOC-017</x:t>
        </x:is>
      </x:c>
      <x:c r="E459" s="8" t="inlineStr">
        <x:is>
          <x:t xml:space="preserve">Đọc danh mục VI/EN/JA và mở rộng dữ liệu thật</x:t>
        </x:is>
      </x:c>
      <x:c r="F459" s="8" t="inlineStr">
        <x:is>
          <x:t xml:space="preserve">Không áp dụng</x:t>
        </x:is>
      </x:c>
      <x:c r="G459" s="8" t="inlineStr">
        <x:is>
          <x:t xml:space="preserve">Có</x:t>
        </x:is>
      </x:c>
      <x:c r="H459" s="8" t="inlineStr">
        <x:is>
          <x:t xml:space="preserve">Codex</x:t>
        </x:is>
      </x:c>
      <x:c r="I459" s="27" t="n">
        <x:v>46300</x:v>
      </x:c>
      <x:c r="J459" s="8" t="inlineStr">
        <x:is>
          <x:t xml:space="preserve">Tra Anh huong và tìm kiếm chéo nguồn hiện hành; không sửa ngoài phạm vi I18N-04.</x:t>
        </x:is>
      </x:c>
      <x:c r="K459"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59" s="8" t="str">
        <x:f>IF(F459="Không áp dụng",IF(AND(K459&lt;&gt;"",H459&lt;&gt;""),"Không áp dụng có lý do","Thiếu lý do/người kiểm"),IF(AND(B459&lt;&gt;"",D459&lt;&gt;"",F459="Đã cập nhật",G459="Có",H459&lt;&gt;"",ISNUMBER(I459),J459&lt;&gt;""),"Hoàn tất","Chưa hoàn tất"))</x:f>
        <x:v>Không áp dụng có lý do</x:v>
      </x:c>
    </x:row>
    <x:row r="460" ht="100" customHeight="1">
      <x:c r="A460" s="8" t="inlineStr">
        <x:is>
          <x:t xml:space="preserve">CHG-I18N-04</x:t>
        </x:is>
      </x:c>
      <x:c r="B460" s="8" t="inlineStr">
        <x:is>
          <x:t xml:space="preserve">I18N-04</x:t>
        </x:is>
      </x:c>
      <x:c r="C460" s="8" t="inlineStr">
        <x:is>
          <x:t xml:space="preserve">F02; F17</x:t>
        </x:is>
      </x:c>
      <x:c r="D460" s="8" t="inlineStr">
        <x:is>
          <x:t xml:space="preserve">DOC-018</x:t>
        </x:is>
      </x:c>
      <x:c r="E460" s="8" t="inlineStr">
        <x:is>
          <x:t xml:space="preserve">Đọc danh mục VI/EN/JA và mở rộng dữ liệu thật</x:t>
        </x:is>
      </x:c>
      <x:c r="F460" s="8" t="inlineStr">
        <x:is>
          <x:t xml:space="preserve">Không áp dụng</x:t>
        </x:is>
      </x:c>
      <x:c r="G460" s="8" t="inlineStr">
        <x:is>
          <x:t xml:space="preserve">Có</x:t>
        </x:is>
      </x:c>
      <x:c r="H460" s="8" t="inlineStr">
        <x:is>
          <x:t xml:space="preserve">Codex</x:t>
        </x:is>
      </x:c>
      <x:c r="I460" s="27" t="n">
        <x:v>46300</x:v>
      </x:c>
      <x:c r="J460" s="8" t="inlineStr">
        <x:is>
          <x:t xml:space="preserve">Tra Anh huong và tìm kiếm chéo nguồn hiện hành; không sửa ngoài phạm vi I18N-04.</x:t>
        </x:is>
      </x:c>
      <x:c r="K460"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60" s="8" t="str">
        <x:f>IF(F460="Không áp dụng",IF(AND(K460&lt;&gt;"",H460&lt;&gt;""),"Không áp dụng có lý do","Thiếu lý do/người kiểm"),IF(AND(B460&lt;&gt;"",D460&lt;&gt;"",F460="Đã cập nhật",G460="Có",H460&lt;&gt;"",ISNUMBER(I460),J460&lt;&gt;""),"Hoàn tất","Chưa hoàn tất"))</x:f>
        <x:v>Không áp dụng có lý do</x:v>
      </x:c>
    </x:row>
    <x:row r="461" ht="100" customHeight="1">
      <x:c r="A461" s="8" t="inlineStr">
        <x:is>
          <x:t xml:space="preserve">CHG-I18N-04</x:t>
        </x:is>
      </x:c>
      <x:c r="B461" s="8" t="inlineStr">
        <x:is>
          <x:t xml:space="preserve">I18N-04</x:t>
        </x:is>
      </x:c>
      <x:c r="C461" s="8" t="inlineStr">
        <x:is>
          <x:t xml:space="preserve">F02; F17</x:t>
        </x:is>
      </x:c>
      <x:c r="D461" s="8" t="inlineStr">
        <x:is>
          <x:t xml:space="preserve">DOC-025</x:t>
        </x:is>
      </x:c>
      <x:c r="E461" s="8" t="inlineStr">
        <x:is>
          <x:t xml:space="preserve">Đọc danh mục VI/EN/JA và mở rộng dữ liệu thật</x:t>
        </x:is>
      </x:c>
      <x:c r="F461" s="8" t="inlineStr">
        <x:is>
          <x:t xml:space="preserve">Không áp dụng</x:t>
        </x:is>
      </x:c>
      <x:c r="G461" s="8" t="inlineStr">
        <x:is>
          <x:t xml:space="preserve">Có</x:t>
        </x:is>
      </x:c>
      <x:c r="H461" s="8" t="inlineStr">
        <x:is>
          <x:t xml:space="preserve">Codex</x:t>
        </x:is>
      </x:c>
      <x:c r="I461" s="27" t="n">
        <x:v>46300</x:v>
      </x:c>
      <x:c r="J461" s="8" t="inlineStr">
        <x:is>
          <x:t xml:space="preserve">Tra Anh huong và tìm kiếm chéo nguồn hiện hành; không sửa ngoài phạm vi I18N-04.</x:t>
        </x:is>
      </x:c>
      <x:c r="K461"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61" s="8" t="str">
        <x:f>IF(F461="Không áp dụng",IF(AND(K461&lt;&gt;"",H461&lt;&gt;""),"Không áp dụng có lý do","Thiếu lý do/người kiểm"),IF(AND(B461&lt;&gt;"",D461&lt;&gt;"",F461="Đã cập nhật",G461="Có",H461&lt;&gt;"",ISNUMBER(I461),J461&lt;&gt;""),"Hoàn tất","Chưa hoàn tất"))</x:f>
        <x:v>Không áp dụng có lý do</x:v>
      </x:c>
    </x:row>
    <x:row r="462" ht="100" customHeight="1">
      <x:c r="A462" s="8" t="inlineStr">
        <x:is>
          <x:t xml:space="preserve">CHG-I18N-04</x:t>
        </x:is>
      </x:c>
      <x:c r="B462" s="8" t="inlineStr">
        <x:is>
          <x:t xml:space="preserve">I18N-04</x:t>
        </x:is>
      </x:c>
      <x:c r="C462" s="8" t="inlineStr">
        <x:is>
          <x:t xml:space="preserve">F02; F17</x:t>
        </x:is>
      </x:c>
      <x:c r="D462" s="8" t="inlineStr">
        <x:is>
          <x:t xml:space="preserve">DOC-026</x:t>
        </x:is>
      </x:c>
      <x:c r="E462" s="8" t="inlineStr">
        <x:is>
          <x:t xml:space="preserve">Đọc danh mục VI/EN/JA và mở rộng dữ liệu thật</x:t>
        </x:is>
      </x:c>
      <x:c r="F462" s="8" t="inlineStr">
        <x:is>
          <x:t xml:space="preserve">Không áp dụng</x:t>
        </x:is>
      </x:c>
      <x:c r="G462" s="8" t="inlineStr">
        <x:is>
          <x:t xml:space="preserve">Có</x:t>
        </x:is>
      </x:c>
      <x:c r="H462" s="8" t="inlineStr">
        <x:is>
          <x:t xml:space="preserve">Codex</x:t>
        </x:is>
      </x:c>
      <x:c r="I462" s="27" t="n">
        <x:v>46300</x:v>
      </x:c>
      <x:c r="J462" s="8" t="inlineStr">
        <x:is>
          <x:t xml:space="preserve">Tra Anh huong và tìm kiếm chéo nguồn hiện hành; không sửa ngoài phạm vi I18N-04.</x:t>
        </x:is>
      </x:c>
      <x:c r="K462"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62" s="8" t="str">
        <x:f>IF(F462="Không áp dụng",IF(AND(K462&lt;&gt;"",H462&lt;&gt;""),"Không áp dụng có lý do","Thiếu lý do/người kiểm"),IF(AND(B462&lt;&gt;"",D462&lt;&gt;"",F462="Đã cập nhật",G462="Có",H462&lt;&gt;"",ISNUMBER(I462),J462&lt;&gt;""),"Hoàn tất","Chưa hoàn tất"))</x:f>
        <x:v>Không áp dụng có lý do</x:v>
      </x:c>
    </x:row>
    <x:row r="463" ht="100" customHeight="1">
      <x:c r="A463" s="8" t="inlineStr">
        <x:is>
          <x:t xml:space="preserve">CHG-I18N-04</x:t>
        </x:is>
      </x:c>
      <x:c r="B463" s="8" t="inlineStr">
        <x:is>
          <x:t xml:space="preserve">I18N-04</x:t>
        </x:is>
      </x:c>
      <x:c r="C463" s="8" t="inlineStr">
        <x:is>
          <x:t xml:space="preserve">F02; F17</x:t>
        </x:is>
      </x:c>
      <x:c r="D463" s="8" t="inlineStr">
        <x:is>
          <x:t xml:space="preserve">DOC-027</x:t>
        </x:is>
      </x:c>
      <x:c r="E463" s="8" t="inlineStr">
        <x:is>
          <x:t xml:space="preserve">Đọc danh mục VI/EN/JA và mở rộng dữ liệu thật</x:t>
        </x:is>
      </x:c>
      <x:c r="F463" s="8" t="inlineStr">
        <x:is>
          <x:t xml:space="preserve">Không áp dụng</x:t>
        </x:is>
      </x:c>
      <x:c r="G463" s="8" t="inlineStr">
        <x:is>
          <x:t xml:space="preserve">Có</x:t>
        </x:is>
      </x:c>
      <x:c r="H463" s="8" t="inlineStr">
        <x:is>
          <x:t xml:space="preserve">Codex</x:t>
        </x:is>
      </x:c>
      <x:c r="I463" s="27" t="n">
        <x:v>46300</x:v>
      </x:c>
      <x:c r="J463" s="8" t="inlineStr">
        <x:is>
          <x:t xml:space="preserve">Tra Anh huong và tìm kiếm chéo nguồn hiện hành; không sửa ngoài phạm vi I18N-04.</x:t>
        </x:is>
      </x:c>
      <x:c r="K463"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63" s="8" t="str">
        <x:f>IF(F463="Không áp dụng",IF(AND(K463&lt;&gt;"",H463&lt;&gt;""),"Không áp dụng có lý do","Thiếu lý do/người kiểm"),IF(AND(B463&lt;&gt;"",D463&lt;&gt;"",F463="Đã cập nhật",G463="Có",H463&lt;&gt;"",ISNUMBER(I463),J463&lt;&gt;""),"Hoàn tất","Chưa hoàn tất"))</x:f>
        <x:v>Không áp dụng có lý do</x:v>
      </x:c>
    </x:row>
    <x:row r="464" ht="100" customHeight="1">
      <x:c r="A464" s="8" t="inlineStr">
        <x:is>
          <x:t xml:space="preserve">CHG-I18N-04</x:t>
        </x:is>
      </x:c>
      <x:c r="B464" s="8" t="inlineStr">
        <x:is>
          <x:t xml:space="preserve">I18N-04</x:t>
        </x:is>
      </x:c>
      <x:c r="C464" s="8" t="inlineStr">
        <x:is>
          <x:t xml:space="preserve">F02; F17</x:t>
        </x:is>
      </x:c>
      <x:c r="D464" s="8" t="inlineStr">
        <x:is>
          <x:t xml:space="preserve">DOC-028</x:t>
        </x:is>
      </x:c>
      <x:c r="E464" s="8" t="inlineStr">
        <x:is>
          <x:t xml:space="preserve">Đọc danh mục VI/EN/JA và mở rộng dữ liệu thật</x:t>
        </x:is>
      </x:c>
      <x:c r="F464" s="8" t="inlineStr">
        <x:is>
          <x:t xml:space="preserve">Không áp dụng</x:t>
        </x:is>
      </x:c>
      <x:c r="G464" s="8" t="inlineStr">
        <x:is>
          <x:t xml:space="preserve">Có</x:t>
        </x:is>
      </x:c>
      <x:c r="H464" s="8" t="inlineStr">
        <x:is>
          <x:t xml:space="preserve">Codex</x:t>
        </x:is>
      </x:c>
      <x:c r="I464" s="27" t="n">
        <x:v>46300</x:v>
      </x:c>
      <x:c r="J464" s="8" t="inlineStr">
        <x:is>
          <x:t xml:space="preserve">Tra Anh huong và tìm kiếm chéo nguồn hiện hành; không sửa ngoài phạm vi I18N-04.</x:t>
        </x:is>
      </x:c>
      <x:c r="K464"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64" s="8" t="str">
        <x:f>IF(F464="Không áp dụng",IF(AND(K464&lt;&gt;"",H464&lt;&gt;""),"Không áp dụng có lý do","Thiếu lý do/người kiểm"),IF(AND(B464&lt;&gt;"",D464&lt;&gt;"",F464="Đã cập nhật",G464="Có",H464&lt;&gt;"",ISNUMBER(I464),J464&lt;&gt;""),"Hoàn tất","Chưa hoàn tất"))</x:f>
        <x:v>Không áp dụng có lý do</x:v>
      </x:c>
    </x:row>
    <x:row r="465" ht="100" customHeight="1">
      <x:c r="A465" s="8" t="inlineStr">
        <x:is>
          <x:t xml:space="preserve">CHG-I18N-04</x:t>
        </x:is>
      </x:c>
      <x:c r="B465" s="8" t="inlineStr">
        <x:is>
          <x:t xml:space="preserve">I18N-04</x:t>
        </x:is>
      </x:c>
      <x:c r="C465" s="8" t="inlineStr">
        <x:is>
          <x:t xml:space="preserve">F02; F17</x:t>
        </x:is>
      </x:c>
      <x:c r="D465" s="8" t="inlineStr">
        <x:is>
          <x:t xml:space="preserve">DOC-029</x:t>
        </x:is>
      </x:c>
      <x:c r="E465" s="8" t="inlineStr">
        <x:is>
          <x:t xml:space="preserve">Đọc danh mục VI/EN/JA và mở rộng dữ liệu thật</x:t>
        </x:is>
      </x:c>
      <x:c r="F465" s="8" t="inlineStr">
        <x:is>
          <x:t xml:space="preserve">Không áp dụng</x:t>
        </x:is>
      </x:c>
      <x:c r="G465" s="8" t="inlineStr">
        <x:is>
          <x:t xml:space="preserve">Có</x:t>
        </x:is>
      </x:c>
      <x:c r="H465" s="8" t="inlineStr">
        <x:is>
          <x:t xml:space="preserve">Codex</x:t>
        </x:is>
      </x:c>
      <x:c r="I465" s="27" t="n">
        <x:v>46300</x:v>
      </x:c>
      <x:c r="J465" s="8" t="inlineStr">
        <x:is>
          <x:t xml:space="preserve">Tra Anh huong và tìm kiếm chéo nguồn hiện hành; không sửa ngoài phạm vi I18N-04.</x:t>
        </x:is>
      </x:c>
      <x:c r="K465"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65" s="8" t="str">
        <x:f>IF(F465="Không áp dụng",IF(AND(K465&lt;&gt;"",H465&lt;&gt;""),"Không áp dụng có lý do","Thiếu lý do/người kiểm"),IF(AND(B465&lt;&gt;"",D465&lt;&gt;"",F465="Đã cập nhật",G465="Có",H465&lt;&gt;"",ISNUMBER(I465),J465&lt;&gt;""),"Hoàn tất","Chưa hoàn tất"))</x:f>
        <x:v>Không áp dụng có lý do</x:v>
      </x:c>
    </x:row>
    <x:row r="466" ht="100" customHeight="1">
      <x:c r="A466" s="8" t="inlineStr">
        <x:is>
          <x:t xml:space="preserve">CHG-I18N-04</x:t>
        </x:is>
      </x:c>
      <x:c r="B466" s="8" t="inlineStr">
        <x:is>
          <x:t xml:space="preserve">I18N-04</x:t>
        </x:is>
      </x:c>
      <x:c r="C466" s="8" t="inlineStr">
        <x:is>
          <x:t xml:space="preserve">F02; F17</x:t>
        </x:is>
      </x:c>
      <x:c r="D466" s="8" t="inlineStr">
        <x:is>
          <x:t xml:space="preserve">DOC-030</x:t>
        </x:is>
      </x:c>
      <x:c r="E466" s="8" t="inlineStr">
        <x:is>
          <x:t xml:space="preserve">Đọc danh mục VI/EN/JA và mở rộng dữ liệu thật</x:t>
        </x:is>
      </x:c>
      <x:c r="F466" s="8" t="inlineStr">
        <x:is>
          <x:t xml:space="preserve">Không áp dụng</x:t>
        </x:is>
      </x:c>
      <x:c r="G466" s="8" t="inlineStr">
        <x:is>
          <x:t xml:space="preserve">Có</x:t>
        </x:is>
      </x:c>
      <x:c r="H466" s="8" t="inlineStr">
        <x:is>
          <x:t xml:space="preserve">Codex</x:t>
        </x:is>
      </x:c>
      <x:c r="I466" s="27" t="n">
        <x:v>46300</x:v>
      </x:c>
      <x:c r="J466" s="8" t="inlineStr">
        <x:is>
          <x:t xml:space="preserve">Tra Anh huong và tìm kiếm chéo nguồn hiện hành; không sửa ngoài phạm vi I18N-04.</x:t>
        </x:is>
      </x:c>
      <x:c r="K466"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66" s="8" t="str">
        <x:f>IF(F466="Không áp dụng",IF(AND(K466&lt;&gt;"",H466&lt;&gt;""),"Không áp dụng có lý do","Thiếu lý do/người kiểm"),IF(AND(B466&lt;&gt;"",D466&lt;&gt;"",F466="Đã cập nhật",G466="Có",H466&lt;&gt;"",ISNUMBER(I466),J466&lt;&gt;""),"Hoàn tất","Chưa hoàn tất"))</x:f>
        <x:v>Không áp dụng có lý do</x:v>
      </x:c>
    </x:row>
    <x:row r="467" ht="100" customHeight="1">
      <x:c r="A467" s="8" t="inlineStr">
        <x:is>
          <x:t xml:space="preserve">CHG-I18N-04</x:t>
        </x:is>
      </x:c>
      <x:c r="B467" s="8" t="inlineStr">
        <x:is>
          <x:t xml:space="preserve">I18N-04</x:t>
        </x:is>
      </x:c>
      <x:c r="C467" s="8" t="inlineStr">
        <x:is>
          <x:t xml:space="preserve">F02; F17</x:t>
        </x:is>
      </x:c>
      <x:c r="D467" s="8" t="inlineStr">
        <x:is>
          <x:t xml:space="preserve">DOC-031</x:t>
        </x:is>
      </x:c>
      <x:c r="E467" s="8" t="inlineStr">
        <x:is>
          <x:t xml:space="preserve">Đọc danh mục VI/EN/JA và mở rộng dữ liệu thật</x:t>
        </x:is>
      </x:c>
      <x:c r="F467" s="8" t="inlineStr">
        <x:is>
          <x:t xml:space="preserve">Không áp dụng</x:t>
        </x:is>
      </x:c>
      <x:c r="G467" s="8" t="inlineStr">
        <x:is>
          <x:t xml:space="preserve">Có</x:t>
        </x:is>
      </x:c>
      <x:c r="H467" s="8" t="inlineStr">
        <x:is>
          <x:t xml:space="preserve">Codex</x:t>
        </x:is>
      </x:c>
      <x:c r="I467" s="27" t="n">
        <x:v>46300</x:v>
      </x:c>
      <x:c r="J467" s="8" t="inlineStr">
        <x:is>
          <x:t xml:space="preserve">Tra Anh huong và tìm kiếm chéo nguồn hiện hành; không sửa ngoài phạm vi I18N-04.</x:t>
        </x:is>
      </x:c>
      <x:c r="K467"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67" s="8" t="str">
        <x:f>IF(F467="Không áp dụng",IF(AND(K467&lt;&gt;"",H467&lt;&gt;""),"Không áp dụng có lý do","Thiếu lý do/người kiểm"),IF(AND(B467&lt;&gt;"",D467&lt;&gt;"",F467="Đã cập nhật",G467="Có",H467&lt;&gt;"",ISNUMBER(I467),J467&lt;&gt;""),"Hoàn tất","Chưa hoàn tất"))</x:f>
        <x:v>Không áp dụng có lý do</x:v>
      </x:c>
    </x:row>
    <x:row r="468" ht="100" customHeight="1">
      <x:c r="A468" s="8" t="inlineStr">
        <x:is>
          <x:t xml:space="preserve">CHG-I18N-04</x:t>
        </x:is>
      </x:c>
      <x:c r="B468" s="8" t="inlineStr">
        <x:is>
          <x:t xml:space="preserve">I18N-04</x:t>
        </x:is>
      </x:c>
      <x:c r="C468" s="8" t="inlineStr">
        <x:is>
          <x:t xml:space="preserve">F02; F17</x:t>
        </x:is>
      </x:c>
      <x:c r="D468" s="8" t="inlineStr">
        <x:is>
          <x:t xml:space="preserve">DOC-033</x:t>
        </x:is>
      </x:c>
      <x:c r="E468" s="8" t="inlineStr">
        <x:is>
          <x:t xml:space="preserve">Đọc danh mục VI/EN/JA và mở rộng dữ liệu thật</x:t>
        </x:is>
      </x:c>
      <x:c r="F468" s="8" t="inlineStr">
        <x:is>
          <x:t xml:space="preserve">Không áp dụng</x:t>
        </x:is>
      </x:c>
      <x:c r="G468" s="8" t="inlineStr">
        <x:is>
          <x:t xml:space="preserve">Có</x:t>
        </x:is>
      </x:c>
      <x:c r="H468" s="8" t="inlineStr">
        <x:is>
          <x:t xml:space="preserve">Codex</x:t>
        </x:is>
      </x:c>
      <x:c r="I468" s="27" t="n">
        <x:v>46300</x:v>
      </x:c>
      <x:c r="J468" s="8" t="inlineStr">
        <x:is>
          <x:t xml:space="preserve">Tra Anh huong và tìm kiếm chéo nguồn hiện hành; không sửa ngoài phạm vi I18N-04.</x:t>
        </x:is>
      </x:c>
      <x:c r="K468"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68" s="8" t="str">
        <x:f>IF(F468="Không áp dụng",IF(AND(K468&lt;&gt;"",H468&lt;&gt;""),"Không áp dụng có lý do","Thiếu lý do/người kiểm"),IF(AND(B468&lt;&gt;"",D468&lt;&gt;"",F468="Đã cập nhật",G468="Có",H468&lt;&gt;"",ISNUMBER(I468),J468&lt;&gt;""),"Hoàn tất","Chưa hoàn tất"))</x:f>
        <x:v>Không áp dụng có lý do</x:v>
      </x:c>
    </x:row>
    <x:row r="469" ht="100" customHeight="1">
      <x:c r="A469" s="8" t="inlineStr">
        <x:is>
          <x:t xml:space="preserve">CHG-I18N-04</x:t>
        </x:is>
      </x:c>
      <x:c r="B469" s="8" t="inlineStr">
        <x:is>
          <x:t xml:space="preserve">I18N-04</x:t>
        </x:is>
      </x:c>
      <x:c r="C469" s="8" t="inlineStr">
        <x:is>
          <x:t xml:space="preserve">F02; F17</x:t>
        </x:is>
      </x:c>
      <x:c r="D469" s="8" t="inlineStr">
        <x:is>
          <x:t xml:space="preserve">DOC-037</x:t>
        </x:is>
      </x:c>
      <x:c r="E469" s="8" t="inlineStr">
        <x:is>
          <x:t xml:space="preserve">Đọc danh mục VI/EN/JA và mở rộng dữ liệu thật</x:t>
        </x:is>
      </x:c>
      <x:c r="F469" s="8" t="inlineStr">
        <x:is>
          <x:t xml:space="preserve">Đã cập nhật</x:t>
        </x:is>
      </x:c>
      <x:c r="G469" s="8" t="inlineStr">
        <x:is>
          <x:t xml:space="preserve">Có</x:t>
        </x:is>
      </x:c>
      <x:c r="H469" s="8" t="inlineStr">
        <x:is>
          <x:t xml:space="preserve">Codex</x:t>
        </x:is>
      </x:c>
      <x:c r="I469" s="27" t="n">
        <x:v>46300</x:v>
      </x:c>
      <x:c r="J469" s="8" t="inlineStr">
        <x:is>
          <x:t xml:space="preserve">I18N-04: 10 ngành/50 nhóm/140 kỹ năng; 34 API,86 mobile,5 web; native i18n/layout Android+iOS đạt local. Chưa push/CI/UAT. 9 file Drive cùng ID đã tải lại đối chiếu bytes; PRD/SRS/UX và FR/NFR đã đọc lại đúng phạm vi. Báo cáo học code chỉ lưu repo. docs/ke-hoach-trien-khai/bao-cao/I18N-04-danh-muc-da-ngon-ngu.md</x:t>
        </x:is>
      </x:c>
      <x:c r="K469" s="8" t="inlineStr">
        <x:is>
          <x:t xml:space="preserve"/>
        </x:is>
      </x:c>
      <x:c r="L469" s="8" t="str">
        <x:f>IF(F469="Không áp dụng",IF(AND(K469&lt;&gt;"",H469&lt;&gt;""),"Không áp dụng có lý do","Thiếu lý do/người kiểm"),IF(AND(B469&lt;&gt;"",D469&lt;&gt;"",F469="Đã cập nhật",G469="Có",H469&lt;&gt;"",ISNUMBER(I469),J469&lt;&gt;""),"Hoàn tất","Chưa hoàn tất"))</x:f>
        <x:v>Hoàn tất</x:v>
      </x:c>
    </x:row>
    <x:row r="470" ht="100" customHeight="1">
      <x:c r="A470" s="8" t="inlineStr">
        <x:is>
          <x:t xml:space="preserve">CHG-I18N-04</x:t>
        </x:is>
      </x:c>
      <x:c r="B470" s="8" t="inlineStr">
        <x:is>
          <x:t xml:space="preserve">I18N-04</x:t>
        </x:is>
      </x:c>
      <x:c r="C470" s="8" t="inlineStr">
        <x:is>
          <x:t xml:space="preserve">F02; F17</x:t>
        </x:is>
      </x:c>
      <x:c r="D470" s="8" t="inlineStr">
        <x:is>
          <x:t xml:space="preserve">DOC-038</x:t>
        </x:is>
      </x:c>
      <x:c r="E470" s="8" t="inlineStr">
        <x:is>
          <x:t xml:space="preserve">Đọc danh mục VI/EN/JA và mở rộng dữ liệu thật</x:t>
        </x:is>
      </x:c>
      <x:c r="F470" s="8" t="inlineStr">
        <x:is>
          <x:t xml:space="preserve">Đã cập nhật</x:t>
        </x:is>
      </x:c>
      <x:c r="G470" s="8" t="inlineStr">
        <x:is>
          <x:t xml:space="preserve">Có</x:t>
        </x:is>
      </x:c>
      <x:c r="H470" s="8" t="inlineStr">
        <x:is>
          <x:t xml:space="preserve">Codex</x:t>
        </x:is>
      </x:c>
      <x:c r="I470" s="27" t="n">
        <x:v>46300</x:v>
      </x:c>
      <x:c r="J470" s="8" t="inlineStr">
        <x:is>
          <x:t xml:space="preserve">I18N-04: 10 ngành/50 nhóm/140 kỹ năng; 34 API,86 mobile,5 web; native i18n/layout Android+iOS đạt local. Chưa push/CI/UAT. 9 file Drive cùng ID đã tải lại đối chiếu bytes; PRD/SRS/UX và FR/NFR đã đọc lại đúng phạm vi. Báo cáo học code chỉ lưu repo. docs/ke-hoach-trien-khai/bao-cao/I18N-04-danh-muc-da-ngon-ngu.md</x:t>
        </x:is>
      </x:c>
      <x:c r="K470" s="8" t="inlineStr">
        <x:is>
          <x:t xml:space="preserve"/>
        </x:is>
      </x:c>
      <x:c r="L470" s="8" t="str">
        <x:f>IF(F470="Không áp dụng",IF(AND(K470&lt;&gt;"",H470&lt;&gt;""),"Không áp dụng có lý do","Thiếu lý do/người kiểm"),IF(AND(B470&lt;&gt;"",D470&lt;&gt;"",F470="Đã cập nhật",G470="Có",H470&lt;&gt;"",ISNUMBER(I470),J470&lt;&gt;""),"Hoàn tất","Chưa hoàn tất"))</x:f>
        <x:v>Hoàn tất</x:v>
      </x:c>
    </x:row>
    <x:row r="471" ht="100" customHeight="1">
      <x:c r="A471" s="8" t="inlineStr">
        <x:is>
          <x:t xml:space="preserve">CHG-I18N-04</x:t>
        </x:is>
      </x:c>
      <x:c r="B471" s="8" t="inlineStr">
        <x:is>
          <x:t xml:space="preserve">I18N-04</x:t>
        </x:is>
      </x:c>
      <x:c r="C471" s="8" t="inlineStr">
        <x:is>
          <x:t xml:space="preserve">F02; F17</x:t>
        </x:is>
      </x:c>
      <x:c r="D471" s="8" t="inlineStr">
        <x:is>
          <x:t xml:space="preserve">DOC-039</x:t>
        </x:is>
      </x:c>
      <x:c r="E471" s="8" t="inlineStr">
        <x:is>
          <x:t xml:space="preserve">Đọc danh mục VI/EN/JA và mở rộng dữ liệu thật</x:t>
        </x:is>
      </x:c>
      <x:c r="F471" s="8" t="inlineStr">
        <x:is>
          <x:t xml:space="preserve">Đã cập nhật</x:t>
        </x:is>
      </x:c>
      <x:c r="G471" s="8" t="inlineStr">
        <x:is>
          <x:t xml:space="preserve">Có</x:t>
        </x:is>
      </x:c>
      <x:c r="H471" s="8" t="inlineStr">
        <x:is>
          <x:t xml:space="preserve">Codex</x:t>
        </x:is>
      </x:c>
      <x:c r="I471" s="27" t="n">
        <x:v>46300</x:v>
      </x:c>
      <x:c r="J471" s="8" t="inlineStr">
        <x:is>
          <x:t xml:space="preserve">I18N-04: 10 ngành/50 nhóm/140 kỹ năng; 34 API,86 mobile,5 web; native i18n/layout Android+iOS đạt local. Chưa push/CI/UAT. 9 file Drive cùng ID đã tải lại đối chiếu bytes; PRD/SRS/UX và FR/NFR đã đọc lại đúng phạm vi. Báo cáo học code chỉ lưu repo. docs/ke-hoach-trien-khai/bao-cao/I18N-04-danh-muc-da-ngon-ngu.md</x:t>
        </x:is>
      </x:c>
      <x:c r="K471" s="8" t="inlineStr">
        <x:is>
          <x:t xml:space="preserve"/>
        </x:is>
      </x:c>
      <x:c r="L471" s="8" t="str">
        <x:f>IF(F471="Không áp dụng",IF(AND(K471&lt;&gt;"",H471&lt;&gt;""),"Không áp dụng có lý do","Thiếu lý do/người kiểm"),IF(AND(B471&lt;&gt;"",D471&lt;&gt;"",F471="Đã cập nhật",G471="Có",H471&lt;&gt;"",ISNUMBER(I471),J471&lt;&gt;""),"Hoàn tất","Chưa hoàn tất"))</x:f>
        <x:v>Hoàn tất</x:v>
      </x:c>
    </x:row>
    <x:row r="472" ht="100" customHeight="1">
      <x:c r="A472" s="8" t="inlineStr">
        <x:is>
          <x:t xml:space="preserve">CHG-I18N-04</x:t>
        </x:is>
      </x:c>
      <x:c r="B472" s="8" t="inlineStr">
        <x:is>
          <x:t xml:space="preserve">I18N-04</x:t>
        </x:is>
      </x:c>
      <x:c r="C472" s="8" t="inlineStr">
        <x:is>
          <x:t xml:space="preserve">F02; F17</x:t>
        </x:is>
      </x:c>
      <x:c r="D472" s="8" t="inlineStr">
        <x:is>
          <x:t xml:space="preserve">DOC-040</x:t>
        </x:is>
      </x:c>
      <x:c r="E472" s="8" t="inlineStr">
        <x:is>
          <x:t xml:space="preserve">Đọc danh mục VI/EN/JA và mở rộng dữ liệu thật</x:t>
        </x:is>
      </x:c>
      <x:c r="F472" s="8" t="inlineStr">
        <x:is>
          <x:t xml:space="preserve">Đã cập nhật</x:t>
        </x:is>
      </x:c>
      <x:c r="G472" s="8" t="inlineStr">
        <x:is>
          <x:t xml:space="preserve">Có</x:t>
        </x:is>
      </x:c>
      <x:c r="H472" s="8" t="inlineStr">
        <x:is>
          <x:t xml:space="preserve">Codex</x:t>
        </x:is>
      </x:c>
      <x:c r="I472" s="27" t="n">
        <x:v>46300</x:v>
      </x:c>
      <x:c r="J472" s="8" t="inlineStr">
        <x:is>
          <x:t xml:space="preserve">I18N-04: 10 ngành/50 nhóm/140 kỹ năng; 34 API,86 mobile,5 web; native i18n/layout Android+iOS đạt local. Chưa push/CI/UAT. 9 file Drive cùng ID đã tải lại đối chiếu bytes; PRD/SRS/UX và FR/NFR đã đọc lại đúng phạm vi. Báo cáo học code chỉ lưu repo. docs/ke-hoach-trien-khai/bao-cao/I18N-04-danh-muc-da-ngon-ngu.md</x:t>
        </x:is>
      </x:c>
      <x:c r="K472" s="8" t="inlineStr">
        <x:is>
          <x:t xml:space="preserve"/>
        </x:is>
      </x:c>
      <x:c r="L472" s="8" t="str">
        <x:f>IF(F472="Không áp dụng",IF(AND(K472&lt;&gt;"",H472&lt;&gt;""),"Không áp dụng có lý do","Thiếu lý do/người kiểm"),IF(AND(B472&lt;&gt;"",D472&lt;&gt;"",F472="Đã cập nhật",G472="Có",H472&lt;&gt;"",ISNUMBER(I472),J472&lt;&gt;""),"Hoàn tất","Chưa hoàn tất"))</x:f>
        <x:v>Hoàn tất</x:v>
      </x:c>
    </x:row>
    <x:row r="473" ht="100" customHeight="1">
      <x:c r="A473" s="8" t="inlineStr">
        <x:is>
          <x:t xml:space="preserve">CHG-I18N-04</x:t>
        </x:is>
      </x:c>
      <x:c r="B473" s="8" t="inlineStr">
        <x:is>
          <x:t xml:space="preserve">I18N-04</x:t>
        </x:is>
      </x:c>
      <x:c r="C473" s="8" t="inlineStr">
        <x:is>
          <x:t xml:space="preserve">F02; F17</x:t>
        </x:is>
      </x:c>
      <x:c r="D473" s="8" t="inlineStr">
        <x:is>
          <x:t xml:space="preserve">DOC-041</x:t>
        </x:is>
      </x:c>
      <x:c r="E473" s="8" t="inlineStr">
        <x:is>
          <x:t xml:space="preserve">Đọc danh mục VI/EN/JA và mở rộng dữ liệu thật</x:t>
        </x:is>
      </x:c>
      <x:c r="F473" s="8" t="inlineStr">
        <x:is>
          <x:t xml:space="preserve">Đã cập nhật</x:t>
        </x:is>
      </x:c>
      <x:c r="G473" s="8" t="inlineStr">
        <x:is>
          <x:t xml:space="preserve">Có</x:t>
        </x:is>
      </x:c>
      <x:c r="H473" s="8" t="inlineStr">
        <x:is>
          <x:t xml:space="preserve">Codex</x:t>
        </x:is>
      </x:c>
      <x:c r="I473" s="27" t="n">
        <x:v>46300</x:v>
      </x:c>
      <x:c r="J473" s="8" t="inlineStr">
        <x:is>
          <x:t xml:space="preserve">I18N-04: 10 ngành/50 nhóm/140 kỹ năng; 34 API,86 mobile,5 web; native i18n/layout Android+iOS đạt local. Chưa push/CI/UAT. 9 file Drive cùng ID đã tải lại đối chiếu bytes; PRD/SRS/UX và FR/NFR đã đọc lại đúng phạm vi. Báo cáo học code chỉ lưu repo. docs/ke-hoach-trien-khai/bao-cao/I18N-04-danh-muc-da-ngon-ngu.md</x:t>
        </x:is>
      </x:c>
      <x:c r="K473" s="8" t="inlineStr">
        <x:is>
          <x:t xml:space="preserve"/>
        </x:is>
      </x:c>
      <x:c r="L473" s="8" t="str">
        <x:f>IF(F473="Không áp dụng",IF(AND(K473&lt;&gt;"",H473&lt;&gt;""),"Không áp dụng có lý do","Thiếu lý do/người kiểm"),IF(AND(B473&lt;&gt;"",D473&lt;&gt;"",F473="Đã cập nhật",G473="Có",H473&lt;&gt;"",ISNUMBER(I473),J473&lt;&gt;""),"Hoàn tất","Chưa hoàn tất"))</x:f>
        <x:v>Hoàn tất</x:v>
      </x:c>
    </x:row>
    <x:row r="474" ht="100" customHeight="1">
      <x:c r="A474" s="8" t="inlineStr">
        <x:is>
          <x:t xml:space="preserve">CHG-I18N-04</x:t>
        </x:is>
      </x:c>
      <x:c r="B474" s="8" t="inlineStr">
        <x:is>
          <x:t xml:space="preserve">I18N-04</x:t>
        </x:is>
      </x:c>
      <x:c r="C474" s="8" t="inlineStr">
        <x:is>
          <x:t xml:space="preserve">F02; F17</x:t>
        </x:is>
      </x:c>
      <x:c r="D474" s="8" t="inlineStr">
        <x:is>
          <x:t xml:space="preserve">DOC-042</x:t>
        </x:is>
      </x:c>
      <x:c r="E474" s="8" t="inlineStr">
        <x:is>
          <x:t xml:space="preserve">Đọc danh mục VI/EN/JA và mở rộng dữ liệu thật</x:t>
        </x:is>
      </x:c>
      <x:c r="F474" s="8" t="inlineStr">
        <x:is>
          <x:t xml:space="preserve">Đã cập nhật</x:t>
        </x:is>
      </x:c>
      <x:c r="G474" s="8" t="inlineStr">
        <x:is>
          <x:t xml:space="preserve">Có</x:t>
        </x:is>
      </x:c>
      <x:c r="H474" s="8" t="inlineStr">
        <x:is>
          <x:t xml:space="preserve">Codex</x:t>
        </x:is>
      </x:c>
      <x:c r="I474" s="27" t="n">
        <x:v>46300</x:v>
      </x:c>
      <x:c r="J474" s="8" t="inlineStr">
        <x:is>
          <x:t xml:space="preserve">I18N-04: 10 ngành/50 nhóm/140 kỹ năng; 34 API,86 mobile,5 web; native i18n/layout Android+iOS đạt local. Chưa push/CI/UAT. 9 file Drive cùng ID đã tải lại đối chiếu bytes; PRD/SRS/UX và FR/NFR đã đọc lại đúng phạm vi. Báo cáo học code chỉ lưu repo. docs/ke-hoach-trien-khai/bao-cao/I18N-04-danh-muc-da-ngon-ngu.md</x:t>
        </x:is>
      </x:c>
      <x:c r="K474" s="8" t="inlineStr">
        <x:is>
          <x:t xml:space="preserve"/>
        </x:is>
      </x:c>
      <x:c r="L474" s="8" t="str">
        <x:f>IF(F474="Không áp dụng",IF(AND(K474&lt;&gt;"",H474&lt;&gt;""),"Không áp dụng có lý do","Thiếu lý do/người kiểm"),IF(AND(B474&lt;&gt;"",D474&lt;&gt;"",F474="Đã cập nhật",G474="Có",H474&lt;&gt;"",ISNUMBER(I474),J474&lt;&gt;""),"Hoàn tất","Chưa hoàn tất"))</x:f>
        <x:v>Hoàn tất</x:v>
      </x:c>
    </x:row>
    <x:row r="475" ht="100" customHeight="1">
      <x:c r="A475" s="8" t="inlineStr">
        <x:is>
          <x:t xml:space="preserve">CHG-I18N-04</x:t>
        </x:is>
      </x:c>
      <x:c r="B475" s="8" t="inlineStr">
        <x:is>
          <x:t xml:space="preserve">I18N-04</x:t>
        </x:is>
      </x:c>
      <x:c r="C475" s="8" t="inlineStr">
        <x:is>
          <x:t xml:space="preserve">F02; F17</x:t>
        </x:is>
      </x:c>
      <x:c r="D475" s="8" t="inlineStr">
        <x:is>
          <x:t xml:space="preserve">DOC-043</x:t>
        </x:is>
      </x:c>
      <x:c r="E475" s="8" t="inlineStr">
        <x:is>
          <x:t xml:space="preserve">Đọc danh mục VI/EN/JA và mở rộng dữ liệu thật</x:t>
        </x:is>
      </x:c>
      <x:c r="F475" s="8" t="inlineStr">
        <x:is>
          <x:t xml:space="preserve">Đã cập nhật</x:t>
        </x:is>
      </x:c>
      <x:c r="G475" s="8" t="inlineStr">
        <x:is>
          <x:t xml:space="preserve">Có</x:t>
        </x:is>
      </x:c>
      <x:c r="H475" s="8" t="inlineStr">
        <x:is>
          <x:t xml:space="preserve">Codex</x:t>
        </x:is>
      </x:c>
      <x:c r="I475" s="27" t="n">
        <x:v>46300</x:v>
      </x:c>
      <x:c r="J475" s="8" t="inlineStr">
        <x:is>
          <x:t xml:space="preserve">I18N-04: 10 ngành/50 nhóm/140 kỹ năng; 34 API,86 mobile,5 web; native i18n/layout Android+iOS đạt local. Chưa push/CI/UAT. 9 file Drive cùng ID đã tải lại đối chiếu bytes; PRD/SRS/UX và FR/NFR đã đọc lại đúng phạm vi. Báo cáo học code chỉ lưu repo. docs/ke-hoach-trien-khai/bao-cao/I18N-04-danh-muc-da-ngon-ngu.md</x:t>
        </x:is>
      </x:c>
      <x:c r="K475" s="8" t="inlineStr">
        <x:is>
          <x:t xml:space="preserve"/>
        </x:is>
      </x:c>
      <x:c r="L475" s="8" t="str">
        <x:f>IF(F475="Không áp dụng",IF(AND(K475&lt;&gt;"",H475&lt;&gt;""),"Không áp dụng có lý do","Thiếu lý do/người kiểm"),IF(AND(B475&lt;&gt;"",D475&lt;&gt;"",F475="Đã cập nhật",G475="Có",H475&lt;&gt;"",ISNUMBER(I475),J475&lt;&gt;""),"Hoàn tất","Chưa hoàn tất"))</x:f>
        <x:v>Hoàn tất</x:v>
      </x:c>
    </x:row>
    <x:row r="476" ht="100" customHeight="1">
      <x:c r="A476" s="8" t="inlineStr">
        <x:is>
          <x:t xml:space="preserve">CHG-I18N-04</x:t>
        </x:is>
      </x:c>
      <x:c r="B476" s="8" t="inlineStr">
        <x:is>
          <x:t xml:space="preserve">I18N-04</x:t>
        </x:is>
      </x:c>
      <x:c r="C476" s="8" t="inlineStr">
        <x:is>
          <x:t xml:space="preserve">F02; F17</x:t>
        </x:is>
      </x:c>
      <x:c r="D476" s="8" t="inlineStr">
        <x:is>
          <x:t xml:space="preserve">DOC-044</x:t>
        </x:is>
      </x:c>
      <x:c r="E476" s="8" t="inlineStr">
        <x:is>
          <x:t xml:space="preserve">Đọc danh mục VI/EN/JA và mở rộng dữ liệu thật</x:t>
        </x:is>
      </x:c>
      <x:c r="F476" s="8" t="inlineStr">
        <x:is>
          <x:t xml:space="preserve">Không áp dụng</x:t>
        </x:is>
      </x:c>
      <x:c r="G476" s="8" t="inlineStr">
        <x:is>
          <x:t xml:space="preserve">Có</x:t>
        </x:is>
      </x:c>
      <x:c r="H476" s="8" t="inlineStr">
        <x:is>
          <x:t xml:space="preserve">Codex</x:t>
        </x:is>
      </x:c>
      <x:c r="I476" s="27" t="n">
        <x:v>46300</x:v>
      </x:c>
      <x:c r="J476" s="8" t="inlineStr">
        <x:is>
          <x:t xml:space="preserve">Tra Anh huong và tìm kiếm chéo nguồn hiện hành; không sửa ngoài phạm vi I18N-04.</x:t>
        </x:is>
      </x:c>
      <x:c r="K476"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76" s="8" t="str">
        <x:f>IF(F476="Không áp dụng",IF(AND(K476&lt;&gt;"",H476&lt;&gt;""),"Không áp dụng có lý do","Thiếu lý do/người kiểm"),IF(AND(B476&lt;&gt;"",D476&lt;&gt;"",F476="Đã cập nhật",G476="Có",H476&lt;&gt;"",ISNUMBER(I476),J476&lt;&gt;""),"Hoàn tất","Chưa hoàn tất"))</x:f>
        <x:v>Không áp dụng có lý do</x:v>
      </x:c>
    </x:row>
    <x:row r="477" ht="100" customHeight="1">
      <x:c r="A477" s="8" t="inlineStr">
        <x:is>
          <x:t xml:space="preserve">CHG-I18N-04</x:t>
        </x:is>
      </x:c>
      <x:c r="B477" s="8" t="inlineStr">
        <x:is>
          <x:t xml:space="preserve">I18N-04</x:t>
        </x:is>
      </x:c>
      <x:c r="C477" s="8" t="inlineStr">
        <x:is>
          <x:t xml:space="preserve">F02; F17</x:t>
        </x:is>
      </x:c>
      <x:c r="D477" s="8" t="inlineStr">
        <x:is>
          <x:t xml:space="preserve">DOC-045</x:t>
        </x:is>
      </x:c>
      <x:c r="E477" s="8" t="inlineStr">
        <x:is>
          <x:t xml:space="preserve">Đọc danh mục VI/EN/JA và mở rộng dữ liệu thật</x:t>
        </x:is>
      </x:c>
      <x:c r="F477" s="8" t="inlineStr">
        <x:is>
          <x:t xml:space="preserve">Đã cập nhật</x:t>
        </x:is>
      </x:c>
      <x:c r="G477" s="8" t="inlineStr">
        <x:is>
          <x:t xml:space="preserve">Có</x:t>
        </x:is>
      </x:c>
      <x:c r="H477" s="8" t="inlineStr">
        <x:is>
          <x:t xml:space="preserve">Codex</x:t>
        </x:is>
      </x:c>
      <x:c r="I477" s="27" t="n">
        <x:v>46300</x:v>
      </x:c>
      <x:c r="J477" s="8" t="inlineStr">
        <x:is>
          <x:t xml:space="preserve">I18N-04: 10 ngành/50 nhóm/140 kỹ năng; 34 API,86 mobile,5 web; native i18n/layout Android+iOS đạt local. Chưa push/CI/UAT. 9 file Drive cùng ID đã tải lại đối chiếu bytes; PRD/SRS/UX và FR/NFR đã đọc lại đúng phạm vi. Báo cáo học code chỉ lưu repo. docs/ke-hoach-trien-khai/bao-cao/I18N-04-danh-muc-da-ngon-ngu.md</x:t>
        </x:is>
      </x:c>
      <x:c r="K477" s="8" t="inlineStr">
        <x:is>
          <x:t xml:space="preserve"/>
        </x:is>
      </x:c>
      <x:c r="L477" s="8" t="str">
        <x:f>IF(F477="Không áp dụng",IF(AND(K477&lt;&gt;"",H477&lt;&gt;""),"Không áp dụng có lý do","Thiếu lý do/người kiểm"),IF(AND(B477&lt;&gt;"",D477&lt;&gt;"",F477="Đã cập nhật",G477="Có",H477&lt;&gt;"",ISNUMBER(I477),J477&lt;&gt;""),"Hoàn tất","Chưa hoàn tất"))</x:f>
        <x:v>Hoàn tất</x:v>
      </x:c>
    </x:row>
    <x:row r="478" ht="100" customHeight="1">
      <x:c r="A478" s="8" t="inlineStr">
        <x:is>
          <x:t xml:space="preserve">CHG-I18N-04</x:t>
        </x:is>
      </x:c>
      <x:c r="B478" s="8" t="inlineStr">
        <x:is>
          <x:t xml:space="preserve">I18N-04</x:t>
        </x:is>
      </x:c>
      <x:c r="C478" s="8" t="inlineStr">
        <x:is>
          <x:t xml:space="preserve">F02; F17</x:t>
        </x:is>
      </x:c>
      <x:c r="D478" s="8" t="inlineStr">
        <x:is>
          <x:t xml:space="preserve">DOC-046</x:t>
        </x:is>
      </x:c>
      <x:c r="E478" s="8" t="inlineStr">
        <x:is>
          <x:t xml:space="preserve">Đọc danh mục VI/EN/JA và mở rộng dữ liệu thật</x:t>
        </x:is>
      </x:c>
      <x:c r="F478" s="8" t="inlineStr">
        <x:is>
          <x:t xml:space="preserve">Đã cập nhật</x:t>
        </x:is>
      </x:c>
      <x:c r="G478" s="8" t="inlineStr">
        <x:is>
          <x:t xml:space="preserve">Có</x:t>
        </x:is>
      </x:c>
      <x:c r="H478" s="8" t="inlineStr">
        <x:is>
          <x:t xml:space="preserve">Codex</x:t>
        </x:is>
      </x:c>
      <x:c r="I478" s="27" t="n">
        <x:v>46300</x:v>
      </x:c>
      <x:c r="J478" s="8" t="inlineStr">
        <x:is>
          <x:t xml:space="preserve">I18N-04: 10 ngành/50 nhóm/140 kỹ năng; 34 API,86 mobile,5 web; native i18n/layout Android+iOS đạt local. Chưa push/CI/UAT. 9 file Drive cùng ID đã tải lại đối chiếu bytes; PRD/SRS/UX và FR/NFR đã đọc lại đúng phạm vi. Báo cáo học code chỉ lưu repo. docs/ke-hoach-trien-khai/bao-cao/I18N-04-danh-muc-da-ngon-ngu.md</x:t>
        </x:is>
      </x:c>
      <x:c r="K478" s="8" t="inlineStr">
        <x:is>
          <x:t xml:space="preserve"/>
        </x:is>
      </x:c>
      <x:c r="L478" s="8" t="str">
        <x:f>IF(F478="Không áp dụng",IF(AND(K478&lt;&gt;"",H478&lt;&gt;""),"Không áp dụng có lý do","Thiếu lý do/người kiểm"),IF(AND(B478&lt;&gt;"",D478&lt;&gt;"",F478="Đã cập nhật",G478="Có",H478&lt;&gt;"",ISNUMBER(I478),J478&lt;&gt;""),"Hoàn tất","Chưa hoàn tất"))</x:f>
        <x:v>Hoàn tất</x:v>
      </x:c>
    </x:row>
    <x:row r="479" ht="100" customHeight="1">
      <x:c r="A479" s="8" t="inlineStr">
        <x:is>
          <x:t xml:space="preserve">CHG-I18N-04</x:t>
        </x:is>
      </x:c>
      <x:c r="B479" s="8" t="inlineStr">
        <x:is>
          <x:t xml:space="preserve">I18N-04</x:t>
        </x:is>
      </x:c>
      <x:c r="C479" s="8" t="inlineStr">
        <x:is>
          <x:t xml:space="preserve">F02; F17</x:t>
        </x:is>
      </x:c>
      <x:c r="D479" s="8" t="inlineStr">
        <x:is>
          <x:t xml:space="preserve">DOC-047</x:t>
        </x:is>
      </x:c>
      <x:c r="E479" s="8" t="inlineStr">
        <x:is>
          <x:t xml:space="preserve">Đọc danh mục VI/EN/JA và mở rộng dữ liệu thật</x:t>
        </x:is>
      </x:c>
      <x:c r="F479" s="8" t="inlineStr">
        <x:is>
          <x:t xml:space="preserve">Đã cập nhật</x:t>
        </x:is>
      </x:c>
      <x:c r="G479" s="8" t="inlineStr">
        <x:is>
          <x:t xml:space="preserve">Có</x:t>
        </x:is>
      </x:c>
      <x:c r="H479" s="8" t="inlineStr">
        <x:is>
          <x:t xml:space="preserve">Codex</x:t>
        </x:is>
      </x:c>
      <x:c r="I479" s="27" t="n">
        <x:v>46300</x:v>
      </x:c>
      <x:c r="J479" s="8" t="inlineStr">
        <x:is>
          <x:t xml:space="preserve">I18N-04: 10 ngành/50 nhóm/140 kỹ năng; 34 API,86 mobile,5 web; native i18n/layout Android+iOS đạt local. Chưa push/CI/UAT. 9 file Drive cùng ID đã tải lại đối chiếu bytes; PRD/SRS/UX và FR/NFR đã đọc lại đúng phạm vi. Báo cáo học code chỉ lưu repo. docs/ke-hoach-trien-khai/bao-cao/I18N-04-danh-muc-da-ngon-ngu.md</x:t>
        </x:is>
      </x:c>
      <x:c r="K479" s="8" t="inlineStr">
        <x:is>
          <x:t xml:space="preserve"/>
        </x:is>
      </x:c>
      <x:c r="L479" s="8" t="str">
        <x:f>IF(F479="Không áp dụng",IF(AND(K479&lt;&gt;"",H479&lt;&gt;""),"Không áp dụng có lý do","Thiếu lý do/người kiểm"),IF(AND(B479&lt;&gt;"",D479&lt;&gt;"",F479="Đã cập nhật",G479="Có",H479&lt;&gt;"",ISNUMBER(I479),J479&lt;&gt;""),"Hoàn tất","Chưa hoàn tất"))</x:f>
        <x:v>Hoàn tất</x:v>
      </x:c>
    </x:row>
    <x:row r="480" ht="100" customHeight="1">
      <x:c r="A480" s="8" t="inlineStr">
        <x:is>
          <x:t xml:space="preserve">CHG-I18N-04</x:t>
        </x:is>
      </x:c>
      <x:c r="B480" s="8" t="inlineStr">
        <x:is>
          <x:t xml:space="preserve">I18N-04</x:t>
        </x:is>
      </x:c>
      <x:c r="C480" s="8" t="inlineStr">
        <x:is>
          <x:t xml:space="preserve">F02; F17</x:t>
        </x:is>
      </x:c>
      <x:c r="D480" s="8" t="inlineStr">
        <x:is>
          <x:t xml:space="preserve">DOC-048</x:t>
        </x:is>
      </x:c>
      <x:c r="E480" s="8" t="inlineStr">
        <x:is>
          <x:t xml:space="preserve">Đọc danh mục VI/EN/JA và mở rộng dữ liệu thật</x:t>
        </x:is>
      </x:c>
      <x:c r="F480" s="8" t="inlineStr">
        <x:is>
          <x:t xml:space="preserve">Đã cập nhật</x:t>
        </x:is>
      </x:c>
      <x:c r="G480" s="8" t="inlineStr">
        <x:is>
          <x:t xml:space="preserve">Có</x:t>
        </x:is>
      </x:c>
      <x:c r="H480" s="8" t="inlineStr">
        <x:is>
          <x:t xml:space="preserve">Codex</x:t>
        </x:is>
      </x:c>
      <x:c r="I480" s="27" t="n">
        <x:v>46300</x:v>
      </x:c>
      <x:c r="J480" s="8" t="inlineStr">
        <x:is>
          <x:t xml:space="preserve">I18N-04: 10 ngành/50 nhóm/140 kỹ năng; 34 API,86 mobile,5 web; native i18n/layout Android+iOS đạt local. Chưa push/CI/UAT. 9 file Drive cùng ID đã tải lại đối chiếu bytes; PRD/SRS/UX và FR/NFR đã đọc lại đúng phạm vi. Báo cáo học code chỉ lưu repo. docs/ke-hoach-trien-khai/bao-cao/I18N-04-danh-muc-da-ngon-ngu.md</x:t>
        </x:is>
      </x:c>
      <x:c r="K480" s="8" t="inlineStr">
        <x:is>
          <x:t xml:space="preserve"/>
        </x:is>
      </x:c>
      <x:c r="L480" s="8" t="str">
        <x:f>IF(F480="Không áp dụng",IF(AND(K480&lt;&gt;"",H480&lt;&gt;""),"Không áp dụng có lý do","Thiếu lý do/người kiểm"),IF(AND(B480&lt;&gt;"",D480&lt;&gt;"",F480="Đã cập nhật",G480="Có",H480&lt;&gt;"",ISNUMBER(I480),J480&lt;&gt;""),"Hoàn tất","Chưa hoàn tất"))</x:f>
        <x:v>Hoàn tất</x:v>
      </x:c>
    </x:row>
    <x:row r="481" ht="100" customHeight="1">
      <x:c r="A481" s="8" t="inlineStr">
        <x:is>
          <x:t xml:space="preserve">CHG-I18N-04</x:t>
        </x:is>
      </x:c>
      <x:c r="B481" s="8" t="inlineStr">
        <x:is>
          <x:t xml:space="preserve">I18N-04</x:t>
        </x:is>
      </x:c>
      <x:c r="C481" s="8" t="inlineStr">
        <x:is>
          <x:t xml:space="preserve">F02; F17</x:t>
        </x:is>
      </x:c>
      <x:c r="D481" s="8" t="inlineStr">
        <x:is>
          <x:t xml:space="preserve">DOC-049</x:t>
        </x:is>
      </x:c>
      <x:c r="E481" s="8" t="inlineStr">
        <x:is>
          <x:t xml:space="preserve">Đọc danh mục VI/EN/JA và mở rộng dữ liệu thật</x:t>
        </x:is>
      </x:c>
      <x:c r="F481" s="8" t="inlineStr">
        <x:is>
          <x:t xml:space="preserve">Không áp dụng</x:t>
        </x:is>
      </x:c>
      <x:c r="G481" s="8" t="inlineStr">
        <x:is>
          <x:t xml:space="preserve">Có</x:t>
        </x:is>
      </x:c>
      <x:c r="H481" s="8" t="inlineStr">
        <x:is>
          <x:t xml:space="preserve">Codex</x:t>
        </x:is>
      </x:c>
      <x:c r="I481" s="27" t="n">
        <x:v>46300</x:v>
      </x:c>
      <x:c r="J481" s="8" t="inlineStr">
        <x:is>
          <x:t xml:space="preserve">Tra Anh huong và tìm kiếm chéo nguồn hiện hành; không sửa ngoài phạm vi I18N-04.</x:t>
        </x:is>
      </x:c>
      <x:c r="K481"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81" s="8" t="str">
        <x:f>IF(F481="Không áp dụng",IF(AND(K481&lt;&gt;"",H481&lt;&gt;""),"Không áp dụng có lý do","Thiếu lý do/người kiểm"),IF(AND(B481&lt;&gt;"",D481&lt;&gt;"",F481="Đã cập nhật",G481="Có",H481&lt;&gt;"",ISNUMBER(I481),J481&lt;&gt;""),"Hoàn tất","Chưa hoàn tất"))</x:f>
        <x:v>Không áp dụng có lý do</x:v>
      </x:c>
    </x:row>
    <x:row r="482" ht="100" customHeight="1">
      <x:c r="A482" s="8" t="inlineStr">
        <x:is>
          <x:t xml:space="preserve">CHG-I18N-04</x:t>
        </x:is>
      </x:c>
      <x:c r="B482" s="8" t="inlineStr">
        <x:is>
          <x:t xml:space="preserve">I18N-04</x:t>
        </x:is>
      </x:c>
      <x:c r="C482" s="8" t="inlineStr">
        <x:is>
          <x:t xml:space="preserve">F02; F17</x:t>
        </x:is>
      </x:c>
      <x:c r="D482" s="8" t="inlineStr">
        <x:is>
          <x:t xml:space="preserve">DOC-050</x:t>
        </x:is>
      </x:c>
      <x:c r="E482" s="8" t="inlineStr">
        <x:is>
          <x:t xml:space="preserve">Đọc danh mục VI/EN/JA và mở rộng dữ liệu thật</x:t>
        </x:is>
      </x:c>
      <x:c r="F482" s="8" t="inlineStr">
        <x:is>
          <x:t xml:space="preserve">Không áp dụng</x:t>
        </x:is>
      </x:c>
      <x:c r="G482" s="8" t="inlineStr">
        <x:is>
          <x:t xml:space="preserve">Có</x:t>
        </x:is>
      </x:c>
      <x:c r="H482" s="8" t="inlineStr">
        <x:is>
          <x:t xml:space="preserve">Codex</x:t>
        </x:is>
      </x:c>
      <x:c r="I482" s="27" t="n">
        <x:v>46300</x:v>
      </x:c>
      <x:c r="J482" s="8" t="inlineStr">
        <x:is>
          <x:t xml:space="preserve">Tra Anh huong và tìm kiếm chéo nguồn hiện hành; không sửa ngoài phạm vi I18N-04.</x:t>
        </x:is>
      </x:c>
      <x:c r="K482"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82" s="8" t="str">
        <x:f>IF(F482="Không áp dụng",IF(AND(K482&lt;&gt;"",H482&lt;&gt;""),"Không áp dụng có lý do","Thiếu lý do/người kiểm"),IF(AND(B482&lt;&gt;"",D482&lt;&gt;"",F482="Đã cập nhật",G482="Có",H482&lt;&gt;"",ISNUMBER(I482),J482&lt;&gt;""),"Hoàn tất","Chưa hoàn tất"))</x:f>
        <x:v>Không áp dụng có lý do</x:v>
      </x:c>
    </x:row>
    <x:row r="483" ht="100" customHeight="1">
      <x:c r="A483" s="8" t="inlineStr">
        <x:is>
          <x:t xml:space="preserve">CHG-I18N-04</x:t>
        </x:is>
      </x:c>
      <x:c r="B483" s="8" t="inlineStr">
        <x:is>
          <x:t xml:space="preserve">I18N-04</x:t>
        </x:is>
      </x:c>
      <x:c r="C483" s="8" t="inlineStr">
        <x:is>
          <x:t xml:space="preserve">F02; F17</x:t>
        </x:is>
      </x:c>
      <x:c r="D483" s="8" t="inlineStr">
        <x:is>
          <x:t xml:space="preserve">DOC-051</x:t>
        </x:is>
      </x:c>
      <x:c r="E483" s="8" t="inlineStr">
        <x:is>
          <x:t xml:space="preserve">Đọc danh mục VI/EN/JA và mở rộng dữ liệu thật</x:t>
        </x:is>
      </x:c>
      <x:c r="F483" s="8" t="inlineStr">
        <x:is>
          <x:t xml:space="preserve">Không áp dụng</x:t>
        </x:is>
      </x:c>
      <x:c r="G483" s="8" t="inlineStr">
        <x:is>
          <x:t xml:space="preserve">Có</x:t>
        </x:is>
      </x:c>
      <x:c r="H483" s="8" t="inlineStr">
        <x:is>
          <x:t xml:space="preserve">Codex</x:t>
        </x:is>
      </x:c>
      <x:c r="I483" s="27" t="n">
        <x:v>46300</x:v>
      </x:c>
      <x:c r="J483" s="8" t="inlineStr">
        <x:is>
          <x:t xml:space="preserve">Tra Anh huong và tìm kiếm chéo nguồn hiện hành; không sửa ngoài phạm vi I18N-04.</x:t>
        </x:is>
      </x:c>
      <x:c r="K483"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83" s="8" t="str">
        <x:f>IF(F483="Không áp dụng",IF(AND(K483&lt;&gt;"",H483&lt;&gt;""),"Không áp dụng có lý do","Thiếu lý do/người kiểm"),IF(AND(B483&lt;&gt;"",D483&lt;&gt;"",F483="Đã cập nhật",G483="Có",H483&lt;&gt;"",ISNUMBER(I483),J483&lt;&gt;""),"Hoàn tất","Chưa hoàn tất"))</x:f>
        <x:v>Không áp dụng có lý do</x:v>
      </x:c>
    </x:row>
    <x:row r="484" ht="100" customHeight="1">
      <x:c r="A484" s="8" t="inlineStr">
        <x:is>
          <x:t xml:space="preserve">CHG-I18N-04</x:t>
        </x:is>
      </x:c>
      <x:c r="B484" s="8" t="inlineStr">
        <x:is>
          <x:t xml:space="preserve">I18N-04</x:t>
        </x:is>
      </x:c>
      <x:c r="C484" s="8" t="inlineStr">
        <x:is>
          <x:t xml:space="preserve">F02; F17</x:t>
        </x:is>
      </x:c>
      <x:c r="D484" s="8" t="inlineStr">
        <x:is>
          <x:t xml:space="preserve">DOC-052</x:t>
        </x:is>
      </x:c>
      <x:c r="E484" s="8" t="inlineStr">
        <x:is>
          <x:t xml:space="preserve">Đọc danh mục VI/EN/JA và mở rộng dữ liệu thật</x:t>
        </x:is>
      </x:c>
      <x:c r="F484" s="8" t="inlineStr">
        <x:is>
          <x:t xml:space="preserve">Không áp dụng</x:t>
        </x:is>
      </x:c>
      <x:c r="G484" s="8" t="inlineStr">
        <x:is>
          <x:t xml:space="preserve">Có</x:t>
        </x:is>
      </x:c>
      <x:c r="H484" s="8" t="inlineStr">
        <x:is>
          <x:t xml:space="preserve">Codex</x:t>
        </x:is>
      </x:c>
      <x:c r="I484" s="27" t="n">
        <x:v>46300</x:v>
      </x:c>
      <x:c r="J484" s="8" t="inlineStr">
        <x:is>
          <x:t xml:space="preserve">Tra Anh huong và tìm kiếm chéo nguồn hiện hành; không sửa ngoài phạm vi I18N-04.</x:t>
        </x:is>
      </x:c>
      <x:c r="K484"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84" s="8" t="str">
        <x:f>IF(F484="Không áp dụng",IF(AND(K484&lt;&gt;"",H484&lt;&gt;""),"Không áp dụng có lý do","Thiếu lý do/người kiểm"),IF(AND(B484&lt;&gt;"",D484&lt;&gt;"",F484="Đã cập nhật",G484="Có",H484&lt;&gt;"",ISNUMBER(I484),J484&lt;&gt;""),"Hoàn tất","Chưa hoàn tất"))</x:f>
        <x:v>Không áp dụng có lý do</x:v>
      </x:c>
    </x:row>
    <x:row r="485" ht="100" customHeight="1">
      <x:c r="A485" s="8" t="inlineStr">
        <x:is>
          <x:t xml:space="preserve">CHG-I18N-04</x:t>
        </x:is>
      </x:c>
      <x:c r="B485" s="8" t="inlineStr">
        <x:is>
          <x:t xml:space="preserve">I18N-04</x:t>
        </x:is>
      </x:c>
      <x:c r="C485" s="8" t="inlineStr">
        <x:is>
          <x:t xml:space="preserve">F02; F17</x:t>
        </x:is>
      </x:c>
      <x:c r="D485" s="8" t="inlineStr">
        <x:is>
          <x:t xml:space="preserve">DOC-053</x:t>
        </x:is>
      </x:c>
      <x:c r="E485" s="8" t="inlineStr">
        <x:is>
          <x:t xml:space="preserve">Đọc danh mục VI/EN/JA và mở rộng dữ liệu thật</x:t>
        </x:is>
      </x:c>
      <x:c r="F485" s="8" t="inlineStr">
        <x:is>
          <x:t xml:space="preserve">Không áp dụng</x:t>
        </x:is>
      </x:c>
      <x:c r="G485" s="8" t="inlineStr">
        <x:is>
          <x:t xml:space="preserve">Có</x:t>
        </x:is>
      </x:c>
      <x:c r="H485" s="8" t="inlineStr">
        <x:is>
          <x:t xml:space="preserve">Codex</x:t>
        </x:is>
      </x:c>
      <x:c r="I485" s="27" t="n">
        <x:v>46300</x:v>
      </x:c>
      <x:c r="J485" s="8" t="inlineStr">
        <x:is>
          <x:t xml:space="preserve">Tra Anh huong và tìm kiếm chéo nguồn hiện hành; không sửa ngoài phạm vi I18N-04.</x:t>
        </x:is>
      </x:c>
      <x:c r="K485"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85" s="8" t="str">
        <x:f>IF(F485="Không áp dụng",IF(AND(K485&lt;&gt;"",H485&lt;&gt;""),"Không áp dụng có lý do","Thiếu lý do/người kiểm"),IF(AND(B485&lt;&gt;"",D485&lt;&gt;"",F485="Đã cập nhật",G485="Có",H485&lt;&gt;"",ISNUMBER(I485),J485&lt;&gt;""),"Hoàn tất","Chưa hoàn tất"))</x:f>
        <x:v>Không áp dụng có lý do</x:v>
      </x:c>
    </x:row>
    <x:row r="486" ht="100" customHeight="1">
      <x:c r="A486" s="8" t="inlineStr">
        <x:is>
          <x:t xml:space="preserve">CHG-I18N-04</x:t>
        </x:is>
      </x:c>
      <x:c r="B486" s="8" t="inlineStr">
        <x:is>
          <x:t xml:space="preserve">I18N-04</x:t>
        </x:is>
      </x:c>
      <x:c r="C486" s="8" t="inlineStr">
        <x:is>
          <x:t xml:space="preserve">F02; F17</x:t>
        </x:is>
      </x:c>
      <x:c r="D486" s="8" t="inlineStr">
        <x:is>
          <x:t xml:space="preserve">DOC-054</x:t>
        </x:is>
      </x:c>
      <x:c r="E486" s="8" t="inlineStr">
        <x:is>
          <x:t xml:space="preserve">Đọc danh mục VI/EN/JA và mở rộng dữ liệu thật</x:t>
        </x:is>
      </x:c>
      <x:c r="F486" s="8" t="inlineStr">
        <x:is>
          <x:t xml:space="preserve">Không áp dụng</x:t>
        </x:is>
      </x:c>
      <x:c r="G486" s="8" t="inlineStr">
        <x:is>
          <x:t xml:space="preserve">Có</x:t>
        </x:is>
      </x:c>
      <x:c r="H486" s="8" t="inlineStr">
        <x:is>
          <x:t xml:space="preserve">Codex</x:t>
        </x:is>
      </x:c>
      <x:c r="I486" s="27" t="n">
        <x:v>46300</x:v>
      </x:c>
      <x:c r="J486" s="8" t="inlineStr">
        <x:is>
          <x:t xml:space="preserve">Tra Anh huong và tìm kiếm chéo nguồn hiện hành; không sửa ngoài phạm vi I18N-04.</x:t>
        </x:is>
      </x:c>
      <x:c r="K486"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86" s="8" t="str">
        <x:f>IF(F486="Không áp dụng",IF(AND(K486&lt;&gt;"",H486&lt;&gt;""),"Không áp dụng có lý do","Thiếu lý do/người kiểm"),IF(AND(B486&lt;&gt;"",D486&lt;&gt;"",F486="Đã cập nhật",G486="Có",H486&lt;&gt;"",ISNUMBER(I486),J486&lt;&gt;""),"Hoàn tất","Chưa hoàn tất"))</x:f>
        <x:v>Không áp dụng có lý do</x:v>
      </x:c>
    </x:row>
    <x:row r="487" ht="100" customHeight="1">
      <x:c r="A487" s="8" t="inlineStr">
        <x:is>
          <x:t xml:space="preserve">CHG-I18N-04</x:t>
        </x:is>
      </x:c>
      <x:c r="B487" s="8" t="inlineStr">
        <x:is>
          <x:t xml:space="preserve">I18N-04</x:t>
        </x:is>
      </x:c>
      <x:c r="C487" s="8" t="inlineStr">
        <x:is>
          <x:t xml:space="preserve">F02; F17</x:t>
        </x:is>
      </x:c>
      <x:c r="D487" s="8" t="inlineStr">
        <x:is>
          <x:t xml:space="preserve">DOC-055</x:t>
        </x:is>
      </x:c>
      <x:c r="E487" s="8" t="inlineStr">
        <x:is>
          <x:t xml:space="preserve">Đọc danh mục VI/EN/JA và mở rộng dữ liệu thật</x:t>
        </x:is>
      </x:c>
      <x:c r="F487" s="8" t="inlineStr">
        <x:is>
          <x:t xml:space="preserve">Không áp dụng</x:t>
        </x:is>
      </x:c>
      <x:c r="G487" s="8" t="inlineStr">
        <x:is>
          <x:t xml:space="preserve">Có</x:t>
        </x:is>
      </x:c>
      <x:c r="H487" s="8" t="inlineStr">
        <x:is>
          <x:t xml:space="preserve">Codex</x:t>
        </x:is>
      </x:c>
      <x:c r="I487" s="27" t="n">
        <x:v>46300</x:v>
      </x:c>
      <x:c r="J487" s="8" t="inlineStr">
        <x:is>
          <x:t xml:space="preserve">Tra Anh huong và tìm kiếm chéo nguồn hiện hành; không sửa ngoài phạm vi I18N-04.</x:t>
        </x:is>
      </x:c>
      <x:c r="K487"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87" s="8" t="str">
        <x:f>IF(F487="Không áp dụng",IF(AND(K487&lt;&gt;"",H487&lt;&gt;""),"Không áp dụng có lý do","Thiếu lý do/người kiểm"),IF(AND(B487&lt;&gt;"",D487&lt;&gt;"",F487="Đã cập nhật",G487="Có",H487&lt;&gt;"",ISNUMBER(I487),J487&lt;&gt;""),"Hoàn tất","Chưa hoàn tất"))</x:f>
        <x:v>Không áp dụng có lý do</x:v>
      </x:c>
    </x:row>
    <x:row r="488" ht="100" customHeight="1">
      <x:c r="A488" s="8" t="inlineStr">
        <x:is>
          <x:t xml:space="preserve">CHG-I18N-04</x:t>
        </x:is>
      </x:c>
      <x:c r="B488" s="8" t="inlineStr">
        <x:is>
          <x:t xml:space="preserve">I18N-04</x:t>
        </x:is>
      </x:c>
      <x:c r="C488" s="8" t="inlineStr">
        <x:is>
          <x:t xml:space="preserve">F02; F17</x:t>
        </x:is>
      </x:c>
      <x:c r="D488" s="8" t="inlineStr">
        <x:is>
          <x:t xml:space="preserve">DOC-056</x:t>
        </x:is>
      </x:c>
      <x:c r="E488" s="8" t="inlineStr">
        <x:is>
          <x:t xml:space="preserve">Đọc danh mục VI/EN/JA và mở rộng dữ liệu thật</x:t>
        </x:is>
      </x:c>
      <x:c r="F488" s="8" t="inlineStr">
        <x:is>
          <x:t xml:space="preserve">Không áp dụng</x:t>
        </x:is>
      </x:c>
      <x:c r="G488" s="8" t="inlineStr">
        <x:is>
          <x:t xml:space="preserve">Có</x:t>
        </x:is>
      </x:c>
      <x:c r="H488" s="8" t="inlineStr">
        <x:is>
          <x:t xml:space="preserve">Codex</x:t>
        </x:is>
      </x:c>
      <x:c r="I488" s="27" t="n">
        <x:v>46300</x:v>
      </x:c>
      <x:c r="J488" s="8" t="inlineStr">
        <x:is>
          <x:t xml:space="preserve">Tra Anh huong và tìm kiếm chéo nguồn hiện hành; không sửa ngoài phạm vi I18N-04.</x:t>
        </x:is>
      </x:c>
      <x:c r="K488"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88" s="8" t="str">
        <x:f>IF(F488="Không áp dụng",IF(AND(K488&lt;&gt;"",H488&lt;&gt;""),"Không áp dụng có lý do","Thiếu lý do/người kiểm"),IF(AND(B488&lt;&gt;"",D488&lt;&gt;"",F488="Đã cập nhật",G488="Có",H488&lt;&gt;"",ISNUMBER(I488),J488&lt;&gt;""),"Hoàn tất","Chưa hoàn tất"))</x:f>
        <x:v>Không áp dụng có lý do</x:v>
      </x:c>
    </x:row>
    <x:row r="489" ht="100" customHeight="1">
      <x:c r="A489" s="8" t="inlineStr">
        <x:is>
          <x:t xml:space="preserve">CHG-I18N-04</x:t>
        </x:is>
      </x:c>
      <x:c r="B489" s="8" t="inlineStr">
        <x:is>
          <x:t xml:space="preserve">I18N-04</x:t>
        </x:is>
      </x:c>
      <x:c r="C489" s="8" t="inlineStr">
        <x:is>
          <x:t xml:space="preserve">F02; F17</x:t>
        </x:is>
      </x:c>
      <x:c r="D489" s="8" t="inlineStr">
        <x:is>
          <x:t xml:space="preserve">DOC-057</x:t>
        </x:is>
      </x:c>
      <x:c r="E489" s="8" t="inlineStr">
        <x:is>
          <x:t xml:space="preserve">Đọc danh mục VI/EN/JA và mở rộng dữ liệu thật</x:t>
        </x:is>
      </x:c>
      <x:c r="F489" s="8" t="inlineStr">
        <x:is>
          <x:t xml:space="preserve">Không áp dụng</x:t>
        </x:is>
      </x:c>
      <x:c r="G489" s="8" t="inlineStr">
        <x:is>
          <x:t xml:space="preserve">Có</x:t>
        </x:is>
      </x:c>
      <x:c r="H489" s="8" t="inlineStr">
        <x:is>
          <x:t xml:space="preserve">Codex</x:t>
        </x:is>
      </x:c>
      <x:c r="I489" s="27" t="n">
        <x:v>46300</x:v>
      </x:c>
      <x:c r="J489" s="8" t="inlineStr">
        <x:is>
          <x:t xml:space="preserve">Tra Anh huong và tìm kiếm chéo nguồn hiện hành; không sửa ngoài phạm vi I18N-04.</x:t>
        </x:is>
      </x:c>
      <x:c r="K489"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89" s="8" t="str">
        <x:f>IF(F489="Không áp dụng",IF(AND(K489&lt;&gt;"",H489&lt;&gt;""),"Không áp dụng có lý do","Thiếu lý do/người kiểm"),IF(AND(B489&lt;&gt;"",D489&lt;&gt;"",F489="Đã cập nhật",G489="Có",H489&lt;&gt;"",ISNUMBER(I489),J489&lt;&gt;""),"Hoàn tất","Chưa hoàn tất"))</x:f>
        <x:v>Không áp dụng có lý do</x:v>
      </x:c>
    </x:row>
    <x:row r="490" ht="100" customHeight="1">
      <x:c r="A490" s="8" t="inlineStr">
        <x:is>
          <x:t xml:space="preserve">CHG-I18N-04</x:t>
        </x:is>
      </x:c>
      <x:c r="B490" s="8" t="inlineStr">
        <x:is>
          <x:t xml:space="preserve">I18N-04</x:t>
        </x:is>
      </x:c>
      <x:c r="C490" s="8" t="inlineStr">
        <x:is>
          <x:t xml:space="preserve">F02; F17</x:t>
        </x:is>
      </x:c>
      <x:c r="D490" s="8" t="inlineStr">
        <x:is>
          <x:t xml:space="preserve">DOC-058</x:t>
        </x:is>
      </x:c>
      <x:c r="E490" s="8" t="inlineStr">
        <x:is>
          <x:t xml:space="preserve">Đọc danh mục VI/EN/JA và mở rộng dữ liệu thật</x:t>
        </x:is>
      </x:c>
      <x:c r="F490" s="8" t="inlineStr">
        <x:is>
          <x:t xml:space="preserve">Không áp dụng</x:t>
        </x:is>
      </x:c>
      <x:c r="G490" s="8" t="inlineStr">
        <x:is>
          <x:t xml:space="preserve">Có</x:t>
        </x:is>
      </x:c>
      <x:c r="H490" s="8" t="inlineStr">
        <x:is>
          <x:t xml:space="preserve">Codex</x:t>
        </x:is>
      </x:c>
      <x:c r="I490" s="27" t="n">
        <x:v>46300</x:v>
      </x:c>
      <x:c r="J490" s="8" t="inlineStr">
        <x:is>
          <x:t xml:space="preserve">Tra Anh huong và tìm kiếm chéo nguồn hiện hành; không sửa ngoài phạm vi I18N-04.</x:t>
        </x:is>
      </x:c>
      <x:c r="K490"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90" s="8" t="str">
        <x:f>IF(F490="Không áp dụng",IF(AND(K490&lt;&gt;"",H490&lt;&gt;""),"Không áp dụng có lý do","Thiếu lý do/người kiểm"),IF(AND(B490&lt;&gt;"",D490&lt;&gt;"",F490="Đã cập nhật",G490="Có",H490&lt;&gt;"",ISNUMBER(I490),J490&lt;&gt;""),"Hoàn tất","Chưa hoàn tất"))</x:f>
        <x:v>Không áp dụng có lý do</x:v>
      </x:c>
    </x:row>
    <x:row r="491" ht="100" customHeight="1">
      <x:c r="A491" s="8" t="inlineStr">
        <x:is>
          <x:t xml:space="preserve">CHG-I18N-04</x:t>
        </x:is>
      </x:c>
      <x:c r="B491" s="8" t="inlineStr">
        <x:is>
          <x:t xml:space="preserve">I18N-04</x:t>
        </x:is>
      </x:c>
      <x:c r="C491" s="8" t="inlineStr">
        <x:is>
          <x:t xml:space="preserve">F02; F17</x:t>
        </x:is>
      </x:c>
      <x:c r="D491" s="8" t="inlineStr">
        <x:is>
          <x:t xml:space="preserve">DOC-059</x:t>
        </x:is>
      </x:c>
      <x:c r="E491" s="8" t="inlineStr">
        <x:is>
          <x:t xml:space="preserve">Đọc danh mục VI/EN/JA và mở rộng dữ liệu thật</x:t>
        </x:is>
      </x:c>
      <x:c r="F491" s="8" t="inlineStr">
        <x:is>
          <x:t xml:space="preserve">Không áp dụng</x:t>
        </x:is>
      </x:c>
      <x:c r="G491" s="8" t="inlineStr">
        <x:is>
          <x:t xml:space="preserve">Có</x:t>
        </x:is>
      </x:c>
      <x:c r="H491" s="8" t="inlineStr">
        <x:is>
          <x:t xml:space="preserve">Codex</x:t>
        </x:is>
      </x:c>
      <x:c r="I491" s="27" t="n">
        <x:v>46300</x:v>
      </x:c>
      <x:c r="J491" s="8" t="inlineStr">
        <x:is>
          <x:t xml:space="preserve">Tra Anh huong và tìm kiếm chéo nguồn hiện hành; không sửa ngoài phạm vi I18N-04.</x:t>
        </x:is>
      </x:c>
      <x:c r="K491"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91" s="8" t="str">
        <x:f>IF(F491="Không áp dụng",IF(AND(K491&lt;&gt;"",H491&lt;&gt;""),"Không áp dụng có lý do","Thiếu lý do/người kiểm"),IF(AND(B491&lt;&gt;"",D491&lt;&gt;"",F491="Đã cập nhật",G491="Có",H491&lt;&gt;"",ISNUMBER(I491),J491&lt;&gt;""),"Hoàn tất","Chưa hoàn tất"))</x:f>
        <x:v>Không áp dụng có lý do</x:v>
      </x:c>
    </x:row>
    <x:row r="492" ht="100" customHeight="1">
      <x:c r="A492" s="8" t="inlineStr">
        <x:is>
          <x:t xml:space="preserve">CHG-I18N-04</x:t>
        </x:is>
      </x:c>
      <x:c r="B492" s="8" t="inlineStr">
        <x:is>
          <x:t xml:space="preserve">I18N-04</x:t>
        </x:is>
      </x:c>
      <x:c r="C492" s="8" t="inlineStr">
        <x:is>
          <x:t xml:space="preserve">F02; F17</x:t>
        </x:is>
      </x:c>
      <x:c r="D492" s="8" t="inlineStr">
        <x:is>
          <x:t xml:space="preserve">DOC-060</x:t>
        </x:is>
      </x:c>
      <x:c r="E492" s="8" t="inlineStr">
        <x:is>
          <x:t xml:space="preserve">Đọc danh mục VI/EN/JA và mở rộng dữ liệu thật</x:t>
        </x:is>
      </x:c>
      <x:c r="F492" s="8" t="inlineStr">
        <x:is>
          <x:t xml:space="preserve">Không áp dụng</x:t>
        </x:is>
      </x:c>
      <x:c r="G492" s="8" t="inlineStr">
        <x:is>
          <x:t xml:space="preserve">Có</x:t>
        </x:is>
      </x:c>
      <x:c r="H492" s="8" t="inlineStr">
        <x:is>
          <x:t xml:space="preserve">Codex</x:t>
        </x:is>
      </x:c>
      <x:c r="I492" s="27" t="n">
        <x:v>46300</x:v>
      </x:c>
      <x:c r="J492" s="8" t="inlineStr">
        <x:is>
          <x:t xml:space="preserve">Tra Anh huong và tìm kiếm chéo nguồn hiện hành; không sửa ngoài phạm vi I18N-04.</x:t>
        </x:is>
      </x:c>
      <x:c r="K492"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92" s="8" t="str">
        <x:f>IF(F492="Không áp dụng",IF(AND(K492&lt;&gt;"",H492&lt;&gt;""),"Không áp dụng có lý do","Thiếu lý do/người kiểm"),IF(AND(B492&lt;&gt;"",D492&lt;&gt;"",F492="Đã cập nhật",G492="Có",H492&lt;&gt;"",ISNUMBER(I492),J492&lt;&gt;""),"Hoàn tất","Chưa hoàn tất"))</x:f>
        <x:v>Không áp dụng có lý do</x:v>
      </x:c>
    </x:row>
    <x:row r="493" ht="100" customHeight="1">
      <x:c r="A493" s="8" t="inlineStr">
        <x:is>
          <x:t xml:space="preserve">CHG-I18N-04</x:t>
        </x:is>
      </x:c>
      <x:c r="B493" s="8" t="inlineStr">
        <x:is>
          <x:t xml:space="preserve">I18N-04</x:t>
        </x:is>
      </x:c>
      <x:c r="C493" s="8" t="inlineStr">
        <x:is>
          <x:t xml:space="preserve">F02; F17</x:t>
        </x:is>
      </x:c>
      <x:c r="D493" s="8" t="inlineStr">
        <x:is>
          <x:t xml:space="preserve">DOC-061</x:t>
        </x:is>
      </x:c>
      <x:c r="E493" s="8" t="inlineStr">
        <x:is>
          <x:t xml:space="preserve">Đọc danh mục VI/EN/JA và mở rộng dữ liệu thật</x:t>
        </x:is>
      </x:c>
      <x:c r="F493" s="8" t="inlineStr">
        <x:is>
          <x:t xml:space="preserve">Không áp dụng</x:t>
        </x:is>
      </x:c>
      <x:c r="G493" s="8" t="inlineStr">
        <x:is>
          <x:t xml:space="preserve">Có</x:t>
        </x:is>
      </x:c>
      <x:c r="H493" s="8" t="inlineStr">
        <x:is>
          <x:t xml:space="preserve">Codex</x:t>
        </x:is>
      </x:c>
      <x:c r="I493" s="27" t="n">
        <x:v>46300</x:v>
      </x:c>
      <x:c r="J493" s="8" t="inlineStr">
        <x:is>
          <x:t xml:space="preserve">Tra Anh huong và tìm kiếm chéo nguồn hiện hành; không sửa ngoài phạm vi I18N-04.</x:t>
        </x:is>
      </x:c>
      <x:c r="K493"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93" s="8" t="str">
        <x:f>IF(F493="Không áp dụng",IF(AND(K493&lt;&gt;"",H493&lt;&gt;""),"Không áp dụng có lý do","Thiếu lý do/người kiểm"),IF(AND(B493&lt;&gt;"",D493&lt;&gt;"",F493="Đã cập nhật",G493="Có",H493&lt;&gt;"",ISNUMBER(I493),J493&lt;&gt;""),"Hoàn tất","Chưa hoàn tất"))</x:f>
        <x:v>Không áp dụng có lý do</x:v>
      </x:c>
    </x:row>
    <x:row r="494" ht="100" customHeight="1">
      <x:c r="A494" s="8" t="inlineStr">
        <x:is>
          <x:t xml:space="preserve">CHG-I18N-04</x:t>
        </x:is>
      </x:c>
      <x:c r="B494" s="8" t="inlineStr">
        <x:is>
          <x:t xml:space="preserve">I18N-04</x:t>
        </x:is>
      </x:c>
      <x:c r="C494" s="8" t="inlineStr">
        <x:is>
          <x:t xml:space="preserve">F02; F17</x:t>
        </x:is>
      </x:c>
      <x:c r="D494" s="8" t="inlineStr">
        <x:is>
          <x:t xml:space="preserve">DOC-062</x:t>
        </x:is>
      </x:c>
      <x:c r="E494" s="8" t="inlineStr">
        <x:is>
          <x:t xml:space="preserve">Đọc danh mục VI/EN/JA và mở rộng dữ liệu thật</x:t>
        </x:is>
      </x:c>
      <x:c r="F494" s="8" t="inlineStr">
        <x:is>
          <x:t xml:space="preserve">Không áp dụng</x:t>
        </x:is>
      </x:c>
      <x:c r="G494" s="8" t="inlineStr">
        <x:is>
          <x:t xml:space="preserve">Có</x:t>
        </x:is>
      </x:c>
      <x:c r="H494" s="8" t="inlineStr">
        <x:is>
          <x:t xml:space="preserve">Codex</x:t>
        </x:is>
      </x:c>
      <x:c r="I494" s="27" t="n">
        <x:v>46300</x:v>
      </x:c>
      <x:c r="J494" s="8" t="inlineStr">
        <x:is>
          <x:t xml:space="preserve">Tra Anh huong và tìm kiếm chéo nguồn hiện hành; không sửa ngoài phạm vi I18N-04.</x:t>
        </x:is>
      </x:c>
      <x:c r="K494"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94" s="8" t="str">
        <x:f>IF(F494="Không áp dụng",IF(AND(K494&lt;&gt;"",H494&lt;&gt;""),"Không áp dụng có lý do","Thiếu lý do/người kiểm"),IF(AND(B494&lt;&gt;"",D494&lt;&gt;"",F494="Đã cập nhật",G494="Có",H494&lt;&gt;"",ISNUMBER(I494),J494&lt;&gt;""),"Hoàn tất","Chưa hoàn tất"))</x:f>
        <x:v>Không áp dụng có lý do</x:v>
      </x:c>
    </x:row>
    <x:row r="495" ht="100" customHeight="1">
      <x:c r="A495" s="8" t="inlineStr">
        <x:is>
          <x:t xml:space="preserve">CHG-I18N-04</x:t>
        </x:is>
      </x:c>
      <x:c r="B495" s="8" t="inlineStr">
        <x:is>
          <x:t xml:space="preserve">I18N-04</x:t>
        </x:is>
      </x:c>
      <x:c r="C495" s="8" t="inlineStr">
        <x:is>
          <x:t xml:space="preserve">F02; F17</x:t>
        </x:is>
      </x:c>
      <x:c r="D495" s="8" t="inlineStr">
        <x:is>
          <x:t xml:space="preserve">DOC-063</x:t>
        </x:is>
      </x:c>
      <x:c r="E495" s="8" t="inlineStr">
        <x:is>
          <x:t xml:space="preserve">Đọc danh mục VI/EN/JA và mở rộng dữ liệu thật</x:t>
        </x:is>
      </x:c>
      <x:c r="F495" s="8" t="inlineStr">
        <x:is>
          <x:t xml:space="preserve">Không áp dụng</x:t>
        </x:is>
      </x:c>
      <x:c r="G495" s="8" t="inlineStr">
        <x:is>
          <x:t xml:space="preserve">Có</x:t>
        </x:is>
      </x:c>
      <x:c r="H495" s="8" t="inlineStr">
        <x:is>
          <x:t xml:space="preserve">Codex</x:t>
        </x:is>
      </x:c>
      <x:c r="I495" s="27" t="n">
        <x:v>46300</x:v>
      </x:c>
      <x:c r="J495" s="8" t="inlineStr">
        <x:is>
          <x:t xml:space="preserve">Tra Anh huong và tìm kiếm chéo nguồn hiện hành; không sửa ngoài phạm vi I18N-04.</x:t>
        </x:is>
      </x:c>
      <x:c r="K495"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95" s="8" t="str">
        <x:f>IF(F495="Không áp dụng",IF(AND(K495&lt;&gt;"",H495&lt;&gt;""),"Không áp dụng có lý do","Thiếu lý do/người kiểm"),IF(AND(B495&lt;&gt;"",D495&lt;&gt;"",F495="Đã cập nhật",G495="Có",H495&lt;&gt;"",ISNUMBER(I495),J495&lt;&gt;""),"Hoàn tất","Chưa hoàn tất"))</x:f>
        <x:v>Không áp dụng có lý do</x:v>
      </x:c>
    </x:row>
    <x:row r="496" ht="100" customHeight="1">
      <x:c r="A496" s="8" t="inlineStr">
        <x:is>
          <x:t xml:space="preserve">CHG-I18N-04</x:t>
        </x:is>
      </x:c>
      <x:c r="B496" s="8" t="inlineStr">
        <x:is>
          <x:t xml:space="preserve">I18N-04</x:t>
        </x:is>
      </x:c>
      <x:c r="C496" s="8" t="inlineStr">
        <x:is>
          <x:t xml:space="preserve">F02; F17</x:t>
        </x:is>
      </x:c>
      <x:c r="D496" s="8" t="inlineStr">
        <x:is>
          <x:t xml:space="preserve">DOC-065</x:t>
        </x:is>
      </x:c>
      <x:c r="E496" s="8" t="inlineStr">
        <x:is>
          <x:t xml:space="preserve">Đọc danh mục VI/EN/JA và mở rộng dữ liệu thật</x:t>
        </x:is>
      </x:c>
      <x:c r="F496" s="8" t="inlineStr">
        <x:is>
          <x:t xml:space="preserve">Không áp dụng</x:t>
        </x:is>
      </x:c>
      <x:c r="G496" s="8" t="inlineStr">
        <x:is>
          <x:t xml:space="preserve">Có</x:t>
        </x:is>
      </x:c>
      <x:c r="H496" s="8" t="inlineStr">
        <x:is>
          <x:t xml:space="preserve">Codex</x:t>
        </x:is>
      </x:c>
      <x:c r="I496" s="27" t="n">
        <x:v>46300</x:v>
      </x:c>
      <x:c r="J496" s="8" t="inlineStr">
        <x:is>
          <x:t xml:space="preserve">Tra Anh huong và tìm kiếm chéo nguồn hiện hành; không sửa ngoài phạm vi I18N-04.</x:t>
        </x:is>
      </x:c>
      <x:c r="K496"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96" s="8" t="str">
        <x:f>IF(F496="Không áp dụng",IF(AND(K496&lt;&gt;"",H496&lt;&gt;""),"Không áp dụng có lý do","Thiếu lý do/người kiểm"),IF(AND(B496&lt;&gt;"",D496&lt;&gt;"",F496="Đã cập nhật",G496="Có",H496&lt;&gt;"",ISNUMBER(I496),J496&lt;&gt;""),"Hoàn tất","Chưa hoàn tất"))</x:f>
        <x:v>Không áp dụng có lý do</x:v>
      </x:c>
    </x:row>
    <x:row r="497" ht="100" customHeight="1">
      <x:c r="A497" s="8" t="inlineStr">
        <x:is>
          <x:t xml:space="preserve">CHG-I18N-04</x:t>
        </x:is>
      </x:c>
      <x:c r="B497" s="8" t="inlineStr">
        <x:is>
          <x:t xml:space="preserve">I18N-04</x:t>
        </x:is>
      </x:c>
      <x:c r="C497" s="8" t="inlineStr">
        <x:is>
          <x:t xml:space="preserve">F02; F17</x:t>
        </x:is>
      </x:c>
      <x:c r="D497" s="8" t="inlineStr">
        <x:is>
          <x:t xml:space="preserve">DOC-066</x:t>
        </x:is>
      </x:c>
      <x:c r="E497" s="8" t="inlineStr">
        <x:is>
          <x:t xml:space="preserve">Đọc danh mục VI/EN/JA và mở rộng dữ liệu thật</x:t>
        </x:is>
      </x:c>
      <x:c r="F497" s="8" t="inlineStr">
        <x:is>
          <x:t xml:space="preserve">Không áp dụng</x:t>
        </x:is>
      </x:c>
      <x:c r="G497" s="8" t="inlineStr">
        <x:is>
          <x:t xml:space="preserve">Có</x:t>
        </x:is>
      </x:c>
      <x:c r="H497" s="8" t="inlineStr">
        <x:is>
          <x:t xml:space="preserve">Codex</x:t>
        </x:is>
      </x:c>
      <x:c r="I497" s="27" t="n">
        <x:v>46300</x:v>
      </x:c>
      <x:c r="J497" s="8" t="inlineStr">
        <x:is>
          <x:t xml:space="preserve">Tra Anh huong và tìm kiếm chéo nguồn hiện hành; không sửa ngoài phạm vi I18N-04.</x:t>
        </x:is>
      </x:c>
      <x:c r="K497"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97" s="8" t="str">
        <x:f>IF(F497="Không áp dụng",IF(AND(K497&lt;&gt;"",H497&lt;&gt;""),"Không áp dụng có lý do","Thiếu lý do/người kiểm"),IF(AND(B497&lt;&gt;"",D497&lt;&gt;"",F497="Đã cập nhật",G497="Có",H497&lt;&gt;"",ISNUMBER(I497),J497&lt;&gt;""),"Hoàn tất","Chưa hoàn tất"))</x:f>
        <x:v>Không áp dụng có lý do</x:v>
      </x:c>
    </x:row>
    <x:row r="498" ht="100" customHeight="1">
      <x:c r="A498" s="8" t="inlineStr">
        <x:is>
          <x:t xml:space="preserve">CHG-I18N-04</x:t>
        </x:is>
      </x:c>
      <x:c r="B498" s="8" t="inlineStr">
        <x:is>
          <x:t xml:space="preserve">I18N-04</x:t>
        </x:is>
      </x:c>
      <x:c r="C498" s="8" t="inlineStr">
        <x:is>
          <x:t xml:space="preserve">F02; F17</x:t>
        </x:is>
      </x:c>
      <x:c r="D498" s="8" t="inlineStr">
        <x:is>
          <x:t xml:space="preserve">DOC-070</x:t>
        </x:is>
      </x:c>
      <x:c r="E498" s="8" t="inlineStr">
        <x:is>
          <x:t xml:space="preserve">Đọc danh mục VI/EN/JA và mở rộng dữ liệu thật</x:t>
        </x:is>
      </x:c>
      <x:c r="F498" s="8" t="inlineStr">
        <x:is>
          <x:t xml:space="preserve">Không áp dụng</x:t>
        </x:is>
      </x:c>
      <x:c r="G498" s="8" t="inlineStr">
        <x:is>
          <x:t xml:space="preserve">Có</x:t>
        </x:is>
      </x:c>
      <x:c r="H498" s="8" t="inlineStr">
        <x:is>
          <x:t xml:space="preserve">Codex</x:t>
        </x:is>
      </x:c>
      <x:c r="I498" s="27" t="n">
        <x:v>46300</x:v>
      </x:c>
      <x:c r="J498" s="8" t="inlineStr">
        <x:is>
          <x:t xml:space="preserve">Tra Anh huong và tìm kiếm chéo nguồn hiện hành; không sửa ngoài phạm vi I18N-04.</x:t>
        </x:is>
      </x:c>
      <x:c r="K498"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98" s="8" t="str">
        <x:f>IF(F498="Không áp dụng",IF(AND(K498&lt;&gt;"",H498&lt;&gt;""),"Không áp dụng có lý do","Thiếu lý do/người kiểm"),IF(AND(B498&lt;&gt;"",D498&lt;&gt;"",F498="Đã cập nhật",G498="Có",H498&lt;&gt;"",ISNUMBER(I498),J498&lt;&gt;""),"Hoàn tất","Chưa hoàn tất"))</x:f>
        <x:v>Không áp dụng có lý do</x:v>
      </x:c>
    </x:row>
    <x:row r="499" ht="100" customHeight="1">
      <x:c r="A499" s="8" t="inlineStr">
        <x:is>
          <x:t xml:space="preserve">CHG-I18N-04</x:t>
        </x:is>
      </x:c>
      <x:c r="B499" s="8" t="inlineStr">
        <x:is>
          <x:t xml:space="preserve">I18N-04</x:t>
        </x:is>
      </x:c>
      <x:c r="C499" s="8" t="inlineStr">
        <x:is>
          <x:t xml:space="preserve">F02; F17</x:t>
        </x:is>
      </x:c>
      <x:c r="D499" s="8" t="inlineStr">
        <x:is>
          <x:t xml:space="preserve">DOC-071</x:t>
        </x:is>
      </x:c>
      <x:c r="E499" s="8" t="inlineStr">
        <x:is>
          <x:t xml:space="preserve">Đọc danh mục VI/EN/JA và mở rộng dữ liệu thật</x:t>
        </x:is>
      </x:c>
      <x:c r="F499" s="8" t="inlineStr">
        <x:is>
          <x:t xml:space="preserve">Không áp dụng</x:t>
        </x:is>
      </x:c>
      <x:c r="G499" s="8" t="inlineStr">
        <x:is>
          <x:t xml:space="preserve">Có</x:t>
        </x:is>
      </x:c>
      <x:c r="H499" s="8" t="inlineStr">
        <x:is>
          <x:t xml:space="preserve">Codex</x:t>
        </x:is>
      </x:c>
      <x:c r="I499" s="27" t="n">
        <x:v>46300</x:v>
      </x:c>
      <x:c r="J499" s="8" t="inlineStr">
        <x:is>
          <x:t xml:space="preserve">Tra Anh huong và tìm kiếm chéo nguồn hiện hành; không sửa ngoài phạm vi I18N-04.</x:t>
        </x:is>
      </x:c>
      <x:c r="K499"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499" s="8" t="str">
        <x:f>IF(F499="Không áp dụng",IF(AND(K499&lt;&gt;"",H499&lt;&gt;""),"Không áp dụng có lý do","Thiếu lý do/người kiểm"),IF(AND(B499&lt;&gt;"",D499&lt;&gt;"",F499="Đã cập nhật",G499="Có",H499&lt;&gt;"",ISNUMBER(I499),J499&lt;&gt;""),"Hoàn tất","Chưa hoàn tất"))</x:f>
        <x:v>Không áp dụng có lý do</x:v>
      </x:c>
    </x:row>
    <x:row r="500" ht="100" customHeight="1">
      <x:c r="A500" s="8" t="inlineStr">
        <x:is>
          <x:t xml:space="preserve">CHG-I18N-04</x:t>
        </x:is>
      </x:c>
      <x:c r="B500" s="8" t="inlineStr">
        <x:is>
          <x:t xml:space="preserve">I18N-04</x:t>
        </x:is>
      </x:c>
      <x:c r="C500" s="8" t="inlineStr">
        <x:is>
          <x:t xml:space="preserve">F02; F17</x:t>
        </x:is>
      </x:c>
      <x:c r="D500" s="8" t="inlineStr">
        <x:is>
          <x:t xml:space="preserve">DOC-072</x:t>
        </x:is>
      </x:c>
      <x:c r="E500" s="8" t="inlineStr">
        <x:is>
          <x:t xml:space="preserve">Đọc danh mục VI/EN/JA và mở rộng dữ liệu thật</x:t>
        </x:is>
      </x:c>
      <x:c r="F500" s="8" t="inlineStr">
        <x:is>
          <x:t xml:space="preserve">Không áp dụng</x:t>
        </x:is>
      </x:c>
      <x:c r="G500" s="8" t="inlineStr">
        <x:is>
          <x:t xml:space="preserve">Có</x:t>
        </x:is>
      </x:c>
      <x:c r="H500" s="8" t="inlineStr">
        <x:is>
          <x:t xml:space="preserve">Codex</x:t>
        </x:is>
      </x:c>
      <x:c r="I500" s="27" t="n">
        <x:v>46300</x:v>
      </x:c>
      <x:c r="J500" s="8" t="inlineStr">
        <x:is>
          <x:t xml:space="preserve">Tra Anh huong và tìm kiếm chéo nguồn hiện hành; không sửa ngoài phạm vi I18N-04.</x:t>
        </x:is>
      </x:c>
      <x:c r="K500"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500" s="8" t="str">
        <x:f>IF(F500="Không áp dụng",IF(AND(K500&lt;&gt;"",H500&lt;&gt;""),"Không áp dụng có lý do","Thiếu lý do/người kiểm"),IF(AND(B500&lt;&gt;"",D500&lt;&gt;"",F500="Đã cập nhật",G500="Có",H500&lt;&gt;"",ISNUMBER(I500),J500&lt;&gt;""),"Hoàn tất","Chưa hoàn tất"))</x:f>
        <x:v>Không áp dụng có lý do</x:v>
      </x:c>
    </x:row>
    <x:row r="501" ht="100" customHeight="1">
      <x:c r="A501" s="8" t="inlineStr">
        <x:is>
          <x:t xml:space="preserve">CHG-I18N-04</x:t>
        </x:is>
      </x:c>
      <x:c r="B501" s="8" t="inlineStr">
        <x:is>
          <x:t xml:space="preserve">I18N-04</x:t>
        </x:is>
      </x:c>
      <x:c r="C501" s="8" t="inlineStr">
        <x:is>
          <x:t xml:space="preserve">F02; F17</x:t>
        </x:is>
      </x:c>
      <x:c r="D501" s="8" t="inlineStr">
        <x:is>
          <x:t xml:space="preserve">DOC-073</x:t>
        </x:is>
      </x:c>
      <x:c r="E501" s="8" t="inlineStr">
        <x:is>
          <x:t xml:space="preserve">Đọc danh mục VI/EN/JA và mở rộng dữ liệu thật</x:t>
        </x:is>
      </x:c>
      <x:c r="F501" s="8" t="inlineStr">
        <x:is>
          <x:t xml:space="preserve">Không áp dụng</x:t>
        </x:is>
      </x:c>
      <x:c r="G501" s="8" t="inlineStr">
        <x:is>
          <x:t xml:space="preserve">Có</x:t>
        </x:is>
      </x:c>
      <x:c r="H501" s="8" t="inlineStr">
        <x:is>
          <x:t xml:space="preserve">Codex</x:t>
        </x:is>
      </x:c>
      <x:c r="I501" s="27" t="n">
        <x:v>46300</x:v>
      </x:c>
      <x:c r="J501" s="8" t="inlineStr">
        <x:is>
          <x:t xml:space="preserve">Tra Anh huong và tìm kiếm chéo nguồn hiện hành; không sửa ngoài phạm vi I18N-04.</x:t>
        </x:is>
      </x:c>
      <x:c r="K501"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501" s="8" t="str">
        <x:f>IF(F501="Không áp dụng",IF(AND(K501&lt;&gt;"",H501&lt;&gt;""),"Không áp dụng có lý do","Thiếu lý do/người kiểm"),IF(AND(B501&lt;&gt;"",D501&lt;&gt;"",F501="Đã cập nhật",G501="Có",H501&lt;&gt;"",ISNUMBER(I501),J501&lt;&gt;""),"Hoàn tất","Chưa hoàn tất"))</x:f>
        <x:v>Không áp dụng có lý do</x:v>
      </x:c>
    </x:row>
    <x:row r="502" ht="100" customHeight="1">
      <x:c r="A502" s="8" t="inlineStr">
        <x:is>
          <x:t xml:space="preserve">CHG-I18N-04</x:t>
        </x:is>
      </x:c>
      <x:c r="B502" s="8" t="inlineStr">
        <x:is>
          <x:t xml:space="preserve">I18N-04</x:t>
        </x:is>
      </x:c>
      <x:c r="C502" s="8" t="inlineStr">
        <x:is>
          <x:t xml:space="preserve">F02; F17</x:t>
        </x:is>
      </x:c>
      <x:c r="D502" s="8" t="inlineStr">
        <x:is>
          <x:t xml:space="preserve">DOC-074</x:t>
        </x:is>
      </x:c>
      <x:c r="E502" s="8" t="inlineStr">
        <x:is>
          <x:t xml:space="preserve">Đọc danh mục VI/EN/JA và mở rộng dữ liệu thật</x:t>
        </x:is>
      </x:c>
      <x:c r="F502" s="8" t="inlineStr">
        <x:is>
          <x:t xml:space="preserve">Không áp dụng</x:t>
        </x:is>
      </x:c>
      <x:c r="G502" s="8" t="inlineStr">
        <x:is>
          <x:t xml:space="preserve">Có</x:t>
        </x:is>
      </x:c>
      <x:c r="H502" s="8" t="inlineStr">
        <x:is>
          <x:t xml:space="preserve">Codex</x:t>
        </x:is>
      </x:c>
      <x:c r="I502" s="27" t="n">
        <x:v>46300</x:v>
      </x:c>
      <x:c r="J502" s="8" t="inlineStr">
        <x:is>
          <x:t xml:space="preserve">Tra Anh huong và tìm kiếm chéo nguồn hiện hành; không sửa ngoài phạm vi I18N-04.</x:t>
        </x:is>
      </x:c>
      <x:c r="K502"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502" s="8" t="str">
        <x:f>IF(F502="Không áp dụng",IF(AND(K502&lt;&gt;"",H502&lt;&gt;""),"Không áp dụng có lý do","Thiếu lý do/người kiểm"),IF(AND(B502&lt;&gt;"",D502&lt;&gt;"",F502="Đã cập nhật",G502="Có",H502&lt;&gt;"",ISNUMBER(I502),J502&lt;&gt;""),"Hoàn tất","Chưa hoàn tất"))</x:f>
        <x:v>Không áp dụng có lý do</x:v>
      </x:c>
    </x:row>
    <x:row r="503" ht="100" customHeight="1">
      <x:c r="A503" s="8" t="inlineStr">
        <x:is>
          <x:t xml:space="preserve">CHG-I18N-04</x:t>
        </x:is>
      </x:c>
      <x:c r="B503" s="8" t="inlineStr">
        <x:is>
          <x:t xml:space="preserve">I18N-04</x:t>
        </x:is>
      </x:c>
      <x:c r="C503" s="8" t="inlineStr">
        <x:is>
          <x:t xml:space="preserve">F02; F17</x:t>
        </x:is>
      </x:c>
      <x:c r="D503" s="8" t="inlineStr">
        <x:is>
          <x:t xml:space="preserve">DOC-075</x:t>
        </x:is>
      </x:c>
      <x:c r="E503" s="8" t="inlineStr">
        <x:is>
          <x:t xml:space="preserve">Đọc danh mục VI/EN/JA và mở rộng dữ liệu thật</x:t>
        </x:is>
      </x:c>
      <x:c r="F503" s="8" t="inlineStr">
        <x:is>
          <x:t xml:space="preserve">Không áp dụng</x:t>
        </x:is>
      </x:c>
      <x:c r="G503" s="8" t="inlineStr">
        <x:is>
          <x:t xml:space="preserve">Có</x:t>
        </x:is>
      </x:c>
      <x:c r="H503" s="8" t="inlineStr">
        <x:is>
          <x:t xml:space="preserve">Codex</x:t>
        </x:is>
      </x:c>
      <x:c r="I503" s="27" t="n">
        <x:v>46300</x:v>
      </x:c>
      <x:c r="J503" s="8" t="inlineStr">
        <x:is>
          <x:t xml:space="preserve">Tra Anh huong và tìm kiếm chéo nguồn hiện hành; không sửa ngoài phạm vi I18N-04.</x:t>
        </x:is>
      </x:c>
      <x:c r="K503"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503" s="8" t="str">
        <x:f>IF(F503="Không áp dụng",IF(AND(K503&lt;&gt;"",H503&lt;&gt;""),"Không áp dụng có lý do","Thiếu lý do/người kiểm"),IF(AND(B503&lt;&gt;"",D503&lt;&gt;"",F503="Đã cập nhật",G503="Có",H503&lt;&gt;"",ISNUMBER(I503),J503&lt;&gt;""),"Hoàn tất","Chưa hoàn tất"))</x:f>
        <x:v>Không áp dụng có lý do</x:v>
      </x:c>
    </x:row>
    <x:row r="504" ht="100" customHeight="1">
      <x:c r="A504" s="8" t="inlineStr">
        <x:is>
          <x:t xml:space="preserve">CHG-I18N-04</x:t>
        </x:is>
      </x:c>
      <x:c r="B504" s="8" t="inlineStr">
        <x:is>
          <x:t xml:space="preserve">I18N-04</x:t>
        </x:is>
      </x:c>
      <x:c r="C504" s="8" t="inlineStr">
        <x:is>
          <x:t xml:space="preserve">F02; F17</x:t>
        </x:is>
      </x:c>
      <x:c r="D504" s="8" t="inlineStr">
        <x:is>
          <x:t xml:space="preserve">DOC-076</x:t>
        </x:is>
      </x:c>
      <x:c r="E504" s="8" t="inlineStr">
        <x:is>
          <x:t xml:space="preserve">Đọc danh mục VI/EN/JA và mở rộng dữ liệu thật</x:t>
        </x:is>
      </x:c>
      <x:c r="F504" s="8" t="inlineStr">
        <x:is>
          <x:t xml:space="preserve">Không áp dụng</x:t>
        </x:is>
      </x:c>
      <x:c r="G504" s="8" t="inlineStr">
        <x:is>
          <x:t xml:space="preserve">Có</x:t>
        </x:is>
      </x:c>
      <x:c r="H504" s="8" t="inlineStr">
        <x:is>
          <x:t xml:space="preserve">Codex</x:t>
        </x:is>
      </x:c>
      <x:c r="I504" s="27" t="n">
        <x:v>46300</x:v>
      </x:c>
      <x:c r="J504" s="8" t="inlineStr">
        <x:is>
          <x:t xml:space="preserve">Tra Anh huong và tìm kiếm chéo nguồn hiện hành; không sửa ngoài phạm vi I18N-04.</x:t>
        </x:is>
      </x:c>
      <x:c r="K504"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504" s="8" t="str">
        <x:f>IF(F504="Không áp dụng",IF(AND(K504&lt;&gt;"",H504&lt;&gt;""),"Không áp dụng có lý do","Thiếu lý do/người kiểm"),IF(AND(B504&lt;&gt;"",D504&lt;&gt;"",F504="Đã cập nhật",G504="Có",H504&lt;&gt;"",ISNUMBER(I504),J504&lt;&gt;""),"Hoàn tất","Chưa hoàn tất"))</x:f>
        <x:v>Không áp dụng có lý do</x:v>
      </x:c>
    </x:row>
    <x:row r="505" ht="100" customHeight="1">
      <x:c r="A505" s="8" t="inlineStr">
        <x:is>
          <x:t xml:space="preserve">CHG-I18N-04</x:t>
        </x:is>
      </x:c>
      <x:c r="B505" s="8" t="inlineStr">
        <x:is>
          <x:t xml:space="preserve">I18N-04</x:t>
        </x:is>
      </x:c>
      <x:c r="C505" s="8" t="inlineStr">
        <x:is>
          <x:t xml:space="preserve">F02; F17</x:t>
        </x:is>
      </x:c>
      <x:c r="D505" s="8" t="inlineStr">
        <x:is>
          <x:t xml:space="preserve">DOC-077</x:t>
        </x:is>
      </x:c>
      <x:c r="E505" s="8" t="inlineStr">
        <x:is>
          <x:t xml:space="preserve">Đọc danh mục VI/EN/JA và mở rộng dữ liệu thật</x:t>
        </x:is>
      </x:c>
      <x:c r="F505" s="8" t="inlineStr">
        <x:is>
          <x:t xml:space="preserve">Không áp dụng</x:t>
        </x:is>
      </x:c>
      <x:c r="G505" s="8" t="inlineStr">
        <x:is>
          <x:t xml:space="preserve">Có</x:t>
        </x:is>
      </x:c>
      <x:c r="H505" s="8" t="inlineStr">
        <x:is>
          <x:t xml:space="preserve">Codex</x:t>
        </x:is>
      </x:c>
      <x:c r="I505" s="27" t="n">
        <x:v>46300</x:v>
      </x:c>
      <x:c r="J505" s="8" t="inlineStr">
        <x:is>
          <x:t xml:space="preserve">Tra Anh huong và tìm kiếm chéo nguồn hiện hành; không sửa ngoài phạm vi I18N-04.</x:t>
        </x:is>
      </x:c>
      <x:c r="K505"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505" s="8" t="str">
        <x:f>IF(F505="Không áp dụng",IF(AND(K505&lt;&gt;"",H505&lt;&gt;""),"Không áp dụng có lý do","Thiếu lý do/người kiểm"),IF(AND(B505&lt;&gt;"",D505&lt;&gt;"",F505="Đã cập nhật",G505="Có",H505&lt;&gt;"",ISNUMBER(I505),J505&lt;&gt;""),"Hoàn tất","Chưa hoàn tất"))</x:f>
        <x:v>Không áp dụng có lý do</x:v>
      </x:c>
    </x:row>
    <x:row r="506" ht="100" customHeight="1">
      <x:c r="A506" s="8" t="inlineStr">
        <x:is>
          <x:t xml:space="preserve">CHG-I18N-04</x:t>
        </x:is>
      </x:c>
      <x:c r="B506" s="8" t="inlineStr">
        <x:is>
          <x:t xml:space="preserve">I18N-04</x:t>
        </x:is>
      </x:c>
      <x:c r="C506" s="8" t="inlineStr">
        <x:is>
          <x:t xml:space="preserve">F02; F17</x:t>
        </x:is>
      </x:c>
      <x:c r="D506" s="8" t="inlineStr">
        <x:is>
          <x:t xml:space="preserve">DOC-078</x:t>
        </x:is>
      </x:c>
      <x:c r="E506" s="8" t="inlineStr">
        <x:is>
          <x:t xml:space="preserve">Đọc danh mục VI/EN/JA và mở rộng dữ liệu thật</x:t>
        </x:is>
      </x:c>
      <x:c r="F506" s="8" t="inlineStr">
        <x:is>
          <x:t xml:space="preserve">Không áp dụng</x:t>
        </x:is>
      </x:c>
      <x:c r="G506" s="8" t="inlineStr">
        <x:is>
          <x:t xml:space="preserve">Có</x:t>
        </x:is>
      </x:c>
      <x:c r="H506" s="8" t="inlineStr">
        <x:is>
          <x:t xml:space="preserve">Codex</x:t>
        </x:is>
      </x:c>
      <x:c r="I506" s="27" t="n">
        <x:v>46300</x:v>
      </x:c>
      <x:c r="J506" s="8" t="inlineStr">
        <x:is>
          <x:t xml:space="preserve">Tra Anh huong và tìm kiếm chéo nguồn hiện hành; không sửa ngoài phạm vi I18N-04.</x:t>
        </x:is>
      </x:c>
      <x:c r="K506"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506" s="8" t="str">
        <x:f>IF(F506="Không áp dụng",IF(AND(K506&lt;&gt;"",H506&lt;&gt;""),"Không áp dụng có lý do","Thiếu lý do/người kiểm"),IF(AND(B506&lt;&gt;"",D506&lt;&gt;"",F506="Đã cập nhật",G506="Có",H506&lt;&gt;"",ISNUMBER(I506),J506&lt;&gt;""),"Hoàn tất","Chưa hoàn tất"))</x:f>
        <x:v>Không áp dụng có lý do</x:v>
      </x:c>
    </x:row>
    <x:row r="507" ht="100" customHeight="1">
      <x:c r="A507" s="8" t="inlineStr">
        <x:is>
          <x:t xml:space="preserve">CHG-I18N-04</x:t>
        </x:is>
      </x:c>
      <x:c r="B507" s="8" t="inlineStr">
        <x:is>
          <x:t xml:space="preserve">I18N-04</x:t>
        </x:is>
      </x:c>
      <x:c r="C507" s="8" t="inlineStr">
        <x:is>
          <x:t xml:space="preserve">F02; F17</x:t>
        </x:is>
      </x:c>
      <x:c r="D507" s="8" t="inlineStr">
        <x:is>
          <x:t xml:space="preserve">DOC-079</x:t>
        </x:is>
      </x:c>
      <x:c r="E507" s="8" t="inlineStr">
        <x:is>
          <x:t xml:space="preserve">Đọc danh mục VI/EN/JA và mở rộng dữ liệu thật</x:t>
        </x:is>
      </x:c>
      <x:c r="F507" s="8" t="inlineStr">
        <x:is>
          <x:t xml:space="preserve">Không áp dụng</x:t>
        </x:is>
      </x:c>
      <x:c r="G507" s="8" t="inlineStr">
        <x:is>
          <x:t xml:space="preserve">Có</x:t>
        </x:is>
      </x:c>
      <x:c r="H507" s="8" t="inlineStr">
        <x:is>
          <x:t xml:space="preserve">Codex</x:t>
        </x:is>
      </x:c>
      <x:c r="I507" s="27" t="n">
        <x:v>46300</x:v>
      </x:c>
      <x:c r="J507" s="8" t="inlineStr">
        <x:is>
          <x:t xml:space="preserve">Tra Anh huong và tìm kiếm chéo nguồn hiện hành; không sửa ngoài phạm vi I18N-04.</x:t>
        </x:is>
      </x:c>
      <x:c r="K507"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507" s="8" t="str">
        <x:f>IF(F507="Không áp dụng",IF(AND(K507&lt;&gt;"",H507&lt;&gt;""),"Không áp dụng có lý do","Thiếu lý do/người kiểm"),IF(AND(B507&lt;&gt;"",D507&lt;&gt;"",F507="Đã cập nhật",G507="Có",H507&lt;&gt;"",ISNUMBER(I507),J507&lt;&gt;""),"Hoàn tất","Chưa hoàn tất"))</x:f>
        <x:v>Không áp dụng có lý do</x:v>
      </x:c>
    </x:row>
    <x:row r="508" ht="100" customHeight="1">
      <x:c r="A508" s="8" t="inlineStr">
        <x:is>
          <x:t xml:space="preserve">CHG-I18N-04</x:t>
        </x:is>
      </x:c>
      <x:c r="B508" s="8" t="inlineStr">
        <x:is>
          <x:t xml:space="preserve">I18N-04</x:t>
        </x:is>
      </x:c>
      <x:c r="C508" s="8" t="inlineStr">
        <x:is>
          <x:t xml:space="preserve">F02; F17</x:t>
        </x:is>
      </x:c>
      <x:c r="D508" s="8" t="inlineStr">
        <x:is>
          <x:t xml:space="preserve">DOC-080</x:t>
        </x:is>
      </x:c>
      <x:c r="E508" s="8" t="inlineStr">
        <x:is>
          <x:t xml:space="preserve">Đọc danh mục VI/EN/JA và mở rộng dữ liệu thật</x:t>
        </x:is>
      </x:c>
      <x:c r="F508" s="8" t="inlineStr">
        <x:is>
          <x:t xml:space="preserve">Không áp dụng</x:t>
        </x:is>
      </x:c>
      <x:c r="G508" s="8" t="inlineStr">
        <x:is>
          <x:t xml:space="preserve">Có</x:t>
        </x:is>
      </x:c>
      <x:c r="H508" s="8" t="inlineStr">
        <x:is>
          <x:t xml:space="preserve">Codex</x:t>
        </x:is>
      </x:c>
      <x:c r="I508" s="27" t="n">
        <x:v>46300</x:v>
      </x:c>
      <x:c r="J508" s="8" t="inlineStr">
        <x:is>
          <x:t xml:space="preserve">Tra Anh huong và tìm kiếm chéo nguồn hiện hành; không sửa ngoài phạm vi I18N-04.</x:t>
        </x:is>
      </x:c>
      <x:c r="K508"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508" s="8" t="str">
        <x:f>IF(F508="Không áp dụng",IF(AND(K508&lt;&gt;"",H508&lt;&gt;""),"Không áp dụng có lý do","Thiếu lý do/người kiểm"),IF(AND(B508&lt;&gt;"",D508&lt;&gt;"",F508="Đã cập nhật",G508="Có",H508&lt;&gt;"",ISNUMBER(I508),J508&lt;&gt;""),"Hoàn tất","Chưa hoàn tất"))</x:f>
        <x:v>Không áp dụng có lý do</x:v>
      </x:c>
    </x:row>
    <x:row r="509" ht="100" customHeight="1">
      <x:c r="A509" s="8" t="inlineStr">
        <x:is>
          <x:t xml:space="preserve">CHG-I18N-04</x:t>
        </x:is>
      </x:c>
      <x:c r="B509" s="8" t="inlineStr">
        <x:is>
          <x:t xml:space="preserve">I18N-04</x:t>
        </x:is>
      </x:c>
      <x:c r="C509" s="8" t="inlineStr">
        <x:is>
          <x:t xml:space="preserve">F02; F17</x:t>
        </x:is>
      </x:c>
      <x:c r="D509" s="8" t="inlineStr">
        <x:is>
          <x:t xml:space="preserve">DOC-081</x:t>
        </x:is>
      </x:c>
      <x:c r="E509" s="8" t="inlineStr">
        <x:is>
          <x:t xml:space="preserve">Đọc danh mục VI/EN/JA và mở rộng dữ liệu thật</x:t>
        </x:is>
      </x:c>
      <x:c r="F509" s="8" t="inlineStr">
        <x:is>
          <x:t xml:space="preserve">Không áp dụng</x:t>
        </x:is>
      </x:c>
      <x:c r="G509" s="8" t="inlineStr">
        <x:is>
          <x:t xml:space="preserve">Có</x:t>
        </x:is>
      </x:c>
      <x:c r="H509" s="8" t="inlineStr">
        <x:is>
          <x:t xml:space="preserve">Codex</x:t>
        </x:is>
      </x:c>
      <x:c r="I509" s="27" t="n">
        <x:v>46300</x:v>
      </x:c>
      <x:c r="J509" s="8" t="inlineStr">
        <x:is>
          <x:t xml:space="preserve">Tra Anh huong và tìm kiếm chéo nguồn hiện hành; không sửa ngoài phạm vi I18N-04.</x:t>
        </x:is>
      </x:c>
      <x:c r="K509"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509" s="8" t="str">
        <x:f>IF(F509="Không áp dụng",IF(AND(K509&lt;&gt;"",H509&lt;&gt;""),"Không áp dụng có lý do","Thiếu lý do/người kiểm"),IF(AND(B509&lt;&gt;"",D509&lt;&gt;"",F509="Đã cập nhật",G509="Có",H509&lt;&gt;"",ISNUMBER(I509),J509&lt;&gt;""),"Hoàn tất","Chưa hoàn tất"))</x:f>
        <x:v>Không áp dụng có lý do</x:v>
      </x:c>
    </x:row>
    <x:row r="510" ht="100" customHeight="1">
      <x:c r="A510" s="8" t="inlineStr">
        <x:is>
          <x:t xml:space="preserve">CHG-I18N-04</x:t>
        </x:is>
      </x:c>
      <x:c r="B510" s="8" t="inlineStr">
        <x:is>
          <x:t xml:space="preserve">I18N-04</x:t>
        </x:is>
      </x:c>
      <x:c r="C510" s="8" t="inlineStr">
        <x:is>
          <x:t xml:space="preserve">F02; F17</x:t>
        </x:is>
      </x:c>
      <x:c r="D510" s="8" t="inlineStr">
        <x:is>
          <x:t xml:space="preserve">DOC-082</x:t>
        </x:is>
      </x:c>
      <x:c r="E510" s="8" t="inlineStr">
        <x:is>
          <x:t xml:space="preserve">Đọc danh mục VI/EN/JA và mở rộng dữ liệu thật</x:t>
        </x:is>
      </x:c>
      <x:c r="F510" s="8" t="inlineStr">
        <x:is>
          <x:t xml:space="preserve">Không áp dụng</x:t>
        </x:is>
      </x:c>
      <x:c r="G510" s="8" t="inlineStr">
        <x:is>
          <x:t xml:space="preserve">Có</x:t>
        </x:is>
      </x:c>
      <x:c r="H510" s="8" t="inlineStr">
        <x:is>
          <x:t xml:space="preserve">Codex</x:t>
        </x:is>
      </x:c>
      <x:c r="I510" s="27" t="n">
        <x:v>46300</x:v>
      </x:c>
      <x:c r="J510" s="8" t="inlineStr">
        <x:is>
          <x:t xml:space="preserve">Tra Anh huong và tìm kiếm chéo nguồn hiện hành; không sửa ngoài phạm vi I18N-04.</x:t>
        </x:is>
      </x:c>
      <x:c r="K510"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510" s="8" t="str">
        <x:f>IF(F510="Không áp dụng",IF(AND(K510&lt;&gt;"",H510&lt;&gt;""),"Không áp dụng có lý do","Thiếu lý do/người kiểm"),IF(AND(B510&lt;&gt;"",D510&lt;&gt;"",F510="Đã cập nhật",G510="Có",H510&lt;&gt;"",ISNUMBER(I510),J510&lt;&gt;""),"Hoàn tất","Chưa hoàn tất"))</x:f>
        <x:v>Không áp dụng có lý do</x:v>
      </x:c>
    </x:row>
    <x:row r="511" ht="100" customHeight="1">
      <x:c r="A511" s="8" t="inlineStr">
        <x:is>
          <x:t xml:space="preserve">CHG-I18N-04</x:t>
        </x:is>
      </x:c>
      <x:c r="B511" s="8" t="inlineStr">
        <x:is>
          <x:t xml:space="preserve">I18N-04</x:t>
        </x:is>
      </x:c>
      <x:c r="C511" s="8" t="inlineStr">
        <x:is>
          <x:t xml:space="preserve">F02; F17</x:t>
        </x:is>
      </x:c>
      <x:c r="D511" s="8" t="inlineStr">
        <x:is>
          <x:t xml:space="preserve">DOC-083</x:t>
        </x:is>
      </x:c>
      <x:c r="E511" s="8" t="inlineStr">
        <x:is>
          <x:t xml:space="preserve">Đọc danh mục VI/EN/JA và mở rộng dữ liệu thật</x:t>
        </x:is>
      </x:c>
      <x:c r="F511" s="8" t="inlineStr">
        <x:is>
          <x:t xml:space="preserve">Không áp dụng</x:t>
        </x:is>
      </x:c>
      <x:c r="G511" s="8" t="inlineStr">
        <x:is>
          <x:t xml:space="preserve">Có</x:t>
        </x:is>
      </x:c>
      <x:c r="H511" s="8" t="inlineStr">
        <x:is>
          <x:t xml:space="preserve">Codex</x:t>
        </x:is>
      </x:c>
      <x:c r="I511" s="27" t="n">
        <x:v>46300</x:v>
      </x:c>
      <x:c r="J511" s="8" t="inlineStr">
        <x:is>
          <x:t xml:space="preserve">Tra Anh huong và tìm kiếm chéo nguồn hiện hành; không sửa ngoài phạm vi I18N-04.</x:t>
        </x:is>
      </x:c>
      <x:c r="K511"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511" s="8" t="str">
        <x:f>IF(F511="Không áp dụng",IF(AND(K511&lt;&gt;"",H511&lt;&gt;""),"Không áp dụng có lý do","Thiếu lý do/người kiểm"),IF(AND(B511&lt;&gt;"",D511&lt;&gt;"",F511="Đã cập nhật",G511="Có",H511&lt;&gt;"",ISNUMBER(I511),J511&lt;&gt;""),"Hoàn tất","Chưa hoàn tất"))</x:f>
        <x:v>Không áp dụng có lý do</x:v>
      </x:c>
    </x:row>
    <x:row r="512" ht="100" customHeight="1">
      <x:c r="A512" s="8" t="inlineStr">
        <x:is>
          <x:t xml:space="preserve">CHG-I18N-04</x:t>
        </x:is>
      </x:c>
      <x:c r="B512" s="8" t="inlineStr">
        <x:is>
          <x:t xml:space="preserve">I18N-04</x:t>
        </x:is>
      </x:c>
      <x:c r="C512" s="8" t="inlineStr">
        <x:is>
          <x:t xml:space="preserve">F02; F17</x:t>
        </x:is>
      </x:c>
      <x:c r="D512" s="8" t="inlineStr">
        <x:is>
          <x:t xml:space="preserve">DOC-084</x:t>
        </x:is>
      </x:c>
      <x:c r="E512" s="8" t="inlineStr">
        <x:is>
          <x:t xml:space="preserve">Đọc danh mục VI/EN/JA và mở rộng dữ liệu thật</x:t>
        </x:is>
      </x:c>
      <x:c r="F512" s="8" t="inlineStr">
        <x:is>
          <x:t xml:space="preserve">Không áp dụng</x:t>
        </x:is>
      </x:c>
      <x:c r="G512" s="8" t="inlineStr">
        <x:is>
          <x:t xml:space="preserve">Có</x:t>
        </x:is>
      </x:c>
      <x:c r="H512" s="8" t="inlineStr">
        <x:is>
          <x:t xml:space="preserve">Codex</x:t>
        </x:is>
      </x:c>
      <x:c r="I512" s="27" t="n">
        <x:v>46300</x:v>
      </x:c>
      <x:c r="J512" s="8" t="inlineStr">
        <x:is>
          <x:t xml:space="preserve">Tra Anh huong và tìm kiếm chéo nguồn hiện hành; không sửa ngoài phạm vi I18N-04.</x:t>
        </x:is>
      </x:c>
      <x:c r="K512"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512" s="8" t="str">
        <x:f>IF(F512="Không áp dụng",IF(AND(K512&lt;&gt;"",H512&lt;&gt;""),"Không áp dụng có lý do","Thiếu lý do/người kiểm"),IF(AND(B512&lt;&gt;"",D512&lt;&gt;"",F512="Đã cập nhật",G512="Có",H512&lt;&gt;"",ISNUMBER(I512),J512&lt;&gt;""),"Hoàn tất","Chưa hoàn tất"))</x:f>
        <x:v>Không áp dụng có lý do</x:v>
      </x:c>
    </x:row>
    <x:row r="513" ht="100" customHeight="1">
      <x:c r="A513" s="8" t="inlineStr">
        <x:is>
          <x:t xml:space="preserve">CHG-I18N-04</x:t>
        </x:is>
      </x:c>
      <x:c r="B513" s="8" t="inlineStr">
        <x:is>
          <x:t xml:space="preserve">I18N-04</x:t>
        </x:is>
      </x:c>
      <x:c r="C513" s="8" t="inlineStr">
        <x:is>
          <x:t xml:space="preserve">F02; F17</x:t>
        </x:is>
      </x:c>
      <x:c r="D513" s="8" t="inlineStr">
        <x:is>
          <x:t xml:space="preserve">DOC-085</x:t>
        </x:is>
      </x:c>
      <x:c r="E513" s="8" t="inlineStr">
        <x:is>
          <x:t xml:space="preserve">Đọc danh mục VI/EN/JA và mở rộng dữ liệu thật</x:t>
        </x:is>
      </x:c>
      <x:c r="F513" s="8" t="inlineStr">
        <x:is>
          <x:t xml:space="preserve">Không áp dụng</x:t>
        </x:is>
      </x:c>
      <x:c r="G513" s="8" t="inlineStr">
        <x:is>
          <x:t xml:space="preserve">Có</x:t>
        </x:is>
      </x:c>
      <x:c r="H513" s="8" t="inlineStr">
        <x:is>
          <x:t xml:space="preserve">Codex</x:t>
        </x:is>
      </x:c>
      <x:c r="I513" s="27" t="n">
        <x:v>46300</x:v>
      </x:c>
      <x:c r="J513" s="8" t="inlineStr">
        <x:is>
          <x:t xml:space="preserve">Tra Anh huong và tìm kiếm chéo nguồn hiện hành; không sửa ngoài phạm vi I18N-04.</x:t>
        </x:is>
      </x:c>
      <x:c r="K513"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513" s="8" t="str">
        <x:f>IF(F513="Không áp dụng",IF(AND(K513&lt;&gt;"",H513&lt;&gt;""),"Không áp dụng có lý do","Thiếu lý do/người kiểm"),IF(AND(B513&lt;&gt;"",D513&lt;&gt;"",F513="Đã cập nhật",G513="Có",H513&lt;&gt;"",ISNUMBER(I513),J513&lt;&gt;""),"Hoàn tất","Chưa hoàn tất"))</x:f>
        <x:v>Không áp dụng có lý do</x:v>
      </x:c>
    </x:row>
    <x:row r="514" ht="100" customHeight="1">
      <x:c r="A514" s="8" t="inlineStr">
        <x:is>
          <x:t xml:space="preserve">CHG-I18N-04</x:t>
        </x:is>
      </x:c>
      <x:c r="B514" s="8" t="inlineStr">
        <x:is>
          <x:t xml:space="preserve">I18N-04</x:t>
        </x:is>
      </x:c>
      <x:c r="C514" s="8" t="inlineStr">
        <x:is>
          <x:t xml:space="preserve">F02; F17</x:t>
        </x:is>
      </x:c>
      <x:c r="D514" s="8" t="inlineStr">
        <x:is>
          <x:t xml:space="preserve">DOC-086</x:t>
        </x:is>
      </x:c>
      <x:c r="E514" s="8" t="inlineStr">
        <x:is>
          <x:t xml:space="preserve">Đọc danh mục VI/EN/JA và mở rộng dữ liệu thật</x:t>
        </x:is>
      </x:c>
      <x:c r="F514" s="8" t="inlineStr">
        <x:is>
          <x:t xml:space="preserve">Không áp dụng</x:t>
        </x:is>
      </x:c>
      <x:c r="G514" s="8" t="inlineStr">
        <x:is>
          <x:t xml:space="preserve">Có</x:t>
        </x:is>
      </x:c>
      <x:c r="H514" s="8" t="inlineStr">
        <x:is>
          <x:t xml:space="preserve">Codex</x:t>
        </x:is>
      </x:c>
      <x:c r="I514" s="27" t="n">
        <x:v>46300</x:v>
      </x:c>
      <x:c r="J514" s="8" t="inlineStr">
        <x:is>
          <x:t xml:space="preserve">Tra Anh huong và tìm kiếm chéo nguồn hiện hành; không sửa ngoài phạm vi I18N-04.</x:t>
        </x:is>
      </x:c>
      <x:c r="K514"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514" s="8" t="str">
        <x:f>IF(F514="Không áp dụng",IF(AND(K514&lt;&gt;"",H514&lt;&gt;""),"Không áp dụng có lý do","Thiếu lý do/người kiểm"),IF(AND(B514&lt;&gt;"",D514&lt;&gt;"",F514="Đã cập nhật",G514="Có",H514&lt;&gt;"",ISNUMBER(I514),J514&lt;&gt;""),"Hoàn tất","Chưa hoàn tất"))</x:f>
        <x:v>Không áp dụng có lý do</x:v>
      </x:c>
    </x:row>
    <x:row r="515" ht="100" customHeight="1">
      <x:c r="A515" s="8" t="inlineStr">
        <x:is>
          <x:t xml:space="preserve">CHG-I18N-04</x:t>
        </x:is>
      </x:c>
      <x:c r="B515" s="8" t="inlineStr">
        <x:is>
          <x:t xml:space="preserve">I18N-04</x:t>
        </x:is>
      </x:c>
      <x:c r="C515" s="8" t="inlineStr">
        <x:is>
          <x:t xml:space="preserve">F02; F17</x:t>
        </x:is>
      </x:c>
      <x:c r="D515" s="8" t="inlineStr">
        <x:is>
          <x:t xml:space="preserve">DOC-087</x:t>
        </x:is>
      </x:c>
      <x:c r="E515" s="8" t="inlineStr">
        <x:is>
          <x:t xml:space="preserve">Đọc danh mục VI/EN/JA và mở rộng dữ liệu thật</x:t>
        </x:is>
      </x:c>
      <x:c r="F515" s="8" t="inlineStr">
        <x:is>
          <x:t xml:space="preserve">Không áp dụng</x:t>
        </x:is>
      </x:c>
      <x:c r="G515" s="8" t="inlineStr">
        <x:is>
          <x:t xml:space="preserve">Có</x:t>
        </x:is>
      </x:c>
      <x:c r="H515" s="8" t="inlineStr">
        <x:is>
          <x:t xml:space="preserve">Codex</x:t>
        </x:is>
      </x:c>
      <x:c r="I515" s="27" t="n">
        <x:v>46300</x:v>
      </x:c>
      <x:c r="J515" s="8" t="inlineStr">
        <x:is>
          <x:t xml:space="preserve">Tra Anh huong và tìm kiếm chéo nguồn hiện hành; không sửa ngoài phạm vi I18N-04.</x:t>
        </x:is>
      </x:c>
      <x:c r="K515"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515" s="8" t="str">
        <x:f>IF(F515="Không áp dụng",IF(AND(K515&lt;&gt;"",H515&lt;&gt;""),"Không áp dụng có lý do","Thiếu lý do/người kiểm"),IF(AND(B515&lt;&gt;"",D515&lt;&gt;"",F515="Đã cập nhật",G515="Có",H515&lt;&gt;"",ISNUMBER(I515),J515&lt;&gt;""),"Hoàn tất","Chưa hoàn tất"))</x:f>
        <x:v>Không áp dụng có lý do</x:v>
      </x:c>
    </x:row>
    <x:row r="516" ht="100" customHeight="1">
      <x:c r="A516" s="8" t="inlineStr">
        <x:is>
          <x:t xml:space="preserve">CHG-I18N-04</x:t>
        </x:is>
      </x:c>
      <x:c r="B516" s="8" t="inlineStr">
        <x:is>
          <x:t xml:space="preserve">I18N-04</x:t>
        </x:is>
      </x:c>
      <x:c r="C516" s="8" t="inlineStr">
        <x:is>
          <x:t xml:space="preserve">F02; F17</x:t>
        </x:is>
      </x:c>
      <x:c r="D516" s="8" t="inlineStr">
        <x:is>
          <x:t xml:space="preserve">DOC-088</x:t>
        </x:is>
      </x:c>
      <x:c r="E516" s="8" t="inlineStr">
        <x:is>
          <x:t xml:space="preserve">Đọc danh mục VI/EN/JA và mở rộng dữ liệu thật</x:t>
        </x:is>
      </x:c>
      <x:c r="F516" s="8" t="inlineStr">
        <x:is>
          <x:t xml:space="preserve">Không áp dụng</x:t>
        </x:is>
      </x:c>
      <x:c r="G516" s="8" t="inlineStr">
        <x:is>
          <x:t xml:space="preserve">Có</x:t>
        </x:is>
      </x:c>
      <x:c r="H516" s="8" t="inlineStr">
        <x:is>
          <x:t xml:space="preserve">Codex</x:t>
        </x:is>
      </x:c>
      <x:c r="I516" s="27" t="n">
        <x:v>46300</x:v>
      </x:c>
      <x:c r="J516" s="8" t="inlineStr">
        <x:is>
          <x:t xml:space="preserve">Tra Anh huong và tìm kiếm chéo nguồn hiện hành; không sửa ngoài phạm vi I18N-04.</x:t>
        </x:is>
      </x:c>
      <x:c r="K516"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516" s="8" t="str">
        <x:f>IF(F516="Không áp dụng",IF(AND(K516&lt;&gt;"",H516&lt;&gt;""),"Không áp dụng có lý do","Thiếu lý do/người kiểm"),IF(AND(B516&lt;&gt;"",D516&lt;&gt;"",F516="Đã cập nhật",G516="Có",H516&lt;&gt;"",ISNUMBER(I516),J516&lt;&gt;""),"Hoàn tất","Chưa hoàn tất"))</x:f>
        <x:v>Không áp dụng có lý do</x:v>
      </x:c>
    </x:row>
    <x:row r="517" ht="100" customHeight="1">
      <x:c r="A517" s="8" t="inlineStr">
        <x:is>
          <x:t xml:space="preserve">CHG-I18N-04</x:t>
        </x:is>
      </x:c>
      <x:c r="B517" s="8" t="inlineStr">
        <x:is>
          <x:t xml:space="preserve">I18N-04</x:t>
        </x:is>
      </x:c>
      <x:c r="C517" s="8" t="inlineStr">
        <x:is>
          <x:t xml:space="preserve">F02; F17</x:t>
        </x:is>
      </x:c>
      <x:c r="D517" s="8" t="inlineStr">
        <x:is>
          <x:t xml:space="preserve">DOC-089</x:t>
        </x:is>
      </x:c>
      <x:c r="E517" s="8" t="inlineStr">
        <x:is>
          <x:t xml:space="preserve">Đọc danh mục VI/EN/JA và mở rộng dữ liệu thật</x:t>
        </x:is>
      </x:c>
      <x:c r="F517" s="8" t="inlineStr">
        <x:is>
          <x:t xml:space="preserve">Không áp dụng</x:t>
        </x:is>
      </x:c>
      <x:c r="G517" s="8" t="inlineStr">
        <x:is>
          <x:t xml:space="preserve">Có</x:t>
        </x:is>
      </x:c>
      <x:c r="H517" s="8" t="inlineStr">
        <x:is>
          <x:t xml:space="preserve">Codex</x:t>
        </x:is>
      </x:c>
      <x:c r="I517" s="27" t="n">
        <x:v>46300</x:v>
      </x:c>
      <x:c r="J517" s="8" t="inlineStr">
        <x:is>
          <x:t xml:space="preserve">Tra Anh huong và tìm kiếm chéo nguồn hiện hành; không sửa ngoài phạm vi I18N-04.</x:t>
        </x:is>
      </x:c>
      <x:c r="K517"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517" s="8" t="str">
        <x:f>IF(F517="Không áp dụng",IF(AND(K517&lt;&gt;"",H517&lt;&gt;""),"Không áp dụng có lý do","Thiếu lý do/người kiểm"),IF(AND(B517&lt;&gt;"",D517&lt;&gt;"",F517="Đã cập nhật",G517="Có",H517&lt;&gt;"",ISNUMBER(I517),J517&lt;&gt;""),"Hoàn tất","Chưa hoàn tất"))</x:f>
        <x:v>Không áp dụng có lý do</x:v>
      </x:c>
    </x:row>
    <x:row r="518" ht="100" customHeight="1">
      <x:c r="A518" s="8" t="inlineStr">
        <x:is>
          <x:t xml:space="preserve">CHG-I18N-04</x:t>
        </x:is>
      </x:c>
      <x:c r="B518" s="8" t="inlineStr">
        <x:is>
          <x:t xml:space="preserve">I18N-04</x:t>
        </x:is>
      </x:c>
      <x:c r="C518" s="8" t="inlineStr">
        <x:is>
          <x:t xml:space="preserve">F02; F17</x:t>
        </x:is>
      </x:c>
      <x:c r="D518" s="8" t="inlineStr">
        <x:is>
          <x:t xml:space="preserve">PLAN-001</x:t>
        </x:is>
      </x:c>
      <x:c r="E518" s="8" t="inlineStr">
        <x:is>
          <x:t xml:space="preserve">Đọc danh mục VI/EN/JA và mở rộng dữ liệu thật</x:t>
        </x:is>
      </x:c>
      <x:c r="F518" s="8" t="inlineStr">
        <x:is>
          <x:t xml:space="preserve">Đã cập nhật</x:t>
        </x:is>
      </x:c>
      <x:c r="G518" s="8" t="inlineStr">
        <x:is>
          <x:t xml:space="preserve">Có</x:t>
        </x:is>
      </x:c>
      <x:c r="H518" s="8" t="inlineStr">
        <x:is>
          <x:t xml:space="preserve">Codex</x:t>
        </x:is>
      </x:c>
      <x:c r="I518" s="27" t="n">
        <x:v>46300</x:v>
      </x:c>
      <x:c r="J518" s="8" t="inlineStr">
        <x:is>
          <x:t xml:space="preserve">I18N-04: 10 ngành/50 nhóm/140 kỹ năng; 34 API,86 mobile,5 web; native i18n/layout Android+iOS đạt local. Chưa push/CI/UAT. 9 file Drive cùng ID đã tải lại đối chiếu bytes; PRD/SRS/UX và FR/NFR đã đọc lại đúng phạm vi. Báo cáo học code chỉ lưu repo. docs/ke-hoach-trien-khai/bao-cao/I18N-04-danh-muc-da-ngon-ngu.md</x:t>
        </x:is>
      </x:c>
      <x:c r="K518" s="8" t="inlineStr">
        <x:is>
          <x:t xml:space="preserve"/>
        </x:is>
      </x:c>
      <x:c r="L518" s="8" t="str">
        <x:f>IF(F518="Không áp dụng",IF(AND(K518&lt;&gt;"",H518&lt;&gt;""),"Không áp dụng có lý do","Thiếu lý do/người kiểm"),IF(AND(B518&lt;&gt;"",D518&lt;&gt;"",F518="Đã cập nhật",G518="Có",H518&lt;&gt;"",ISNUMBER(I518),J518&lt;&gt;""),"Hoàn tất","Chưa hoàn tất"))</x:f>
        <x:v>Hoàn tất</x:v>
      </x:c>
    </x:row>
    <x:row r="519" ht="100" customHeight="1">
      <x:c r="A519" s="8" t="inlineStr">
        <x:is>
          <x:t xml:space="preserve">CHG-I18N-04</x:t>
        </x:is>
      </x:c>
      <x:c r="B519" s="8" t="inlineStr">
        <x:is>
          <x:t xml:space="preserve">I18N-04</x:t>
        </x:is>
      </x:c>
      <x:c r="C519" s="8" t="inlineStr">
        <x:is>
          <x:t xml:space="preserve">F02; F17</x:t>
        </x:is>
      </x:c>
      <x:c r="D519" s="8" t="inlineStr">
        <x:is>
          <x:t xml:space="preserve">PLAN-002</x:t>
        </x:is>
      </x:c>
      <x:c r="E519" s="8" t="inlineStr">
        <x:is>
          <x:t xml:space="preserve">Đọc danh mục VI/EN/JA và mở rộng dữ liệu thật</x:t>
        </x:is>
      </x:c>
      <x:c r="F519" s="8" t="inlineStr">
        <x:is>
          <x:t xml:space="preserve">Đã cập nhật</x:t>
        </x:is>
      </x:c>
      <x:c r="G519" s="8" t="inlineStr">
        <x:is>
          <x:t xml:space="preserve">Có</x:t>
        </x:is>
      </x:c>
      <x:c r="H519" s="8" t="inlineStr">
        <x:is>
          <x:t xml:space="preserve">Codex</x:t>
        </x:is>
      </x:c>
      <x:c r="I519" s="27" t="n">
        <x:v>46300</x:v>
      </x:c>
      <x:c r="J519" s="8" t="inlineStr">
        <x:is>
          <x:t xml:space="preserve">I18N-04: 10 ngành/50 nhóm/140 kỹ năng; 34 API,86 mobile,5 web; native i18n/layout Android+iOS đạt local. Chưa push/CI/UAT. 9 file Drive cùng ID đã tải lại đối chiếu bytes; PRD/SRS/UX và FR/NFR đã đọc lại đúng phạm vi. Báo cáo học code chỉ lưu repo. docs/ke-hoach-trien-khai/bao-cao/I18N-04-danh-muc-da-ngon-ngu.md</x:t>
        </x:is>
      </x:c>
      <x:c r="K519" s="8" t="inlineStr">
        <x:is>
          <x:t xml:space="preserve"/>
        </x:is>
      </x:c>
      <x:c r="L519" s="8" t="str">
        <x:f>IF(F519="Không áp dụng",IF(AND(K519&lt;&gt;"",H519&lt;&gt;""),"Không áp dụng có lý do","Thiếu lý do/người kiểm"),IF(AND(B519&lt;&gt;"",D519&lt;&gt;"",F519="Đã cập nhật",G519="Có",H519&lt;&gt;"",ISNUMBER(I519),J519&lt;&gt;""),"Hoàn tất","Chưa hoàn tất"))</x:f>
        <x:v>Hoàn tất</x:v>
      </x:c>
    </x:row>
    <x:row r="520" ht="100" customHeight="1">
      <x:c r="A520" s="8" t="inlineStr">
        <x:is>
          <x:t xml:space="preserve">CHG-I18N-04</x:t>
        </x:is>
      </x:c>
      <x:c r="B520" s="8" t="inlineStr">
        <x:is>
          <x:t xml:space="preserve">I18N-04</x:t>
        </x:is>
      </x:c>
      <x:c r="C520" s="8" t="inlineStr">
        <x:is>
          <x:t xml:space="preserve">F02; F17</x:t>
        </x:is>
      </x:c>
      <x:c r="D520" s="8" t="inlineStr">
        <x:is>
          <x:t xml:space="preserve">PLAN-003</x:t>
        </x:is>
      </x:c>
      <x:c r="E520" s="8" t="inlineStr">
        <x:is>
          <x:t xml:space="preserve">Đọc danh mục VI/EN/JA và mở rộng dữ liệu thật</x:t>
        </x:is>
      </x:c>
      <x:c r="F520" s="8" t="inlineStr">
        <x:is>
          <x:t xml:space="preserve">Đã cập nhật</x:t>
        </x:is>
      </x:c>
      <x:c r="G520" s="8" t="inlineStr">
        <x:is>
          <x:t xml:space="preserve">Có</x:t>
        </x:is>
      </x:c>
      <x:c r="H520" s="8" t="inlineStr">
        <x:is>
          <x:t xml:space="preserve">Codex</x:t>
        </x:is>
      </x:c>
      <x:c r="I520" s="27" t="n">
        <x:v>46300</x:v>
      </x:c>
      <x:c r="J520" s="8" t="inlineStr">
        <x:is>
          <x:t xml:space="preserve">I18N-04: 10 ngành/50 nhóm/140 kỹ năng; 34 API,86 mobile,5 web; native i18n/layout Android+iOS đạt local. Chưa push/CI/UAT. 9 file Drive cùng ID đã tải lại đối chiếu bytes; PRD/SRS/UX và FR/NFR đã đọc lại đúng phạm vi. Báo cáo học code chỉ lưu repo. docs/ke-hoach-trien-khai/bao-cao/I18N-04-danh-muc-da-ngon-ngu.md</x:t>
        </x:is>
      </x:c>
      <x:c r="K520" s="8" t="inlineStr">
        <x:is>
          <x:t xml:space="preserve"/>
        </x:is>
      </x:c>
      <x:c r="L520" s="8" t="str">
        <x:f>IF(F520="Không áp dụng",IF(AND(K520&lt;&gt;"",H520&lt;&gt;""),"Không áp dụng có lý do","Thiếu lý do/người kiểm"),IF(AND(B520&lt;&gt;"",D520&lt;&gt;"",F520="Đã cập nhật",G520="Có",H520&lt;&gt;"",ISNUMBER(I520),J520&lt;&gt;""),"Hoàn tất","Chưa hoàn tất"))</x:f>
        <x:v>Hoàn tất</x:v>
      </x:c>
    </x:row>
    <x:row r="521" ht="100" customHeight="1">
      <x:c r="A521" s="8" t="inlineStr">
        <x:is>
          <x:t xml:space="preserve">CHG-I18N-04</x:t>
        </x:is>
      </x:c>
      <x:c r="B521" s="8" t="inlineStr">
        <x:is>
          <x:t xml:space="preserve">I18N-04</x:t>
        </x:is>
      </x:c>
      <x:c r="C521" s="8" t="inlineStr">
        <x:is>
          <x:t xml:space="preserve">F02; F17</x:t>
        </x:is>
      </x:c>
      <x:c r="D521" s="8" t="inlineStr">
        <x:is>
          <x:t xml:space="preserve">PLAN-006</x:t>
        </x:is>
      </x:c>
      <x:c r="E521" s="8" t="inlineStr">
        <x:is>
          <x:t xml:space="preserve">Đọc danh mục VI/EN/JA và mở rộng dữ liệu thật</x:t>
        </x:is>
      </x:c>
      <x:c r="F521" s="8" t="inlineStr">
        <x:is>
          <x:t xml:space="preserve">Không áp dụng</x:t>
        </x:is>
      </x:c>
      <x:c r="G521" s="8" t="inlineStr">
        <x:is>
          <x:t xml:space="preserve">Có</x:t>
        </x:is>
      </x:c>
      <x:c r="H521" s="8" t="inlineStr">
        <x:is>
          <x:t xml:space="preserve">Codex</x:t>
        </x:is>
      </x:c>
      <x:c r="I521" s="27" t="n">
        <x:v>46300</x:v>
      </x:c>
      <x:c r="J521" s="8" t="inlineStr">
        <x:is>
          <x:t xml:space="preserve">Tra Anh huong và tìm kiếm chéo nguồn hiện hành; không sửa ngoài phạm vi I18N-04.</x:t>
        </x:is>
      </x:c>
      <x:c r="K521" s="8" t="inlineStr">
        <x:is>
          <x:t xml:space="preserve">Không đổi luồng thuê, quyền/trạng thái, nghiệp vụ tài chính hoặc kiến trúc tổng thể. Nội dung mô phỏng/bằng chứng lịch sử giữ nguyên; contract/data/QA và phạm vi ngôn ngữ hiện hành cập nhật ở các nguồn I18N-04 đã liệt kê.</x:t>
        </x:is>
      </x:c>
      <x:c r="L521" s="8" t="str">
        <x:f>IF(F521="Không áp dụng",IF(AND(K521&lt;&gt;"",H521&lt;&gt;""),"Không áp dụng có lý do","Thiếu lý do/người kiểm"),IF(AND(B521&lt;&gt;"",D521&lt;&gt;"",F521="Đã cập nhật",G521="Có",H521&lt;&gt;"",ISNUMBER(I521),J521&lt;&gt;""),"Hoàn tất","Chưa hoàn tất"))</x:f>
        <x:v>Không áp dụng có lý do</x:v>
      </x:c>
    </x:row>
    <x:row r="522" ht="100" customHeight="1">
      <x:c r="A522" s="8" t="inlineStr">
        <x:is>
          <x:t xml:space="preserve">CHG-I18N-04</x:t>
        </x:is>
      </x:c>
      <x:c r="B522" s="8" t="inlineStr">
        <x:is>
          <x:t xml:space="preserve">I18N-04</x:t>
        </x:is>
      </x:c>
      <x:c r="C522" s="8" t="inlineStr">
        <x:is>
          <x:t xml:space="preserve">F02; F17</x:t>
        </x:is>
      </x:c>
      <x:c r="D522" s="8" t="inlineStr">
        <x:is>
          <x:t xml:space="preserve">PLAN-008</x:t>
        </x:is>
      </x:c>
      <x:c r="E522" s="8" t="inlineStr">
        <x:is>
          <x:t xml:space="preserve">Đọc danh mục VI/EN/JA và mở rộng dữ liệu thật</x:t>
        </x:is>
      </x:c>
      <x:c r="F522" s="8" t="inlineStr">
        <x:is>
          <x:t xml:space="preserve">Đã cập nhật</x:t>
        </x:is>
      </x:c>
      <x:c r="G522" s="8" t="inlineStr">
        <x:is>
          <x:t xml:space="preserve">Có</x:t>
        </x:is>
      </x:c>
      <x:c r="H522" s="8" t="inlineStr">
        <x:is>
          <x:t xml:space="preserve">Codex</x:t>
        </x:is>
      </x:c>
      <x:c r="I522" s="27" t="n">
        <x:v>46300</x:v>
      </x:c>
      <x:c r="J522" s="8" t="inlineStr">
        <x:is>
          <x:t xml:space="preserve">I18N-04: 10 ngành/50 nhóm/140 kỹ năng; 34 API,86 mobile,5 web; native i18n/layout Android+iOS đạt local. Chưa push/CI/UAT. 9 file Drive cùng ID đã tải lại đối chiếu bytes; PRD/SRS/UX và FR/NFR đã đọc lại đúng phạm vi. Báo cáo học code chỉ lưu repo. docs/ke-hoach-trien-khai/bao-cao/I18N-04-danh-muc-da-ngon-ngu.md</x:t>
        </x:is>
      </x:c>
      <x:c r="K522" s="8" t="inlineStr">
        <x:is>
          <x:t xml:space="preserve"/>
        </x:is>
      </x:c>
      <x:c r="L522" s="8" t="str">
        <x:f>IF(F522="Không áp dụng",IF(AND(K522&lt;&gt;"",H522&lt;&gt;""),"Không áp dụng có lý do","Thiếu lý do/người kiểm"),IF(AND(B522&lt;&gt;"",D522&lt;&gt;"",F522="Đã cập nhật",G522="Có",H522&lt;&gt;"",ISNUMBER(I522),J522&lt;&gt;""),"Hoàn tất","Chưa hoàn tất"))</x:f>
        <x:v>Hoàn tất</x:v>
      </x:c>
    </x:row>
    <x:row r="523">
      <x:c r="A523" s="8" t="inlineStr">
        <x:is>
          <x:t xml:space="preserve">CHG-B01-04</x:t>
        </x:is>
      </x:c>
      <x:c r="B523" s="8" t="inlineStr">
        <x:is>
          <x:t xml:space="preserve">B01-04</x:t>
        </x:is>
      </x:c>
      <x:c r="C523" s="8" t="inlineStr">
        <x:is>
          <x:t xml:space="preserve">F01</x:t>
        </x:is>
      </x:c>
      <x:c r="D523" s="8" t="inlineStr">
        <x:is>
          <x:t xml:space="preserve">DOC-000</x:t>
        </x:is>
      </x:c>
      <x:c r="E523" s="8" t="inlineStr">
        <x:is>
          <x:t xml:space="preserve">Bổ sung Me.version và tiêu chí sửa tên an toàn</x:t>
        </x:is>
      </x:c>
      <x:c r="F523" s="8" t="inlineStr">
        <x:is>
          <x:t xml:space="preserve">Đã cập nhật</x:t>
        </x:is>
      </x:c>
      <x:c r="G523" s="8" t="inlineStr">
        <x:is>
          <x:t xml:space="preserve">Có</x:t>
        </x:is>
      </x:c>
      <x:c r="H523" s="8" t="inlineStr">
        <x:is>
          <x:t xml:space="preserve">Codex</x:t>
        </x:is>
      </x:c>
      <x:c r="I523" s="27" t="n">
        <x:v>46301</x:v>
      </x:c>
      <x:c r="J523" s="8" t="inlineStr">
        <x:is>
          <x:t xml:space="preserve">B01-04 v0.1.4: Me.version bắt buộc &gt;=1 được user duyệt 06/10/2026. Nguồn/mirror/HTML/ZIP kiểm khớp. 5 file Drive cập nhật cùng ID và tải lại cmp bytes khớp. Báo cáo/checklist chỉ repo; chưa CI/UAT/production.</x:t>
        </x:is>
      </x:c>
      <x:c r="K523" s="8" t="inlineStr">
        <x:is>
          <x:t xml:space="preserve"/>
        </x:is>
      </x:c>
      <x:c r="L523" t="str">
        <x:f>IF(F523="Không áp dụng",IF(AND(K523&lt;&gt;"",H523&lt;&gt;""),"Không áp dụng có lý do","Thiếu lý do/người kiểm"),IF(AND(B523&lt;&gt;"",D523&lt;&gt;"",F523="Đã cập nhật",G523="Có",H523&lt;&gt;"",ISNUMBER(I523),J523&lt;&gt;""),"Hoàn tất","Chưa hoàn tất"))</x:f>
        <x:v>Hoàn tất</x:v>
      </x:c>
    </x:row>
    <x:row r="524">
      <x:c r="A524" s="8" t="inlineStr">
        <x:is>
          <x:t xml:space="preserve">CHG-B01-04</x:t>
        </x:is>
      </x:c>
      <x:c r="B524" s="8" t="inlineStr">
        <x:is>
          <x:t xml:space="preserve">B01-04</x:t>
        </x:is>
      </x:c>
      <x:c r="C524" s="8" t="inlineStr">
        <x:is>
          <x:t xml:space="preserve">F01</x:t>
        </x:is>
      </x:c>
      <x:c r="D524" s="8" t="inlineStr">
        <x:is>
          <x:t xml:space="preserve">DOC-004</x:t>
        </x:is>
      </x:c>
      <x:c r="E524" s="8" t="inlineStr">
        <x:is>
          <x:t xml:space="preserve">Bổ sung Me.version và tiêu chí sửa tên an toàn</x:t>
        </x:is>
      </x:c>
      <x:c r="F524" s="8" t="inlineStr">
        <x:is>
          <x:t xml:space="preserve">Không áp dụng</x:t>
        </x:is>
      </x:c>
      <x:c r="G524" s="8" t="inlineStr">
        <x:is>
          <x:t xml:space="preserve">Có</x:t>
        </x:is>
      </x:c>
      <x:c r="H524" s="8" t="inlineStr">
        <x:is>
          <x:t xml:space="preserve">Codex</x:t>
        </x:is>
      </x:c>
      <x:c r="I524" s="27" t="n">
        <x:v>46301</x:v>
      </x:c>
      <x:c r="J524" s="8" t="inlineStr">
        <x:is>
          <x:t xml:space="preserve">Đã tra Anh huong, API/data, account-batch và các nguồn liên quan; phạm vi tại báo cáo B01-04.</x:t>
        </x:is>
      </x:c>
      <x:c r="K524"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24" t="str">
        <x:f>IF(F524="Không áp dụng",IF(AND(K524&lt;&gt;"",H524&lt;&gt;""),"Không áp dụng có lý do","Thiếu lý do/người kiểm"),IF(AND(B524&lt;&gt;"",D524&lt;&gt;"",F524="Đã cập nhật",G524="Có",H524&lt;&gt;"",ISNUMBER(I524),J524&lt;&gt;""),"Hoàn tất","Chưa hoàn tất"))</x:f>
        <x:v>Không áp dụng có lý do</x:v>
      </x:c>
    </x:row>
    <x:row r="525">
      <x:c r="A525" s="8" t="inlineStr">
        <x:is>
          <x:t xml:space="preserve">CHG-B01-04</x:t>
        </x:is>
      </x:c>
      <x:c r="B525" s="8" t="inlineStr">
        <x:is>
          <x:t xml:space="preserve">B01-04</x:t>
        </x:is>
      </x:c>
      <x:c r="C525" s="8" t="inlineStr">
        <x:is>
          <x:t xml:space="preserve">F01</x:t>
        </x:is>
      </x:c>
      <x:c r="D525" s="8" t="inlineStr">
        <x:is>
          <x:t xml:space="preserve">DOC-005</x:t>
        </x:is>
      </x:c>
      <x:c r="E525" s="8" t="inlineStr">
        <x:is>
          <x:t xml:space="preserve">Bổ sung Me.version và tiêu chí sửa tên an toàn</x:t>
        </x:is>
      </x:c>
      <x:c r="F525" s="8" t="inlineStr">
        <x:is>
          <x:t xml:space="preserve">Không áp dụng</x:t>
        </x:is>
      </x:c>
      <x:c r="G525" s="8" t="inlineStr">
        <x:is>
          <x:t xml:space="preserve">Có</x:t>
        </x:is>
      </x:c>
      <x:c r="H525" s="8" t="inlineStr">
        <x:is>
          <x:t xml:space="preserve">Codex</x:t>
        </x:is>
      </x:c>
      <x:c r="I525" s="27" t="n">
        <x:v>46301</x:v>
      </x:c>
      <x:c r="J525" s="8" t="inlineStr">
        <x:is>
          <x:t xml:space="preserve">Đã tra Anh huong, API/data, account-batch và các nguồn liên quan; phạm vi tại báo cáo B01-04.</x:t>
        </x:is>
      </x:c>
      <x:c r="K525"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25" t="str">
        <x:f>IF(F525="Không áp dụng",IF(AND(K525&lt;&gt;"",H525&lt;&gt;""),"Không áp dụng có lý do","Thiếu lý do/người kiểm"),IF(AND(B525&lt;&gt;"",D525&lt;&gt;"",F525="Đã cập nhật",G525="Có",H525&lt;&gt;"",ISNUMBER(I525),J525&lt;&gt;""),"Hoàn tất","Chưa hoàn tất"))</x:f>
        <x:v>Không áp dụng có lý do</x:v>
      </x:c>
    </x:row>
    <x:row r="526">
      <x:c r="A526" s="8" t="inlineStr">
        <x:is>
          <x:t xml:space="preserve">CHG-B01-04</x:t>
        </x:is>
      </x:c>
      <x:c r="B526" s="8" t="inlineStr">
        <x:is>
          <x:t xml:space="preserve">B01-04</x:t>
        </x:is>
      </x:c>
      <x:c r="C526" s="8" t="inlineStr">
        <x:is>
          <x:t xml:space="preserve">F01</x:t>
        </x:is>
      </x:c>
      <x:c r="D526" s="8" t="inlineStr">
        <x:is>
          <x:t xml:space="preserve">DOC-006</x:t>
        </x:is>
      </x:c>
      <x:c r="E526" s="8" t="inlineStr">
        <x:is>
          <x:t xml:space="preserve">Bổ sung Me.version và tiêu chí sửa tên an toàn</x:t>
        </x:is>
      </x:c>
      <x:c r="F526" s="8" t="inlineStr">
        <x:is>
          <x:t xml:space="preserve">Không áp dụng</x:t>
        </x:is>
      </x:c>
      <x:c r="G526" s="8" t="inlineStr">
        <x:is>
          <x:t xml:space="preserve">Có</x:t>
        </x:is>
      </x:c>
      <x:c r="H526" s="8" t="inlineStr">
        <x:is>
          <x:t xml:space="preserve">Codex</x:t>
        </x:is>
      </x:c>
      <x:c r="I526" s="27" t="n">
        <x:v>46301</x:v>
      </x:c>
      <x:c r="J526" s="8" t="inlineStr">
        <x:is>
          <x:t xml:space="preserve">Đã tra Anh huong, API/data, account-batch và các nguồn liên quan; phạm vi tại báo cáo B01-04.</x:t>
        </x:is>
      </x:c>
      <x:c r="K526"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26" t="str">
        <x:f>IF(F526="Không áp dụng",IF(AND(K526&lt;&gt;"",H526&lt;&gt;""),"Không áp dụng có lý do","Thiếu lý do/người kiểm"),IF(AND(B526&lt;&gt;"",D526&lt;&gt;"",F526="Đã cập nhật",G526="Có",H526&lt;&gt;"",ISNUMBER(I526),J526&lt;&gt;""),"Hoàn tất","Chưa hoàn tất"))</x:f>
        <x:v>Không áp dụng có lý do</x:v>
      </x:c>
    </x:row>
    <x:row r="527">
      <x:c r="A527" s="8" t="inlineStr">
        <x:is>
          <x:t xml:space="preserve">CHG-B01-04</x:t>
        </x:is>
      </x:c>
      <x:c r="B527" s="8" t="inlineStr">
        <x:is>
          <x:t xml:space="preserve">B01-04</x:t>
        </x:is>
      </x:c>
      <x:c r="C527" s="8" t="inlineStr">
        <x:is>
          <x:t xml:space="preserve">F01</x:t>
        </x:is>
      </x:c>
      <x:c r="D527" s="8" t="inlineStr">
        <x:is>
          <x:t xml:space="preserve">DOC-007</x:t>
        </x:is>
      </x:c>
      <x:c r="E527" s="8" t="inlineStr">
        <x:is>
          <x:t xml:space="preserve">Bổ sung Me.version và tiêu chí sửa tên an toàn</x:t>
        </x:is>
      </x:c>
      <x:c r="F527" s="8" t="inlineStr">
        <x:is>
          <x:t xml:space="preserve">Không áp dụng</x:t>
        </x:is>
      </x:c>
      <x:c r="G527" s="8" t="inlineStr">
        <x:is>
          <x:t xml:space="preserve">Có</x:t>
        </x:is>
      </x:c>
      <x:c r="H527" s="8" t="inlineStr">
        <x:is>
          <x:t xml:space="preserve">Codex</x:t>
        </x:is>
      </x:c>
      <x:c r="I527" s="27" t="n">
        <x:v>46301</x:v>
      </x:c>
      <x:c r="J527" s="8" t="inlineStr">
        <x:is>
          <x:t xml:space="preserve">Đã tra Anh huong, API/data, account-batch và các nguồn liên quan; phạm vi tại báo cáo B01-04.</x:t>
        </x:is>
      </x:c>
      <x:c r="K527"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27" t="str">
        <x:f>IF(F527="Không áp dụng",IF(AND(K527&lt;&gt;"",H527&lt;&gt;""),"Không áp dụng có lý do","Thiếu lý do/người kiểm"),IF(AND(B527&lt;&gt;"",D527&lt;&gt;"",F527="Đã cập nhật",G527="Có",H527&lt;&gt;"",ISNUMBER(I527),J527&lt;&gt;""),"Hoàn tất","Chưa hoàn tất"))</x:f>
        <x:v>Không áp dụng có lý do</x:v>
      </x:c>
    </x:row>
    <x:row r="528">
      <x:c r="A528" s="8" t="inlineStr">
        <x:is>
          <x:t xml:space="preserve">CHG-B01-04</x:t>
        </x:is>
      </x:c>
      <x:c r="B528" s="8" t="inlineStr">
        <x:is>
          <x:t xml:space="preserve">B01-04</x:t>
        </x:is>
      </x:c>
      <x:c r="C528" s="8" t="inlineStr">
        <x:is>
          <x:t xml:space="preserve">F01</x:t>
        </x:is>
      </x:c>
      <x:c r="D528" s="8" t="inlineStr">
        <x:is>
          <x:t xml:space="preserve">DOC-008</x:t>
        </x:is>
      </x:c>
      <x:c r="E528" s="8" t="inlineStr">
        <x:is>
          <x:t xml:space="preserve">Bổ sung Me.version và tiêu chí sửa tên an toàn</x:t>
        </x:is>
      </x:c>
      <x:c r="F528" s="8" t="inlineStr">
        <x:is>
          <x:t xml:space="preserve">Không áp dụng</x:t>
        </x:is>
      </x:c>
      <x:c r="G528" s="8" t="inlineStr">
        <x:is>
          <x:t xml:space="preserve">Có</x:t>
        </x:is>
      </x:c>
      <x:c r="H528" s="8" t="inlineStr">
        <x:is>
          <x:t xml:space="preserve">Codex</x:t>
        </x:is>
      </x:c>
      <x:c r="I528" s="27" t="n">
        <x:v>46301</x:v>
      </x:c>
      <x:c r="J528" s="8" t="inlineStr">
        <x:is>
          <x:t xml:space="preserve">Đã tra Anh huong, API/data, account-batch và các nguồn liên quan; phạm vi tại báo cáo B01-04.</x:t>
        </x:is>
      </x:c>
      <x:c r="K528"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28" t="str">
        <x:f>IF(F528="Không áp dụng",IF(AND(K528&lt;&gt;"",H528&lt;&gt;""),"Không áp dụng có lý do","Thiếu lý do/người kiểm"),IF(AND(B528&lt;&gt;"",D528&lt;&gt;"",F528="Đã cập nhật",G528="Có",H528&lt;&gt;"",ISNUMBER(I528),J528&lt;&gt;""),"Hoàn tất","Chưa hoàn tất"))</x:f>
        <x:v>Không áp dụng có lý do</x:v>
      </x:c>
    </x:row>
    <x:row r="529">
      <x:c r="A529" s="8" t="inlineStr">
        <x:is>
          <x:t xml:space="preserve">CHG-B01-04</x:t>
        </x:is>
      </x:c>
      <x:c r="B529" s="8" t="inlineStr">
        <x:is>
          <x:t xml:space="preserve">B01-04</x:t>
        </x:is>
      </x:c>
      <x:c r="C529" s="8" t="inlineStr">
        <x:is>
          <x:t xml:space="preserve">F01</x:t>
        </x:is>
      </x:c>
      <x:c r="D529" s="8" t="inlineStr">
        <x:is>
          <x:t xml:space="preserve">DOC-012</x:t>
        </x:is>
      </x:c>
      <x:c r="E529" s="8" t="inlineStr">
        <x:is>
          <x:t xml:space="preserve">Bổ sung Me.version và tiêu chí sửa tên an toàn</x:t>
        </x:is>
      </x:c>
      <x:c r="F529" s="8" t="inlineStr">
        <x:is>
          <x:t xml:space="preserve">Không áp dụng</x:t>
        </x:is>
      </x:c>
      <x:c r="G529" s="8" t="inlineStr">
        <x:is>
          <x:t xml:space="preserve">Có</x:t>
        </x:is>
      </x:c>
      <x:c r="H529" s="8" t="inlineStr">
        <x:is>
          <x:t xml:space="preserve">Codex</x:t>
        </x:is>
      </x:c>
      <x:c r="I529" s="27" t="n">
        <x:v>46301</x:v>
      </x:c>
      <x:c r="J529" s="8" t="inlineStr">
        <x:is>
          <x:t xml:space="preserve">Đã tra Anh huong, API/data, account-batch và các nguồn liên quan; phạm vi tại báo cáo B01-04.</x:t>
        </x:is>
      </x:c>
      <x:c r="K529"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29" t="str">
        <x:f>IF(F529="Không áp dụng",IF(AND(K529&lt;&gt;"",H529&lt;&gt;""),"Không áp dụng có lý do","Thiếu lý do/người kiểm"),IF(AND(B529&lt;&gt;"",D529&lt;&gt;"",F529="Đã cập nhật",G529="Có",H529&lt;&gt;"",ISNUMBER(I529),J529&lt;&gt;""),"Hoàn tất","Chưa hoàn tất"))</x:f>
        <x:v>Không áp dụng có lý do</x:v>
      </x:c>
    </x:row>
    <x:row r="530">
      <x:c r="A530" s="8" t="inlineStr">
        <x:is>
          <x:t xml:space="preserve">CHG-B01-04</x:t>
        </x:is>
      </x:c>
      <x:c r="B530" s="8" t="inlineStr">
        <x:is>
          <x:t xml:space="preserve">B01-04</x:t>
        </x:is>
      </x:c>
      <x:c r="C530" s="8" t="inlineStr">
        <x:is>
          <x:t xml:space="preserve">F01</x:t>
        </x:is>
      </x:c>
      <x:c r="D530" s="8" t="inlineStr">
        <x:is>
          <x:t xml:space="preserve">DOC-013</x:t>
        </x:is>
      </x:c>
      <x:c r="E530" s="8" t="inlineStr">
        <x:is>
          <x:t xml:space="preserve">Bổ sung Me.version và tiêu chí sửa tên an toàn</x:t>
        </x:is>
      </x:c>
      <x:c r="F530" s="8" t="inlineStr">
        <x:is>
          <x:t xml:space="preserve">Không áp dụng</x:t>
        </x:is>
      </x:c>
      <x:c r="G530" s="8" t="inlineStr">
        <x:is>
          <x:t xml:space="preserve">Có</x:t>
        </x:is>
      </x:c>
      <x:c r="H530" s="8" t="inlineStr">
        <x:is>
          <x:t xml:space="preserve">Codex</x:t>
        </x:is>
      </x:c>
      <x:c r="I530" s="27" t="n">
        <x:v>46301</x:v>
      </x:c>
      <x:c r="J530" s="8" t="inlineStr">
        <x:is>
          <x:t xml:space="preserve">Đã tra Anh huong, API/data, account-batch và các nguồn liên quan; phạm vi tại báo cáo B01-04.</x:t>
        </x:is>
      </x:c>
      <x:c r="K530"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30" t="str">
        <x:f>IF(F530="Không áp dụng",IF(AND(K530&lt;&gt;"",H530&lt;&gt;""),"Không áp dụng có lý do","Thiếu lý do/người kiểm"),IF(AND(B530&lt;&gt;"",D530&lt;&gt;"",F530="Đã cập nhật",G530="Có",H530&lt;&gt;"",ISNUMBER(I530),J530&lt;&gt;""),"Hoàn tất","Chưa hoàn tất"))</x:f>
        <x:v>Không áp dụng có lý do</x:v>
      </x:c>
    </x:row>
    <x:row r="531">
      <x:c r="A531" s="8" t="inlineStr">
        <x:is>
          <x:t xml:space="preserve">CHG-B01-04</x:t>
        </x:is>
      </x:c>
      <x:c r="B531" s="8" t="inlineStr">
        <x:is>
          <x:t xml:space="preserve">B01-04</x:t>
        </x:is>
      </x:c>
      <x:c r="C531" s="8" t="inlineStr">
        <x:is>
          <x:t xml:space="preserve">F01</x:t>
        </x:is>
      </x:c>
      <x:c r="D531" s="8" t="inlineStr">
        <x:is>
          <x:t xml:space="preserve">DOC-015</x:t>
        </x:is>
      </x:c>
      <x:c r="E531" s="8" t="inlineStr">
        <x:is>
          <x:t xml:space="preserve">Bổ sung Me.version và tiêu chí sửa tên an toàn</x:t>
        </x:is>
      </x:c>
      <x:c r="F531" s="8" t="inlineStr">
        <x:is>
          <x:t xml:space="preserve">Không áp dụng</x:t>
        </x:is>
      </x:c>
      <x:c r="G531" s="8" t="inlineStr">
        <x:is>
          <x:t xml:space="preserve">Có</x:t>
        </x:is>
      </x:c>
      <x:c r="H531" s="8" t="inlineStr">
        <x:is>
          <x:t xml:space="preserve">Codex</x:t>
        </x:is>
      </x:c>
      <x:c r="I531" s="27" t="n">
        <x:v>46301</x:v>
      </x:c>
      <x:c r="J531" s="8" t="inlineStr">
        <x:is>
          <x:t xml:space="preserve">Đã tra Anh huong, API/data, account-batch và các nguồn liên quan; phạm vi tại báo cáo B01-04.</x:t>
        </x:is>
      </x:c>
      <x:c r="K531"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31" t="str">
        <x:f>IF(F531="Không áp dụng",IF(AND(K531&lt;&gt;"",H531&lt;&gt;""),"Không áp dụng có lý do","Thiếu lý do/người kiểm"),IF(AND(B531&lt;&gt;"",D531&lt;&gt;"",F531="Đã cập nhật",G531="Có",H531&lt;&gt;"",ISNUMBER(I531),J531&lt;&gt;""),"Hoàn tất","Chưa hoàn tất"))</x:f>
        <x:v>Không áp dụng có lý do</x:v>
      </x:c>
    </x:row>
    <x:row r="532">
      <x:c r="A532" s="8" t="inlineStr">
        <x:is>
          <x:t xml:space="preserve">CHG-B01-04</x:t>
        </x:is>
      </x:c>
      <x:c r="B532" s="8" t="inlineStr">
        <x:is>
          <x:t xml:space="preserve">B01-04</x:t>
        </x:is>
      </x:c>
      <x:c r="C532" s="8" t="inlineStr">
        <x:is>
          <x:t xml:space="preserve">F01</x:t>
        </x:is>
      </x:c>
      <x:c r="D532" s="8" t="inlineStr">
        <x:is>
          <x:t xml:space="preserve">DOC-016</x:t>
        </x:is>
      </x:c>
      <x:c r="E532" s="8" t="inlineStr">
        <x:is>
          <x:t xml:space="preserve">Bổ sung Me.version và tiêu chí sửa tên an toàn</x:t>
        </x:is>
      </x:c>
      <x:c r="F532" s="8" t="inlineStr">
        <x:is>
          <x:t xml:space="preserve">Không áp dụng</x:t>
        </x:is>
      </x:c>
      <x:c r="G532" s="8" t="inlineStr">
        <x:is>
          <x:t xml:space="preserve">Có</x:t>
        </x:is>
      </x:c>
      <x:c r="H532" s="8" t="inlineStr">
        <x:is>
          <x:t xml:space="preserve">Codex</x:t>
        </x:is>
      </x:c>
      <x:c r="I532" s="27" t="n">
        <x:v>46301</x:v>
      </x:c>
      <x:c r="J532" s="8" t="inlineStr">
        <x:is>
          <x:t xml:space="preserve">Đã tra Anh huong, API/data, account-batch và các nguồn liên quan; phạm vi tại báo cáo B01-04.</x:t>
        </x:is>
      </x:c>
      <x:c r="K532"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32" t="str">
        <x:f>IF(F532="Không áp dụng",IF(AND(K532&lt;&gt;"",H532&lt;&gt;""),"Không áp dụng có lý do","Thiếu lý do/người kiểm"),IF(AND(B532&lt;&gt;"",D532&lt;&gt;"",F532="Đã cập nhật",G532="Có",H532&lt;&gt;"",ISNUMBER(I532),J532&lt;&gt;""),"Hoàn tất","Chưa hoàn tất"))</x:f>
        <x:v>Không áp dụng có lý do</x:v>
      </x:c>
    </x:row>
    <x:row r="533">
      <x:c r="A533" s="8" t="inlineStr">
        <x:is>
          <x:t xml:space="preserve">CHG-B01-04</x:t>
        </x:is>
      </x:c>
      <x:c r="B533" s="8" t="inlineStr">
        <x:is>
          <x:t xml:space="preserve">B01-04</x:t>
        </x:is>
      </x:c>
      <x:c r="C533" s="8" t="inlineStr">
        <x:is>
          <x:t xml:space="preserve">F01</x:t>
        </x:is>
      </x:c>
      <x:c r="D533" s="8" t="inlineStr">
        <x:is>
          <x:t xml:space="preserve">DOC-017</x:t>
        </x:is>
      </x:c>
      <x:c r="E533" s="8" t="inlineStr">
        <x:is>
          <x:t xml:space="preserve">Bổ sung Me.version và tiêu chí sửa tên an toàn</x:t>
        </x:is>
      </x:c>
      <x:c r="F533" s="8" t="inlineStr">
        <x:is>
          <x:t xml:space="preserve">Không áp dụng</x:t>
        </x:is>
      </x:c>
      <x:c r="G533" s="8" t="inlineStr">
        <x:is>
          <x:t xml:space="preserve">Có</x:t>
        </x:is>
      </x:c>
      <x:c r="H533" s="8" t="inlineStr">
        <x:is>
          <x:t xml:space="preserve">Codex</x:t>
        </x:is>
      </x:c>
      <x:c r="I533" s="27" t="n">
        <x:v>46301</x:v>
      </x:c>
      <x:c r="J533" s="8" t="inlineStr">
        <x:is>
          <x:t xml:space="preserve">Đã tra Anh huong, API/data, account-batch và các nguồn liên quan; phạm vi tại báo cáo B01-04.</x:t>
        </x:is>
      </x:c>
      <x:c r="K533"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33" t="str">
        <x:f>IF(F533="Không áp dụng",IF(AND(K533&lt;&gt;"",H533&lt;&gt;""),"Không áp dụng có lý do","Thiếu lý do/người kiểm"),IF(AND(B533&lt;&gt;"",D533&lt;&gt;"",F533="Đã cập nhật",G533="Có",H533&lt;&gt;"",ISNUMBER(I533),J533&lt;&gt;""),"Hoàn tất","Chưa hoàn tất"))</x:f>
        <x:v>Không áp dụng có lý do</x:v>
      </x:c>
    </x:row>
    <x:row r="534">
      <x:c r="A534" s="8" t="inlineStr">
        <x:is>
          <x:t xml:space="preserve">CHG-B01-04</x:t>
        </x:is>
      </x:c>
      <x:c r="B534" s="8" t="inlineStr">
        <x:is>
          <x:t xml:space="preserve">B01-04</x:t>
        </x:is>
      </x:c>
      <x:c r="C534" s="8" t="inlineStr">
        <x:is>
          <x:t xml:space="preserve">F01</x:t>
        </x:is>
      </x:c>
      <x:c r="D534" s="8" t="inlineStr">
        <x:is>
          <x:t xml:space="preserve">DOC-018</x:t>
        </x:is>
      </x:c>
      <x:c r="E534" s="8" t="inlineStr">
        <x:is>
          <x:t xml:space="preserve">Bổ sung Me.version và tiêu chí sửa tên an toàn</x:t>
        </x:is>
      </x:c>
      <x:c r="F534" s="8" t="inlineStr">
        <x:is>
          <x:t xml:space="preserve">Không áp dụng</x:t>
        </x:is>
      </x:c>
      <x:c r="G534" s="8" t="inlineStr">
        <x:is>
          <x:t xml:space="preserve">Có</x:t>
        </x:is>
      </x:c>
      <x:c r="H534" s="8" t="inlineStr">
        <x:is>
          <x:t xml:space="preserve">Codex</x:t>
        </x:is>
      </x:c>
      <x:c r="I534" s="27" t="n">
        <x:v>46301</x:v>
      </x:c>
      <x:c r="J534" s="8" t="inlineStr">
        <x:is>
          <x:t xml:space="preserve">Đã tra Anh huong, API/data, account-batch và các nguồn liên quan; phạm vi tại báo cáo B01-04.</x:t>
        </x:is>
      </x:c>
      <x:c r="K534"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34" t="str">
        <x:f>IF(F534="Không áp dụng",IF(AND(K534&lt;&gt;"",H534&lt;&gt;""),"Không áp dụng có lý do","Thiếu lý do/người kiểm"),IF(AND(B534&lt;&gt;"",D534&lt;&gt;"",F534="Đã cập nhật",G534="Có",H534&lt;&gt;"",ISNUMBER(I534),J534&lt;&gt;""),"Hoàn tất","Chưa hoàn tất"))</x:f>
        <x:v>Không áp dụng có lý do</x:v>
      </x:c>
    </x:row>
    <x:row r="535">
      <x:c r="A535" s="8" t="inlineStr">
        <x:is>
          <x:t xml:space="preserve">CHG-B01-04</x:t>
        </x:is>
      </x:c>
      <x:c r="B535" s="8" t="inlineStr">
        <x:is>
          <x:t xml:space="preserve">B01-04</x:t>
        </x:is>
      </x:c>
      <x:c r="C535" s="8" t="inlineStr">
        <x:is>
          <x:t xml:space="preserve">F01</x:t>
        </x:is>
      </x:c>
      <x:c r="D535" s="8" t="inlineStr">
        <x:is>
          <x:t xml:space="preserve">DOC-025</x:t>
        </x:is>
      </x:c>
      <x:c r="E535" s="8" t="inlineStr">
        <x:is>
          <x:t xml:space="preserve">Bổ sung Me.version và tiêu chí sửa tên an toàn</x:t>
        </x:is>
      </x:c>
      <x:c r="F535" s="8" t="inlineStr">
        <x:is>
          <x:t xml:space="preserve">Không áp dụng</x:t>
        </x:is>
      </x:c>
      <x:c r="G535" s="8" t="inlineStr">
        <x:is>
          <x:t xml:space="preserve">Có</x:t>
        </x:is>
      </x:c>
      <x:c r="H535" s="8" t="inlineStr">
        <x:is>
          <x:t xml:space="preserve">Codex</x:t>
        </x:is>
      </x:c>
      <x:c r="I535" s="27" t="n">
        <x:v>46301</x:v>
      </x:c>
      <x:c r="J535" s="8" t="inlineStr">
        <x:is>
          <x:t xml:space="preserve">Đã tra Anh huong, API/data, account-batch và các nguồn liên quan; phạm vi tại báo cáo B01-04.</x:t>
        </x:is>
      </x:c>
      <x:c r="K535"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35" t="str">
        <x:f>IF(F535="Không áp dụng",IF(AND(K535&lt;&gt;"",H535&lt;&gt;""),"Không áp dụng có lý do","Thiếu lý do/người kiểm"),IF(AND(B535&lt;&gt;"",D535&lt;&gt;"",F535="Đã cập nhật",G535="Có",H535&lt;&gt;"",ISNUMBER(I535),J535&lt;&gt;""),"Hoàn tất","Chưa hoàn tất"))</x:f>
        <x:v>Không áp dụng có lý do</x:v>
      </x:c>
    </x:row>
    <x:row r="536">
      <x:c r="A536" s="8" t="inlineStr">
        <x:is>
          <x:t xml:space="preserve">CHG-B01-04</x:t>
        </x:is>
      </x:c>
      <x:c r="B536" s="8" t="inlineStr">
        <x:is>
          <x:t xml:space="preserve">B01-04</x:t>
        </x:is>
      </x:c>
      <x:c r="C536" s="8" t="inlineStr">
        <x:is>
          <x:t xml:space="preserve">F01</x:t>
        </x:is>
      </x:c>
      <x:c r="D536" s="8" t="inlineStr">
        <x:is>
          <x:t xml:space="preserve">DOC-026</x:t>
        </x:is>
      </x:c>
      <x:c r="E536" s="8" t="inlineStr">
        <x:is>
          <x:t xml:space="preserve">Bổ sung Me.version và tiêu chí sửa tên an toàn</x:t>
        </x:is>
      </x:c>
      <x:c r="F536" s="8" t="inlineStr">
        <x:is>
          <x:t xml:space="preserve">Không áp dụng</x:t>
        </x:is>
      </x:c>
      <x:c r="G536" s="8" t="inlineStr">
        <x:is>
          <x:t xml:space="preserve">Có</x:t>
        </x:is>
      </x:c>
      <x:c r="H536" s="8" t="inlineStr">
        <x:is>
          <x:t xml:space="preserve">Codex</x:t>
        </x:is>
      </x:c>
      <x:c r="I536" s="27" t="n">
        <x:v>46301</x:v>
      </x:c>
      <x:c r="J536" s="8" t="inlineStr">
        <x:is>
          <x:t xml:space="preserve">Đã tra Anh huong, API/data, account-batch và các nguồn liên quan; phạm vi tại báo cáo B01-04.</x:t>
        </x:is>
      </x:c>
      <x:c r="K536"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36" t="str">
        <x:f>IF(F536="Không áp dụng",IF(AND(K536&lt;&gt;"",H536&lt;&gt;""),"Không áp dụng có lý do","Thiếu lý do/người kiểm"),IF(AND(B536&lt;&gt;"",D536&lt;&gt;"",F536="Đã cập nhật",G536="Có",H536&lt;&gt;"",ISNUMBER(I536),J536&lt;&gt;""),"Hoàn tất","Chưa hoàn tất"))</x:f>
        <x:v>Không áp dụng có lý do</x:v>
      </x:c>
    </x:row>
    <x:row r="537">
      <x:c r="A537" s="8" t="inlineStr">
        <x:is>
          <x:t xml:space="preserve">CHG-B01-04</x:t>
        </x:is>
      </x:c>
      <x:c r="B537" s="8" t="inlineStr">
        <x:is>
          <x:t xml:space="preserve">B01-04</x:t>
        </x:is>
      </x:c>
      <x:c r="C537" s="8" t="inlineStr">
        <x:is>
          <x:t xml:space="preserve">F01</x:t>
        </x:is>
      </x:c>
      <x:c r="D537" s="8" t="inlineStr">
        <x:is>
          <x:t xml:space="preserve">DOC-027</x:t>
        </x:is>
      </x:c>
      <x:c r="E537" s="8" t="inlineStr">
        <x:is>
          <x:t xml:space="preserve">Bổ sung Me.version và tiêu chí sửa tên an toàn</x:t>
        </x:is>
      </x:c>
      <x:c r="F537" s="8" t="inlineStr">
        <x:is>
          <x:t xml:space="preserve">Không áp dụng</x:t>
        </x:is>
      </x:c>
      <x:c r="G537" s="8" t="inlineStr">
        <x:is>
          <x:t xml:space="preserve">Có</x:t>
        </x:is>
      </x:c>
      <x:c r="H537" s="8" t="inlineStr">
        <x:is>
          <x:t xml:space="preserve">Codex</x:t>
        </x:is>
      </x:c>
      <x:c r="I537" s="27" t="n">
        <x:v>46301</x:v>
      </x:c>
      <x:c r="J537" s="8" t="inlineStr">
        <x:is>
          <x:t xml:space="preserve">Đã tra Anh huong, API/data, account-batch và các nguồn liên quan; phạm vi tại báo cáo B01-04.</x:t>
        </x:is>
      </x:c>
      <x:c r="K537"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37" t="str">
        <x:f>IF(F537="Không áp dụng",IF(AND(K537&lt;&gt;"",H537&lt;&gt;""),"Không áp dụng có lý do","Thiếu lý do/người kiểm"),IF(AND(B537&lt;&gt;"",D537&lt;&gt;"",F537="Đã cập nhật",G537="Có",H537&lt;&gt;"",ISNUMBER(I537),J537&lt;&gt;""),"Hoàn tất","Chưa hoàn tất"))</x:f>
        <x:v>Không áp dụng có lý do</x:v>
      </x:c>
    </x:row>
    <x:row r="538">
      <x:c r="A538" s="8" t="inlineStr">
        <x:is>
          <x:t xml:space="preserve">CHG-B01-04</x:t>
        </x:is>
      </x:c>
      <x:c r="B538" s="8" t="inlineStr">
        <x:is>
          <x:t xml:space="preserve">B01-04</x:t>
        </x:is>
      </x:c>
      <x:c r="C538" s="8" t="inlineStr">
        <x:is>
          <x:t xml:space="preserve">F01</x:t>
        </x:is>
      </x:c>
      <x:c r="D538" s="8" t="inlineStr">
        <x:is>
          <x:t xml:space="preserve">DOC-028</x:t>
        </x:is>
      </x:c>
      <x:c r="E538" s="8" t="inlineStr">
        <x:is>
          <x:t xml:space="preserve">Bổ sung Me.version và tiêu chí sửa tên an toàn</x:t>
        </x:is>
      </x:c>
      <x:c r="F538" s="8" t="inlineStr">
        <x:is>
          <x:t xml:space="preserve">Không áp dụng</x:t>
        </x:is>
      </x:c>
      <x:c r="G538" s="8" t="inlineStr">
        <x:is>
          <x:t xml:space="preserve">Có</x:t>
        </x:is>
      </x:c>
      <x:c r="H538" s="8" t="inlineStr">
        <x:is>
          <x:t xml:space="preserve">Codex</x:t>
        </x:is>
      </x:c>
      <x:c r="I538" s="27" t="n">
        <x:v>46301</x:v>
      </x:c>
      <x:c r="J538" s="8" t="inlineStr">
        <x:is>
          <x:t xml:space="preserve">Đã tra Anh huong, API/data, account-batch và các nguồn liên quan; phạm vi tại báo cáo B01-04.</x:t>
        </x:is>
      </x:c>
      <x:c r="K538"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38" t="str">
        <x:f>IF(F538="Không áp dụng",IF(AND(K538&lt;&gt;"",H538&lt;&gt;""),"Không áp dụng có lý do","Thiếu lý do/người kiểm"),IF(AND(B538&lt;&gt;"",D538&lt;&gt;"",F538="Đã cập nhật",G538="Có",H538&lt;&gt;"",ISNUMBER(I538),J538&lt;&gt;""),"Hoàn tất","Chưa hoàn tất"))</x:f>
        <x:v>Không áp dụng có lý do</x:v>
      </x:c>
    </x:row>
    <x:row r="539">
      <x:c r="A539" s="8" t="inlineStr">
        <x:is>
          <x:t xml:space="preserve">CHG-B01-04</x:t>
        </x:is>
      </x:c>
      <x:c r="B539" s="8" t="inlineStr">
        <x:is>
          <x:t xml:space="preserve">B01-04</x:t>
        </x:is>
      </x:c>
      <x:c r="C539" s="8" t="inlineStr">
        <x:is>
          <x:t xml:space="preserve">F01</x:t>
        </x:is>
      </x:c>
      <x:c r="D539" s="8" t="inlineStr">
        <x:is>
          <x:t xml:space="preserve">DOC-029</x:t>
        </x:is>
      </x:c>
      <x:c r="E539" s="8" t="inlineStr">
        <x:is>
          <x:t xml:space="preserve">Bổ sung Me.version và tiêu chí sửa tên an toàn</x:t>
        </x:is>
      </x:c>
      <x:c r="F539" s="8" t="inlineStr">
        <x:is>
          <x:t xml:space="preserve">Không áp dụng</x:t>
        </x:is>
      </x:c>
      <x:c r="G539" s="8" t="inlineStr">
        <x:is>
          <x:t xml:space="preserve">Có</x:t>
        </x:is>
      </x:c>
      <x:c r="H539" s="8" t="inlineStr">
        <x:is>
          <x:t xml:space="preserve">Codex</x:t>
        </x:is>
      </x:c>
      <x:c r="I539" s="27" t="n">
        <x:v>46301</x:v>
      </x:c>
      <x:c r="J539" s="8" t="inlineStr">
        <x:is>
          <x:t xml:space="preserve">Đã tra Anh huong, API/data, account-batch và các nguồn liên quan; phạm vi tại báo cáo B01-04.</x:t>
        </x:is>
      </x:c>
      <x:c r="K539"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39" t="str">
        <x:f>IF(F539="Không áp dụng",IF(AND(K539&lt;&gt;"",H539&lt;&gt;""),"Không áp dụng có lý do","Thiếu lý do/người kiểm"),IF(AND(B539&lt;&gt;"",D539&lt;&gt;"",F539="Đã cập nhật",G539="Có",H539&lt;&gt;"",ISNUMBER(I539),J539&lt;&gt;""),"Hoàn tất","Chưa hoàn tất"))</x:f>
        <x:v>Không áp dụng có lý do</x:v>
      </x:c>
    </x:row>
    <x:row r="540">
      <x:c r="A540" s="8" t="inlineStr">
        <x:is>
          <x:t xml:space="preserve">CHG-B01-04</x:t>
        </x:is>
      </x:c>
      <x:c r="B540" s="8" t="inlineStr">
        <x:is>
          <x:t xml:space="preserve">B01-04</x:t>
        </x:is>
      </x:c>
      <x:c r="C540" s="8" t="inlineStr">
        <x:is>
          <x:t xml:space="preserve">F01</x:t>
        </x:is>
      </x:c>
      <x:c r="D540" s="8" t="inlineStr">
        <x:is>
          <x:t xml:space="preserve">DOC-030</x:t>
        </x:is>
      </x:c>
      <x:c r="E540" s="8" t="inlineStr">
        <x:is>
          <x:t xml:space="preserve">Bổ sung Me.version và tiêu chí sửa tên an toàn</x:t>
        </x:is>
      </x:c>
      <x:c r="F540" s="8" t="inlineStr">
        <x:is>
          <x:t xml:space="preserve">Không áp dụng</x:t>
        </x:is>
      </x:c>
      <x:c r="G540" s="8" t="inlineStr">
        <x:is>
          <x:t xml:space="preserve">Có</x:t>
        </x:is>
      </x:c>
      <x:c r="H540" s="8" t="inlineStr">
        <x:is>
          <x:t xml:space="preserve">Codex</x:t>
        </x:is>
      </x:c>
      <x:c r="I540" s="27" t="n">
        <x:v>46301</x:v>
      </x:c>
      <x:c r="J540" s="8" t="inlineStr">
        <x:is>
          <x:t xml:space="preserve">Đã tra Anh huong, API/data, account-batch và các nguồn liên quan; phạm vi tại báo cáo B01-04.</x:t>
        </x:is>
      </x:c>
      <x:c r="K540"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40" t="str">
        <x:f>IF(F540="Không áp dụng",IF(AND(K540&lt;&gt;"",H540&lt;&gt;""),"Không áp dụng có lý do","Thiếu lý do/người kiểm"),IF(AND(B540&lt;&gt;"",D540&lt;&gt;"",F540="Đã cập nhật",G540="Có",H540&lt;&gt;"",ISNUMBER(I540),J540&lt;&gt;""),"Hoàn tất","Chưa hoàn tất"))</x:f>
        <x:v>Không áp dụng có lý do</x:v>
      </x:c>
    </x:row>
    <x:row r="541">
      <x:c r="A541" s="8" t="inlineStr">
        <x:is>
          <x:t xml:space="preserve">CHG-B01-04</x:t>
        </x:is>
      </x:c>
      <x:c r="B541" s="8" t="inlineStr">
        <x:is>
          <x:t xml:space="preserve">B01-04</x:t>
        </x:is>
      </x:c>
      <x:c r="C541" s="8" t="inlineStr">
        <x:is>
          <x:t xml:space="preserve">F01</x:t>
        </x:is>
      </x:c>
      <x:c r="D541" s="8" t="inlineStr">
        <x:is>
          <x:t xml:space="preserve">DOC-031</x:t>
        </x:is>
      </x:c>
      <x:c r="E541" s="8" t="inlineStr">
        <x:is>
          <x:t xml:space="preserve">Bổ sung Me.version và tiêu chí sửa tên an toàn</x:t>
        </x:is>
      </x:c>
      <x:c r="F541" s="8" t="inlineStr">
        <x:is>
          <x:t xml:space="preserve">Không áp dụng</x:t>
        </x:is>
      </x:c>
      <x:c r="G541" s="8" t="inlineStr">
        <x:is>
          <x:t xml:space="preserve">Có</x:t>
        </x:is>
      </x:c>
      <x:c r="H541" s="8" t="inlineStr">
        <x:is>
          <x:t xml:space="preserve">Codex</x:t>
        </x:is>
      </x:c>
      <x:c r="I541" s="27" t="n">
        <x:v>46301</x:v>
      </x:c>
      <x:c r="J541" s="8" t="inlineStr">
        <x:is>
          <x:t xml:space="preserve">Đã tra Anh huong, API/data, account-batch và các nguồn liên quan; phạm vi tại báo cáo B01-04.</x:t>
        </x:is>
      </x:c>
      <x:c r="K541"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41" t="str">
        <x:f>IF(F541="Không áp dụng",IF(AND(K541&lt;&gt;"",H541&lt;&gt;""),"Không áp dụng có lý do","Thiếu lý do/người kiểm"),IF(AND(B541&lt;&gt;"",D541&lt;&gt;"",F541="Đã cập nhật",G541="Có",H541&lt;&gt;"",ISNUMBER(I541),J541&lt;&gt;""),"Hoàn tất","Chưa hoàn tất"))</x:f>
        <x:v>Không áp dụng có lý do</x:v>
      </x:c>
    </x:row>
    <x:row r="542">
      <x:c r="A542" s="8" t="inlineStr">
        <x:is>
          <x:t xml:space="preserve">CHG-B01-04</x:t>
        </x:is>
      </x:c>
      <x:c r="B542" s="8" t="inlineStr">
        <x:is>
          <x:t xml:space="preserve">B01-04</x:t>
        </x:is>
      </x:c>
      <x:c r="C542" s="8" t="inlineStr">
        <x:is>
          <x:t xml:space="preserve">F01</x:t>
        </x:is>
      </x:c>
      <x:c r="D542" s="8" t="inlineStr">
        <x:is>
          <x:t xml:space="preserve">DOC-033</x:t>
        </x:is>
      </x:c>
      <x:c r="E542" s="8" t="inlineStr">
        <x:is>
          <x:t xml:space="preserve">Bổ sung Me.version và tiêu chí sửa tên an toàn</x:t>
        </x:is>
      </x:c>
      <x:c r="F542" s="8" t="inlineStr">
        <x:is>
          <x:t xml:space="preserve">Không áp dụng</x:t>
        </x:is>
      </x:c>
      <x:c r="G542" s="8" t="inlineStr">
        <x:is>
          <x:t xml:space="preserve">Có</x:t>
        </x:is>
      </x:c>
      <x:c r="H542" s="8" t="inlineStr">
        <x:is>
          <x:t xml:space="preserve">Codex</x:t>
        </x:is>
      </x:c>
      <x:c r="I542" s="27" t="n">
        <x:v>46301</x:v>
      </x:c>
      <x:c r="J542" s="8" t="inlineStr">
        <x:is>
          <x:t xml:space="preserve">Đã tra Anh huong, API/data, account-batch và các nguồn liên quan; phạm vi tại báo cáo B01-04.</x:t>
        </x:is>
      </x:c>
      <x:c r="K542"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42" t="str">
        <x:f>IF(F542="Không áp dụng",IF(AND(K542&lt;&gt;"",H542&lt;&gt;""),"Không áp dụng có lý do","Thiếu lý do/người kiểm"),IF(AND(B542&lt;&gt;"",D542&lt;&gt;"",F542="Đã cập nhật",G542="Có",H542&lt;&gt;"",ISNUMBER(I542),J542&lt;&gt;""),"Hoàn tất","Chưa hoàn tất"))</x:f>
        <x:v>Không áp dụng có lý do</x:v>
      </x:c>
    </x:row>
    <x:row r="543">
      <x:c r="A543" s="8" t="inlineStr">
        <x:is>
          <x:t xml:space="preserve">CHG-B01-04</x:t>
        </x:is>
      </x:c>
      <x:c r="B543" s="8" t="inlineStr">
        <x:is>
          <x:t xml:space="preserve">B01-04</x:t>
        </x:is>
      </x:c>
      <x:c r="C543" s="8" t="inlineStr">
        <x:is>
          <x:t xml:space="preserve">F01</x:t>
        </x:is>
      </x:c>
      <x:c r="D543" s="8" t="inlineStr">
        <x:is>
          <x:t xml:space="preserve">DOC-037</x:t>
        </x:is>
      </x:c>
      <x:c r="E543" s="8" t="inlineStr">
        <x:is>
          <x:t xml:space="preserve">Bổ sung Me.version và tiêu chí sửa tên an toàn</x:t>
        </x:is>
      </x:c>
      <x:c r="F543" s="8" t="inlineStr">
        <x:is>
          <x:t xml:space="preserve">Đã cập nhật</x:t>
        </x:is>
      </x:c>
      <x:c r="G543" s="8" t="inlineStr">
        <x:is>
          <x:t xml:space="preserve">Có</x:t>
        </x:is>
      </x:c>
      <x:c r="H543" s="8" t="inlineStr">
        <x:is>
          <x:t xml:space="preserve">Codex</x:t>
        </x:is>
      </x:c>
      <x:c r="I543" s="27" t="n">
        <x:v>46301</x:v>
      </x:c>
      <x:c r="J543" s="8" t="inlineStr">
        <x:is>
          <x:t xml:space="preserve">B01-04 v0.1.4: Me.version bắt buộc &gt;=1 được user duyệt 06/10/2026. Nguồn/mirror/HTML/ZIP kiểm khớp. 5 file Drive cập nhật cùng ID và tải lại cmp bytes khớp. Báo cáo/checklist chỉ repo; chưa CI/UAT/production.</x:t>
        </x:is>
      </x:c>
      <x:c r="K543" s="8" t="inlineStr">
        <x:is>
          <x:t xml:space="preserve"/>
        </x:is>
      </x:c>
      <x:c r="L543" t="str">
        <x:f>IF(F543="Không áp dụng",IF(AND(K543&lt;&gt;"",H543&lt;&gt;""),"Không áp dụng có lý do","Thiếu lý do/người kiểm"),IF(AND(B543&lt;&gt;"",D543&lt;&gt;"",F543="Đã cập nhật",G543="Có",H543&lt;&gt;"",ISNUMBER(I543),J543&lt;&gt;""),"Hoàn tất","Chưa hoàn tất"))</x:f>
        <x:v>Hoàn tất</x:v>
      </x:c>
    </x:row>
    <x:row r="544">
      <x:c r="A544" s="8" t="inlineStr">
        <x:is>
          <x:t xml:space="preserve">CHG-B01-04</x:t>
        </x:is>
      </x:c>
      <x:c r="B544" s="8" t="inlineStr">
        <x:is>
          <x:t xml:space="preserve">B01-04</x:t>
        </x:is>
      </x:c>
      <x:c r="C544" s="8" t="inlineStr">
        <x:is>
          <x:t xml:space="preserve">F01</x:t>
        </x:is>
      </x:c>
      <x:c r="D544" s="8" t="inlineStr">
        <x:is>
          <x:t xml:space="preserve">DOC-038</x:t>
        </x:is>
      </x:c>
      <x:c r="E544" s="8" t="inlineStr">
        <x:is>
          <x:t xml:space="preserve">Bổ sung Me.version và tiêu chí sửa tên an toàn</x:t>
        </x:is>
      </x:c>
      <x:c r="F544" s="8" t="inlineStr">
        <x:is>
          <x:t xml:space="preserve">Không áp dụng</x:t>
        </x:is>
      </x:c>
      <x:c r="G544" s="8" t="inlineStr">
        <x:is>
          <x:t xml:space="preserve">Có</x:t>
        </x:is>
      </x:c>
      <x:c r="H544" s="8" t="inlineStr">
        <x:is>
          <x:t xml:space="preserve">Codex</x:t>
        </x:is>
      </x:c>
      <x:c r="I544" s="27" t="n">
        <x:v>46301</x:v>
      </x:c>
      <x:c r="J544" s="8" t="inlineStr">
        <x:is>
          <x:t xml:space="preserve">Đã tra Anh huong, API/data, account-batch và các nguồn liên quan; phạm vi tại báo cáo B01-04.</x:t>
        </x:is>
      </x:c>
      <x:c r="K544"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44" t="str">
        <x:f>IF(F544="Không áp dụng",IF(AND(K544&lt;&gt;"",H544&lt;&gt;""),"Không áp dụng có lý do","Thiếu lý do/người kiểm"),IF(AND(B544&lt;&gt;"",D544&lt;&gt;"",F544="Đã cập nhật",G544="Có",H544&lt;&gt;"",ISNUMBER(I544),J544&lt;&gt;""),"Hoàn tất","Chưa hoàn tất"))</x:f>
        <x:v>Không áp dụng có lý do</x:v>
      </x:c>
    </x:row>
    <x:row r="545">
      <x:c r="A545" s="8" t="inlineStr">
        <x:is>
          <x:t xml:space="preserve">CHG-B01-04</x:t>
        </x:is>
      </x:c>
      <x:c r="B545" s="8" t="inlineStr">
        <x:is>
          <x:t xml:space="preserve">B01-04</x:t>
        </x:is>
      </x:c>
      <x:c r="C545" s="8" t="inlineStr">
        <x:is>
          <x:t xml:space="preserve">F01</x:t>
        </x:is>
      </x:c>
      <x:c r="D545" s="8" t="inlineStr">
        <x:is>
          <x:t xml:space="preserve">DOC-039</x:t>
        </x:is>
      </x:c>
      <x:c r="E545" s="8" t="inlineStr">
        <x:is>
          <x:t xml:space="preserve">Bổ sung Me.version và tiêu chí sửa tên an toàn</x:t>
        </x:is>
      </x:c>
      <x:c r="F545" s="8" t="inlineStr">
        <x:is>
          <x:t xml:space="preserve">Đã cập nhật</x:t>
        </x:is>
      </x:c>
      <x:c r="G545" s="8" t="inlineStr">
        <x:is>
          <x:t xml:space="preserve">Có</x:t>
        </x:is>
      </x:c>
      <x:c r="H545" s="8" t="inlineStr">
        <x:is>
          <x:t xml:space="preserve">Codex</x:t>
        </x:is>
      </x:c>
      <x:c r="I545" s="27" t="n">
        <x:v>46301</x:v>
      </x:c>
      <x:c r="J545" s="8" t="inlineStr">
        <x:is>
          <x:t xml:space="preserve">B01-04 v0.1.4: Me.version bắt buộc &gt;=1 được user duyệt 06/10/2026. Nguồn/mirror/HTML/ZIP kiểm khớp. 5 file Drive cập nhật cùng ID và tải lại cmp bytes khớp. Báo cáo/checklist chỉ repo; chưa CI/UAT/production.</x:t>
        </x:is>
      </x:c>
      <x:c r="K545" s="8" t="inlineStr">
        <x:is>
          <x:t xml:space="preserve"/>
        </x:is>
      </x:c>
      <x:c r="L545" t="str">
        <x:f>IF(F545="Không áp dụng",IF(AND(K545&lt;&gt;"",H545&lt;&gt;""),"Không áp dụng có lý do","Thiếu lý do/người kiểm"),IF(AND(B545&lt;&gt;"",D545&lt;&gt;"",F545="Đã cập nhật",G545="Có",H545&lt;&gt;"",ISNUMBER(I545),J545&lt;&gt;""),"Hoàn tất","Chưa hoàn tất"))</x:f>
        <x:v>Hoàn tất</x:v>
      </x:c>
    </x:row>
    <x:row r="546">
      <x:c r="A546" s="8" t="inlineStr">
        <x:is>
          <x:t xml:space="preserve">CHG-B01-04</x:t>
        </x:is>
      </x:c>
      <x:c r="B546" s="8" t="inlineStr">
        <x:is>
          <x:t xml:space="preserve">B01-04</x:t>
        </x:is>
      </x:c>
      <x:c r="C546" s="8" t="inlineStr">
        <x:is>
          <x:t xml:space="preserve">F01</x:t>
        </x:is>
      </x:c>
      <x:c r="D546" s="8" t="inlineStr">
        <x:is>
          <x:t xml:space="preserve">DOC-040</x:t>
        </x:is>
      </x:c>
      <x:c r="E546" s="8" t="inlineStr">
        <x:is>
          <x:t xml:space="preserve">Bổ sung Me.version và tiêu chí sửa tên an toàn</x:t>
        </x:is>
      </x:c>
      <x:c r="F546" s="8" t="inlineStr">
        <x:is>
          <x:t xml:space="preserve">Đã cập nhật</x:t>
        </x:is>
      </x:c>
      <x:c r="G546" s="8" t="inlineStr">
        <x:is>
          <x:t xml:space="preserve">Có</x:t>
        </x:is>
      </x:c>
      <x:c r="H546" s="8" t="inlineStr">
        <x:is>
          <x:t xml:space="preserve">Codex</x:t>
        </x:is>
      </x:c>
      <x:c r="I546" s="27" t="n">
        <x:v>46301</x:v>
      </x:c>
      <x:c r="J546" s="8" t="inlineStr">
        <x:is>
          <x:t xml:space="preserve">B01-04 v0.1.4: Me.version bắt buộc &gt;=1 được user duyệt 06/10/2026. Nguồn/mirror/HTML/ZIP kiểm khớp. 5 file Drive cập nhật cùng ID và tải lại cmp bytes khớp. Báo cáo/checklist chỉ repo; chưa CI/UAT/production.</x:t>
        </x:is>
      </x:c>
      <x:c r="K546" s="8" t="inlineStr">
        <x:is>
          <x:t xml:space="preserve"/>
        </x:is>
      </x:c>
      <x:c r="L546" t="str">
        <x:f>IF(F546="Không áp dụng",IF(AND(K546&lt;&gt;"",H546&lt;&gt;""),"Không áp dụng có lý do","Thiếu lý do/người kiểm"),IF(AND(B546&lt;&gt;"",D546&lt;&gt;"",F546="Đã cập nhật",G546="Có",H546&lt;&gt;"",ISNUMBER(I546),J546&lt;&gt;""),"Hoàn tất","Chưa hoàn tất"))</x:f>
        <x:v>Hoàn tất</x:v>
      </x:c>
    </x:row>
    <x:row r="547">
      <x:c r="A547" s="8" t="inlineStr">
        <x:is>
          <x:t xml:space="preserve">CHG-B01-04</x:t>
        </x:is>
      </x:c>
      <x:c r="B547" s="8" t="inlineStr">
        <x:is>
          <x:t xml:space="preserve">B01-04</x:t>
        </x:is>
      </x:c>
      <x:c r="C547" s="8" t="inlineStr">
        <x:is>
          <x:t xml:space="preserve">F01</x:t>
        </x:is>
      </x:c>
      <x:c r="D547" s="8" t="inlineStr">
        <x:is>
          <x:t xml:space="preserve">DOC-041</x:t>
        </x:is>
      </x:c>
      <x:c r="E547" s="8" t="inlineStr">
        <x:is>
          <x:t xml:space="preserve">Bổ sung Me.version và tiêu chí sửa tên an toàn</x:t>
        </x:is>
      </x:c>
      <x:c r="F547" s="8" t="inlineStr">
        <x:is>
          <x:t xml:space="preserve">Đã cập nhật</x:t>
        </x:is>
      </x:c>
      <x:c r="G547" s="8" t="inlineStr">
        <x:is>
          <x:t xml:space="preserve">Có</x:t>
        </x:is>
      </x:c>
      <x:c r="H547" s="8" t="inlineStr">
        <x:is>
          <x:t xml:space="preserve">Codex</x:t>
        </x:is>
      </x:c>
      <x:c r="I547" s="27" t="n">
        <x:v>46301</x:v>
      </x:c>
      <x:c r="J547" s="8" t="inlineStr">
        <x:is>
          <x:t xml:space="preserve">B01-04 v0.1.4: Me.version bắt buộc &gt;=1 được user duyệt 06/10/2026. Nguồn/mirror/HTML/ZIP kiểm khớp. 5 file Drive cập nhật cùng ID và tải lại cmp bytes khớp. Báo cáo/checklist chỉ repo; chưa CI/UAT/production.</x:t>
        </x:is>
      </x:c>
      <x:c r="K547" s="8" t="inlineStr">
        <x:is>
          <x:t xml:space="preserve"/>
        </x:is>
      </x:c>
      <x:c r="L547" t="str">
        <x:f>IF(F547="Không áp dụng",IF(AND(K547&lt;&gt;"",H547&lt;&gt;""),"Không áp dụng có lý do","Thiếu lý do/người kiểm"),IF(AND(B547&lt;&gt;"",D547&lt;&gt;"",F547="Đã cập nhật",G547="Có",H547&lt;&gt;"",ISNUMBER(I547),J547&lt;&gt;""),"Hoàn tất","Chưa hoàn tất"))</x:f>
        <x:v>Hoàn tất</x:v>
      </x:c>
    </x:row>
    <x:row r="548">
      <x:c r="A548" s="8" t="inlineStr">
        <x:is>
          <x:t xml:space="preserve">CHG-B01-04</x:t>
        </x:is>
      </x:c>
      <x:c r="B548" s="8" t="inlineStr">
        <x:is>
          <x:t xml:space="preserve">B01-04</x:t>
        </x:is>
      </x:c>
      <x:c r="C548" s="8" t="inlineStr">
        <x:is>
          <x:t xml:space="preserve">F01</x:t>
        </x:is>
      </x:c>
      <x:c r="D548" s="8" t="inlineStr">
        <x:is>
          <x:t xml:space="preserve">DOC-042</x:t>
        </x:is>
      </x:c>
      <x:c r="E548" s="8" t="inlineStr">
        <x:is>
          <x:t xml:space="preserve">Bổ sung Me.version và tiêu chí sửa tên an toàn</x:t>
        </x:is>
      </x:c>
      <x:c r="F548" s="8" t="inlineStr">
        <x:is>
          <x:t xml:space="preserve">Không áp dụng</x:t>
        </x:is>
      </x:c>
      <x:c r="G548" s="8" t="inlineStr">
        <x:is>
          <x:t xml:space="preserve">Có</x:t>
        </x:is>
      </x:c>
      <x:c r="H548" s="8" t="inlineStr">
        <x:is>
          <x:t xml:space="preserve">Codex</x:t>
        </x:is>
      </x:c>
      <x:c r="I548" s="27" t="n">
        <x:v>46301</x:v>
      </x:c>
      <x:c r="J548" s="8" t="inlineStr">
        <x:is>
          <x:t xml:space="preserve">Đã tra Anh huong, API/data, account-batch và các nguồn liên quan; phạm vi tại báo cáo B01-04.</x:t>
        </x:is>
      </x:c>
      <x:c r="K548"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48" t="str">
        <x:f>IF(F548="Không áp dụng",IF(AND(K548&lt;&gt;"",H548&lt;&gt;""),"Không áp dụng có lý do","Thiếu lý do/người kiểm"),IF(AND(B548&lt;&gt;"",D548&lt;&gt;"",F548="Đã cập nhật",G548="Có",H548&lt;&gt;"",ISNUMBER(I548),J548&lt;&gt;""),"Hoàn tất","Chưa hoàn tất"))</x:f>
        <x:v>Không áp dụng có lý do</x:v>
      </x:c>
    </x:row>
    <x:row r="549">
      <x:c r="A549" s="8" t="inlineStr">
        <x:is>
          <x:t xml:space="preserve">CHG-B01-04</x:t>
        </x:is>
      </x:c>
      <x:c r="B549" s="8" t="inlineStr">
        <x:is>
          <x:t xml:space="preserve">B01-04</x:t>
        </x:is>
      </x:c>
      <x:c r="C549" s="8" t="inlineStr">
        <x:is>
          <x:t xml:space="preserve">F01</x:t>
        </x:is>
      </x:c>
      <x:c r="D549" s="8" t="inlineStr">
        <x:is>
          <x:t xml:space="preserve">DOC-043</x:t>
        </x:is>
      </x:c>
      <x:c r="E549" s="8" t="inlineStr">
        <x:is>
          <x:t xml:space="preserve">Bổ sung Me.version và tiêu chí sửa tên an toàn</x:t>
        </x:is>
      </x:c>
      <x:c r="F549" s="8" t="inlineStr">
        <x:is>
          <x:t xml:space="preserve">Đã cập nhật</x:t>
        </x:is>
      </x:c>
      <x:c r="G549" s="8" t="inlineStr">
        <x:is>
          <x:t xml:space="preserve">Có</x:t>
        </x:is>
      </x:c>
      <x:c r="H549" s="8" t="inlineStr">
        <x:is>
          <x:t xml:space="preserve">Codex</x:t>
        </x:is>
      </x:c>
      <x:c r="I549" s="27" t="n">
        <x:v>46301</x:v>
      </x:c>
      <x:c r="J549" s="8" t="inlineStr">
        <x:is>
          <x:t xml:space="preserve">B01-04 v0.1.4: Me.version bắt buộc &gt;=1 được user duyệt 06/10/2026. Nguồn/mirror/HTML/ZIP kiểm khớp. 5 file Drive cập nhật cùng ID và tải lại cmp bytes khớp. Báo cáo/checklist chỉ repo; chưa CI/UAT/production.</x:t>
        </x:is>
      </x:c>
      <x:c r="K549" s="8" t="inlineStr">
        <x:is>
          <x:t xml:space="preserve"/>
        </x:is>
      </x:c>
      <x:c r="L549" t="str">
        <x:f>IF(F549="Không áp dụng",IF(AND(K549&lt;&gt;"",H549&lt;&gt;""),"Không áp dụng có lý do","Thiếu lý do/người kiểm"),IF(AND(B549&lt;&gt;"",D549&lt;&gt;"",F549="Đã cập nhật",G549="Có",H549&lt;&gt;"",ISNUMBER(I549),J549&lt;&gt;""),"Hoàn tất","Chưa hoàn tất"))</x:f>
        <x:v>Hoàn tất</x:v>
      </x:c>
    </x:row>
    <x:row r="550">
      <x:c r="A550" s="8" t="inlineStr">
        <x:is>
          <x:t xml:space="preserve">CHG-B01-04</x:t>
        </x:is>
      </x:c>
      <x:c r="B550" s="8" t="inlineStr">
        <x:is>
          <x:t xml:space="preserve">B01-04</x:t>
        </x:is>
      </x:c>
      <x:c r="C550" s="8" t="inlineStr">
        <x:is>
          <x:t xml:space="preserve">F01</x:t>
        </x:is>
      </x:c>
      <x:c r="D550" s="8" t="inlineStr">
        <x:is>
          <x:t xml:space="preserve">DOC-044</x:t>
        </x:is>
      </x:c>
      <x:c r="E550" s="8" t="inlineStr">
        <x:is>
          <x:t xml:space="preserve">Bổ sung Me.version và tiêu chí sửa tên an toàn</x:t>
        </x:is>
      </x:c>
      <x:c r="F550" s="8" t="inlineStr">
        <x:is>
          <x:t xml:space="preserve">Không áp dụng</x:t>
        </x:is>
      </x:c>
      <x:c r="G550" s="8" t="inlineStr">
        <x:is>
          <x:t xml:space="preserve">Có</x:t>
        </x:is>
      </x:c>
      <x:c r="H550" s="8" t="inlineStr">
        <x:is>
          <x:t xml:space="preserve">Codex</x:t>
        </x:is>
      </x:c>
      <x:c r="I550" s="27" t="n">
        <x:v>46301</x:v>
      </x:c>
      <x:c r="J550" s="8" t="inlineStr">
        <x:is>
          <x:t xml:space="preserve">Đã tra Anh huong, API/data, account-batch và các nguồn liên quan; phạm vi tại báo cáo B01-04.</x:t>
        </x:is>
      </x:c>
      <x:c r="K550"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50" t="str">
        <x:f>IF(F550="Không áp dụng",IF(AND(K550&lt;&gt;"",H550&lt;&gt;""),"Không áp dụng có lý do","Thiếu lý do/người kiểm"),IF(AND(B550&lt;&gt;"",D550&lt;&gt;"",F550="Đã cập nhật",G550="Có",H550&lt;&gt;"",ISNUMBER(I550),J550&lt;&gt;""),"Hoàn tất","Chưa hoàn tất"))</x:f>
        <x:v>Không áp dụng có lý do</x:v>
      </x:c>
    </x:row>
    <x:row r="551">
      <x:c r="A551" s="8" t="inlineStr">
        <x:is>
          <x:t xml:space="preserve">CHG-B01-04</x:t>
        </x:is>
      </x:c>
      <x:c r="B551" s="8" t="inlineStr">
        <x:is>
          <x:t xml:space="preserve">B01-04</x:t>
        </x:is>
      </x:c>
      <x:c r="C551" s="8" t="inlineStr">
        <x:is>
          <x:t xml:space="preserve">F01</x:t>
        </x:is>
      </x:c>
      <x:c r="D551" s="8" t="inlineStr">
        <x:is>
          <x:t xml:space="preserve">DOC-045</x:t>
        </x:is>
      </x:c>
      <x:c r="E551" s="8" t="inlineStr">
        <x:is>
          <x:t xml:space="preserve">Bổ sung Me.version và tiêu chí sửa tên an toàn</x:t>
        </x:is>
      </x:c>
      <x:c r="F551" s="8" t="inlineStr">
        <x:is>
          <x:t xml:space="preserve">Đã cập nhật</x:t>
        </x:is>
      </x:c>
      <x:c r="G551" s="8" t="inlineStr">
        <x:is>
          <x:t xml:space="preserve">Có</x:t>
        </x:is>
      </x:c>
      <x:c r="H551" s="8" t="inlineStr">
        <x:is>
          <x:t xml:space="preserve">Codex</x:t>
        </x:is>
      </x:c>
      <x:c r="I551" s="27" t="n">
        <x:v>46301</x:v>
      </x:c>
      <x:c r="J551" s="8" t="inlineStr">
        <x:is>
          <x:t xml:space="preserve">B01-04 v0.1.4: Me.version bắt buộc &gt;=1 được user duyệt 06/10/2026. Nguồn/mirror/HTML/ZIP kiểm khớp. 5 file Drive cập nhật cùng ID và tải lại cmp bytes khớp. Báo cáo/checklist chỉ repo; chưa CI/UAT/production.</x:t>
        </x:is>
      </x:c>
      <x:c r="K551" s="8" t="inlineStr">
        <x:is>
          <x:t xml:space="preserve"/>
        </x:is>
      </x:c>
      <x:c r="L551" t="str">
        <x:f>IF(F551="Không áp dụng",IF(AND(K551&lt;&gt;"",H551&lt;&gt;""),"Không áp dụng có lý do","Thiếu lý do/người kiểm"),IF(AND(B551&lt;&gt;"",D551&lt;&gt;"",F551="Đã cập nhật",G551="Có",H551&lt;&gt;"",ISNUMBER(I551),J551&lt;&gt;""),"Hoàn tất","Chưa hoàn tất"))</x:f>
        <x:v>Hoàn tất</x:v>
      </x:c>
    </x:row>
    <x:row r="552">
      <x:c r="A552" s="8" t="inlineStr">
        <x:is>
          <x:t xml:space="preserve">CHG-B01-04</x:t>
        </x:is>
      </x:c>
      <x:c r="B552" s="8" t="inlineStr">
        <x:is>
          <x:t xml:space="preserve">B01-04</x:t>
        </x:is>
      </x:c>
      <x:c r="C552" s="8" t="inlineStr">
        <x:is>
          <x:t xml:space="preserve">F01</x:t>
        </x:is>
      </x:c>
      <x:c r="D552" s="8" t="inlineStr">
        <x:is>
          <x:t xml:space="preserve">DOC-046</x:t>
        </x:is>
      </x:c>
      <x:c r="E552" s="8" t="inlineStr">
        <x:is>
          <x:t xml:space="preserve">Bổ sung Me.version và tiêu chí sửa tên an toàn</x:t>
        </x:is>
      </x:c>
      <x:c r="F552" s="8" t="inlineStr">
        <x:is>
          <x:t xml:space="preserve">Đã cập nhật</x:t>
        </x:is>
      </x:c>
      <x:c r="G552" s="8" t="inlineStr">
        <x:is>
          <x:t xml:space="preserve">Có</x:t>
        </x:is>
      </x:c>
      <x:c r="H552" s="8" t="inlineStr">
        <x:is>
          <x:t xml:space="preserve">Codex</x:t>
        </x:is>
      </x:c>
      <x:c r="I552" s="27" t="n">
        <x:v>46301</x:v>
      </x:c>
      <x:c r="J552" s="8" t="inlineStr">
        <x:is>
          <x:t xml:space="preserve">B01-04 v0.1.4: Me.version bắt buộc &gt;=1 được user duyệt 06/10/2026. Nguồn/mirror/HTML/ZIP kiểm khớp. 5 file Drive cập nhật cùng ID và tải lại cmp bytes khớp. Báo cáo/checklist chỉ repo; chưa CI/UAT/production.</x:t>
        </x:is>
      </x:c>
      <x:c r="K552" s="8" t="inlineStr">
        <x:is>
          <x:t xml:space="preserve"/>
        </x:is>
      </x:c>
      <x:c r="L552" t="str">
        <x:f>IF(F552="Không áp dụng",IF(AND(K552&lt;&gt;"",H552&lt;&gt;""),"Không áp dụng có lý do","Thiếu lý do/người kiểm"),IF(AND(B552&lt;&gt;"",D552&lt;&gt;"",F552="Đã cập nhật",G552="Có",H552&lt;&gt;"",ISNUMBER(I552),J552&lt;&gt;""),"Hoàn tất","Chưa hoàn tất"))</x:f>
        <x:v>Hoàn tất</x:v>
      </x:c>
    </x:row>
    <x:row r="553">
      <x:c r="A553" s="8" t="inlineStr">
        <x:is>
          <x:t xml:space="preserve">CHG-B01-04</x:t>
        </x:is>
      </x:c>
      <x:c r="B553" s="8" t="inlineStr">
        <x:is>
          <x:t xml:space="preserve">B01-04</x:t>
        </x:is>
      </x:c>
      <x:c r="C553" s="8" t="inlineStr">
        <x:is>
          <x:t xml:space="preserve">F01</x:t>
        </x:is>
      </x:c>
      <x:c r="D553" s="8" t="inlineStr">
        <x:is>
          <x:t xml:space="preserve">DOC-047</x:t>
        </x:is>
      </x:c>
      <x:c r="E553" s="8" t="inlineStr">
        <x:is>
          <x:t xml:space="preserve">Bổ sung Me.version và tiêu chí sửa tên an toàn</x:t>
        </x:is>
      </x:c>
      <x:c r="F553" s="8" t="inlineStr">
        <x:is>
          <x:t xml:space="preserve">Đã cập nhật</x:t>
        </x:is>
      </x:c>
      <x:c r="G553" s="8" t="inlineStr">
        <x:is>
          <x:t xml:space="preserve">Có</x:t>
        </x:is>
      </x:c>
      <x:c r="H553" s="8" t="inlineStr">
        <x:is>
          <x:t xml:space="preserve">Codex</x:t>
        </x:is>
      </x:c>
      <x:c r="I553" s="27" t="n">
        <x:v>46301</x:v>
      </x:c>
      <x:c r="J553" s="8" t="inlineStr">
        <x:is>
          <x:t xml:space="preserve">B01-04 v0.1.4: Me.version bắt buộc &gt;=1 được user duyệt 06/10/2026. Nguồn/mirror/HTML/ZIP kiểm khớp. 5 file Drive cập nhật cùng ID và tải lại cmp bytes khớp. Báo cáo/checklist chỉ repo; chưa CI/UAT/production.</x:t>
        </x:is>
      </x:c>
      <x:c r="K553" s="8" t="inlineStr">
        <x:is>
          <x:t xml:space="preserve"/>
        </x:is>
      </x:c>
      <x:c r="L553" t="str">
        <x:f>IF(F553="Không áp dụng",IF(AND(K553&lt;&gt;"",H553&lt;&gt;""),"Không áp dụng có lý do","Thiếu lý do/người kiểm"),IF(AND(B553&lt;&gt;"",D553&lt;&gt;"",F553="Đã cập nhật",G553="Có",H553&lt;&gt;"",ISNUMBER(I553),J553&lt;&gt;""),"Hoàn tất","Chưa hoàn tất"))</x:f>
        <x:v>Hoàn tất</x:v>
      </x:c>
    </x:row>
    <x:row r="554">
      <x:c r="A554" s="8" t="inlineStr">
        <x:is>
          <x:t xml:space="preserve">CHG-B01-04</x:t>
        </x:is>
      </x:c>
      <x:c r="B554" s="8" t="inlineStr">
        <x:is>
          <x:t xml:space="preserve">B01-04</x:t>
        </x:is>
      </x:c>
      <x:c r="C554" s="8" t="inlineStr">
        <x:is>
          <x:t xml:space="preserve">F01</x:t>
        </x:is>
      </x:c>
      <x:c r="D554" s="8" t="inlineStr">
        <x:is>
          <x:t xml:space="preserve">DOC-048</x:t>
        </x:is>
      </x:c>
      <x:c r="E554" s="8" t="inlineStr">
        <x:is>
          <x:t xml:space="preserve">Bổ sung Me.version và tiêu chí sửa tên an toàn</x:t>
        </x:is>
      </x:c>
      <x:c r="F554" s="8" t="inlineStr">
        <x:is>
          <x:t xml:space="preserve">Không áp dụng</x:t>
        </x:is>
      </x:c>
      <x:c r="G554" s="8" t="inlineStr">
        <x:is>
          <x:t xml:space="preserve">Có</x:t>
        </x:is>
      </x:c>
      <x:c r="H554" s="8" t="inlineStr">
        <x:is>
          <x:t xml:space="preserve">Codex</x:t>
        </x:is>
      </x:c>
      <x:c r="I554" s="27" t="n">
        <x:v>46301</x:v>
      </x:c>
      <x:c r="J554" s="8" t="inlineStr">
        <x:is>
          <x:t xml:space="preserve">Đã tra Anh huong, API/data, account-batch và các nguồn liên quan; phạm vi tại báo cáo B01-04.</x:t>
        </x:is>
      </x:c>
      <x:c r="K554"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54" t="str">
        <x:f>IF(F554="Không áp dụng",IF(AND(K554&lt;&gt;"",H554&lt;&gt;""),"Không áp dụng có lý do","Thiếu lý do/người kiểm"),IF(AND(B554&lt;&gt;"",D554&lt;&gt;"",F554="Đã cập nhật",G554="Có",H554&lt;&gt;"",ISNUMBER(I554),J554&lt;&gt;""),"Hoàn tất","Chưa hoàn tất"))</x:f>
        <x:v>Không áp dụng có lý do</x:v>
      </x:c>
    </x:row>
    <x:row r="555">
      <x:c r="A555" s="8" t="inlineStr">
        <x:is>
          <x:t xml:space="preserve">CHG-B01-04</x:t>
        </x:is>
      </x:c>
      <x:c r="B555" s="8" t="inlineStr">
        <x:is>
          <x:t xml:space="preserve">B01-04</x:t>
        </x:is>
      </x:c>
      <x:c r="C555" s="8" t="inlineStr">
        <x:is>
          <x:t xml:space="preserve">F01</x:t>
        </x:is>
      </x:c>
      <x:c r="D555" s="8" t="inlineStr">
        <x:is>
          <x:t xml:space="preserve">DOC-050</x:t>
        </x:is>
      </x:c>
      <x:c r="E555" s="8" t="inlineStr">
        <x:is>
          <x:t xml:space="preserve">Bổ sung Me.version và tiêu chí sửa tên an toàn</x:t>
        </x:is>
      </x:c>
      <x:c r="F555" s="8" t="inlineStr">
        <x:is>
          <x:t xml:space="preserve">Không áp dụng</x:t>
        </x:is>
      </x:c>
      <x:c r="G555" s="8" t="inlineStr">
        <x:is>
          <x:t xml:space="preserve">Có</x:t>
        </x:is>
      </x:c>
      <x:c r="H555" s="8" t="inlineStr">
        <x:is>
          <x:t xml:space="preserve">Codex</x:t>
        </x:is>
      </x:c>
      <x:c r="I555" s="27" t="n">
        <x:v>46301</x:v>
      </x:c>
      <x:c r="J555" s="8" t="inlineStr">
        <x:is>
          <x:t xml:space="preserve">Đã tra Anh huong, API/data, account-batch và các nguồn liên quan; phạm vi tại báo cáo B01-04.</x:t>
        </x:is>
      </x:c>
      <x:c r="K555"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55" t="str">
        <x:f>IF(F555="Không áp dụng",IF(AND(K555&lt;&gt;"",H555&lt;&gt;""),"Không áp dụng có lý do","Thiếu lý do/người kiểm"),IF(AND(B555&lt;&gt;"",D555&lt;&gt;"",F555="Đã cập nhật",G555="Có",H555&lt;&gt;"",ISNUMBER(I555),J555&lt;&gt;""),"Hoàn tất","Chưa hoàn tất"))</x:f>
        <x:v>Không áp dụng có lý do</x:v>
      </x:c>
    </x:row>
    <x:row r="556">
      <x:c r="A556" s="8" t="inlineStr">
        <x:is>
          <x:t xml:space="preserve">CHG-B01-04</x:t>
        </x:is>
      </x:c>
      <x:c r="B556" s="8" t="inlineStr">
        <x:is>
          <x:t xml:space="preserve">B01-04</x:t>
        </x:is>
      </x:c>
      <x:c r="C556" s="8" t="inlineStr">
        <x:is>
          <x:t xml:space="preserve">F01</x:t>
        </x:is>
      </x:c>
      <x:c r="D556" s="8" t="inlineStr">
        <x:is>
          <x:t xml:space="preserve">DOC-058</x:t>
        </x:is>
      </x:c>
      <x:c r="E556" s="8" t="inlineStr">
        <x:is>
          <x:t xml:space="preserve">Bổ sung Me.version và tiêu chí sửa tên an toàn</x:t>
        </x:is>
      </x:c>
      <x:c r="F556" s="8" t="inlineStr">
        <x:is>
          <x:t xml:space="preserve">Không áp dụng</x:t>
        </x:is>
      </x:c>
      <x:c r="G556" s="8" t="inlineStr">
        <x:is>
          <x:t xml:space="preserve">Có</x:t>
        </x:is>
      </x:c>
      <x:c r="H556" s="8" t="inlineStr">
        <x:is>
          <x:t xml:space="preserve">Codex</x:t>
        </x:is>
      </x:c>
      <x:c r="I556" s="27" t="n">
        <x:v>46301</x:v>
      </x:c>
      <x:c r="J556" s="8" t="inlineStr">
        <x:is>
          <x:t xml:space="preserve">Đã tra Anh huong, API/data, account-batch và các nguồn liên quan; phạm vi tại báo cáo B01-04.</x:t>
        </x:is>
      </x:c>
      <x:c r="K556"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56" t="str">
        <x:f>IF(F556="Không áp dụng",IF(AND(K556&lt;&gt;"",H556&lt;&gt;""),"Không áp dụng có lý do","Thiếu lý do/người kiểm"),IF(AND(B556&lt;&gt;"",D556&lt;&gt;"",F556="Đã cập nhật",G556="Có",H556&lt;&gt;"",ISNUMBER(I556),J556&lt;&gt;""),"Hoàn tất","Chưa hoàn tất"))</x:f>
        <x:v>Không áp dụng có lý do</x:v>
      </x:c>
    </x:row>
    <x:row r="557">
      <x:c r="A557" s="8" t="inlineStr">
        <x:is>
          <x:t xml:space="preserve">CHG-B01-04</x:t>
        </x:is>
      </x:c>
      <x:c r="B557" s="8" t="inlineStr">
        <x:is>
          <x:t xml:space="preserve">B01-04</x:t>
        </x:is>
      </x:c>
      <x:c r="C557" s="8" t="inlineStr">
        <x:is>
          <x:t xml:space="preserve">F01</x:t>
        </x:is>
      </x:c>
      <x:c r="D557" s="8" t="inlineStr">
        <x:is>
          <x:t xml:space="preserve">DOC-062</x:t>
        </x:is>
      </x:c>
      <x:c r="E557" s="8" t="inlineStr">
        <x:is>
          <x:t xml:space="preserve">Bổ sung Me.version và tiêu chí sửa tên an toàn</x:t>
        </x:is>
      </x:c>
      <x:c r="F557" s="8" t="inlineStr">
        <x:is>
          <x:t xml:space="preserve">Không áp dụng</x:t>
        </x:is>
      </x:c>
      <x:c r="G557" s="8" t="inlineStr">
        <x:is>
          <x:t xml:space="preserve">Có</x:t>
        </x:is>
      </x:c>
      <x:c r="H557" s="8" t="inlineStr">
        <x:is>
          <x:t xml:space="preserve">Codex</x:t>
        </x:is>
      </x:c>
      <x:c r="I557" s="27" t="n">
        <x:v>46301</x:v>
      </x:c>
      <x:c r="J557" s="8" t="inlineStr">
        <x:is>
          <x:t xml:space="preserve">Đã tra Anh huong, API/data, account-batch và các nguồn liên quan; phạm vi tại báo cáo B01-04.</x:t>
        </x:is>
      </x:c>
      <x:c r="K557"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57" t="str">
        <x:f>IF(F557="Không áp dụng",IF(AND(K557&lt;&gt;"",H557&lt;&gt;""),"Không áp dụng có lý do","Thiếu lý do/người kiểm"),IF(AND(B557&lt;&gt;"",D557&lt;&gt;"",F557="Đã cập nhật",G557="Có",H557&lt;&gt;"",ISNUMBER(I557),J557&lt;&gt;""),"Hoàn tất","Chưa hoàn tất"))</x:f>
        <x:v>Không áp dụng có lý do</x:v>
      </x:c>
    </x:row>
    <x:row r="558">
      <x:c r="A558" s="8" t="inlineStr">
        <x:is>
          <x:t xml:space="preserve">CHG-B01-04</x:t>
        </x:is>
      </x:c>
      <x:c r="B558" s="8" t="inlineStr">
        <x:is>
          <x:t xml:space="preserve">B01-04</x:t>
        </x:is>
      </x:c>
      <x:c r="C558" s="8" t="inlineStr">
        <x:is>
          <x:t xml:space="preserve">F01</x:t>
        </x:is>
      </x:c>
      <x:c r="D558" s="8" t="inlineStr">
        <x:is>
          <x:t xml:space="preserve">DOC-088</x:t>
        </x:is>
      </x:c>
      <x:c r="E558" s="8" t="inlineStr">
        <x:is>
          <x:t xml:space="preserve">Bổ sung Me.version và tiêu chí sửa tên an toàn</x:t>
        </x:is>
      </x:c>
      <x:c r="F558" s="8" t="inlineStr">
        <x:is>
          <x:t xml:space="preserve">Không áp dụng</x:t>
        </x:is>
      </x:c>
      <x:c r="G558" s="8" t="inlineStr">
        <x:is>
          <x:t xml:space="preserve">Có</x:t>
        </x:is>
      </x:c>
      <x:c r="H558" s="8" t="inlineStr">
        <x:is>
          <x:t xml:space="preserve">Codex</x:t>
        </x:is>
      </x:c>
      <x:c r="I558" s="27" t="n">
        <x:v>46301</x:v>
      </x:c>
      <x:c r="J558" s="8" t="inlineStr">
        <x:is>
          <x:t xml:space="preserve">Đã tra Anh huong, API/data, account-batch và các nguồn liên quan; phạm vi tại báo cáo B01-04.</x:t>
        </x:is>
      </x:c>
      <x:c r="K558"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58" t="str">
        <x:f>IF(F558="Không áp dụng",IF(AND(K558&lt;&gt;"",H558&lt;&gt;""),"Không áp dụng có lý do","Thiếu lý do/người kiểm"),IF(AND(B558&lt;&gt;"",D558&lt;&gt;"",F558="Đã cập nhật",G558="Có",H558&lt;&gt;"",ISNUMBER(I558),J558&lt;&gt;""),"Hoàn tất","Chưa hoàn tất"))</x:f>
        <x:v>Không áp dụng có lý do</x:v>
      </x:c>
    </x:row>
    <x:row r="559">
      <x:c r="A559" s="8" t="inlineStr">
        <x:is>
          <x:t xml:space="preserve">CHG-B01-04</x:t>
        </x:is>
      </x:c>
      <x:c r="B559" s="8" t="inlineStr">
        <x:is>
          <x:t xml:space="preserve">B01-04</x:t>
        </x:is>
      </x:c>
      <x:c r="C559" s="8" t="inlineStr">
        <x:is>
          <x:t xml:space="preserve">F01</x:t>
        </x:is>
      </x:c>
      <x:c r="D559" s="8" t="inlineStr">
        <x:is>
          <x:t xml:space="preserve">PLAN-001</x:t>
        </x:is>
      </x:c>
      <x:c r="E559" s="8" t="inlineStr">
        <x:is>
          <x:t xml:space="preserve">Bổ sung Me.version và tiêu chí sửa tên an toàn</x:t>
        </x:is>
      </x:c>
      <x:c r="F559" s="8" t="inlineStr">
        <x:is>
          <x:t xml:space="preserve">Không áp dụng</x:t>
        </x:is>
      </x:c>
      <x:c r="G559" s="8" t="inlineStr">
        <x:is>
          <x:t xml:space="preserve">Có</x:t>
        </x:is>
      </x:c>
      <x:c r="H559" s="8" t="inlineStr">
        <x:is>
          <x:t xml:space="preserve">Codex</x:t>
        </x:is>
      </x:c>
      <x:c r="I559" s="27" t="n">
        <x:v>46301</x:v>
      </x:c>
      <x:c r="J559" s="8" t="inlineStr">
        <x:is>
          <x:t xml:space="preserve">Đã tra Anh huong, API/data, account-batch và các nguồn liên quan; phạm vi tại báo cáo B01-04.</x:t>
        </x:is>
      </x:c>
      <x:c r="K559"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59" t="str">
        <x:f>IF(F559="Không áp dụng",IF(AND(K559&lt;&gt;"",H559&lt;&gt;""),"Không áp dụng có lý do","Thiếu lý do/người kiểm"),IF(AND(B559&lt;&gt;"",D559&lt;&gt;"",F559="Đã cập nhật",G559="Có",H559&lt;&gt;"",ISNUMBER(I559),J559&lt;&gt;""),"Hoàn tất","Chưa hoàn tất"))</x:f>
        <x:v>Không áp dụng có lý do</x:v>
      </x:c>
    </x:row>
    <x:row r="560">
      <x:c r="A560" s="8" t="inlineStr">
        <x:is>
          <x:t xml:space="preserve">CHG-B01-04</x:t>
        </x:is>
      </x:c>
      <x:c r="B560" s="8" t="inlineStr">
        <x:is>
          <x:t xml:space="preserve">B01-04</x:t>
        </x:is>
      </x:c>
      <x:c r="C560" s="8" t="inlineStr">
        <x:is>
          <x:t xml:space="preserve">F01</x:t>
        </x:is>
      </x:c>
      <x:c r="D560" s="8" t="inlineStr">
        <x:is>
          <x:t xml:space="preserve">PLAN-002</x:t>
        </x:is>
      </x:c>
      <x:c r="E560" s="8" t="inlineStr">
        <x:is>
          <x:t xml:space="preserve">Bổ sung Me.version và tiêu chí sửa tên an toàn</x:t>
        </x:is>
      </x:c>
      <x:c r="F560" s="8" t="inlineStr">
        <x:is>
          <x:t xml:space="preserve">Đã cập nhật</x:t>
        </x:is>
      </x:c>
      <x:c r="G560" s="8" t="inlineStr">
        <x:is>
          <x:t xml:space="preserve">Có</x:t>
        </x:is>
      </x:c>
      <x:c r="H560" s="8" t="inlineStr">
        <x:is>
          <x:t xml:space="preserve">Codex</x:t>
        </x:is>
      </x:c>
      <x:c r="I560" s="27" t="n">
        <x:v>46301</x:v>
      </x:c>
      <x:c r="J560" s="8" t="inlineStr">
        <x:is>
          <x:t xml:space="preserve">B01-04 v0.1.4: Me.version bắt buộc &gt;=1 được user duyệt 06/10/2026. Nguồn/mirror/HTML/ZIP kiểm khớp. 5 file Drive cập nhật cùng ID và tải lại cmp bytes khớp. Báo cáo/checklist chỉ repo; chưa CI/UAT/production.</x:t>
        </x:is>
      </x:c>
      <x:c r="K560" s="8" t="inlineStr">
        <x:is>
          <x:t xml:space="preserve"/>
        </x:is>
      </x:c>
      <x:c r="L560" t="str">
        <x:f>IF(F560="Không áp dụng",IF(AND(K560&lt;&gt;"",H560&lt;&gt;""),"Không áp dụng có lý do","Thiếu lý do/người kiểm"),IF(AND(B560&lt;&gt;"",D560&lt;&gt;"",F560="Đã cập nhật",G560="Có",H560&lt;&gt;"",ISNUMBER(I560),J560&lt;&gt;""),"Hoàn tất","Chưa hoàn tất"))</x:f>
        <x:v>Hoàn tất</x:v>
      </x:c>
    </x:row>
    <x:row r="561">
      <x:c r="A561" s="8" t="inlineStr">
        <x:is>
          <x:t xml:space="preserve">CHG-B01-04</x:t>
        </x:is>
      </x:c>
      <x:c r="B561" s="8" t="inlineStr">
        <x:is>
          <x:t xml:space="preserve">B01-04</x:t>
        </x:is>
      </x:c>
      <x:c r="C561" s="8" t="inlineStr">
        <x:is>
          <x:t xml:space="preserve">F01</x:t>
        </x:is>
      </x:c>
      <x:c r="D561" s="8" t="inlineStr">
        <x:is>
          <x:t xml:space="preserve">PLAN-003</x:t>
        </x:is>
      </x:c>
      <x:c r="E561" s="8" t="inlineStr">
        <x:is>
          <x:t xml:space="preserve">Bổ sung Me.version và tiêu chí sửa tên an toàn</x:t>
        </x:is>
      </x:c>
      <x:c r="F561" s="8" t="inlineStr">
        <x:is>
          <x:t xml:space="preserve">Đã cập nhật</x:t>
        </x:is>
      </x:c>
      <x:c r="G561" s="8" t="inlineStr">
        <x:is>
          <x:t xml:space="preserve">Có</x:t>
        </x:is>
      </x:c>
      <x:c r="H561" s="8" t="inlineStr">
        <x:is>
          <x:t xml:space="preserve">Codex</x:t>
        </x:is>
      </x:c>
      <x:c r="I561" s="27" t="n">
        <x:v>46301</x:v>
      </x:c>
      <x:c r="J561" s="8" t="inlineStr">
        <x:is>
          <x:t xml:space="preserve">B01-04 v0.1.4: Me.version bắt buộc &gt;=1 được user duyệt 06/10/2026. Nguồn/mirror/HTML/ZIP kiểm khớp. 5 file Drive cập nhật cùng ID và tải lại cmp bytes khớp. Báo cáo/checklist chỉ repo; chưa CI/UAT/production.</x:t>
        </x:is>
      </x:c>
      <x:c r="K561" s="8" t="inlineStr">
        <x:is>
          <x:t xml:space="preserve"/>
        </x:is>
      </x:c>
      <x:c r="L561" t="str">
        <x:f>IF(F561="Không áp dụng",IF(AND(K561&lt;&gt;"",H561&lt;&gt;""),"Không áp dụng có lý do","Thiếu lý do/người kiểm"),IF(AND(B561&lt;&gt;"",D561&lt;&gt;"",F561="Đã cập nhật",G561="Có",H561&lt;&gt;"",ISNUMBER(I561),J561&lt;&gt;""),"Hoàn tất","Chưa hoàn tất"))</x:f>
        <x:v>Hoàn tất</x:v>
      </x:c>
    </x:row>
    <x:row r="562">
      <x:c r="A562" s="8" t="inlineStr">
        <x:is>
          <x:t xml:space="preserve">CHG-B01-04</x:t>
        </x:is>
      </x:c>
      <x:c r="B562" s="8" t="inlineStr">
        <x:is>
          <x:t xml:space="preserve">B01-04</x:t>
        </x:is>
      </x:c>
      <x:c r="C562" s="8" t="inlineStr">
        <x:is>
          <x:t xml:space="preserve">F01</x:t>
        </x:is>
      </x:c>
      <x:c r="D562" s="8" t="inlineStr">
        <x:is>
          <x:t xml:space="preserve">PLAN-006</x:t>
        </x:is>
      </x:c>
      <x:c r="E562" s="8" t="inlineStr">
        <x:is>
          <x:t xml:space="preserve">Bổ sung Me.version và tiêu chí sửa tên an toàn</x:t>
        </x:is>
      </x:c>
      <x:c r="F562" s="8" t="inlineStr">
        <x:is>
          <x:t xml:space="preserve">Không áp dụng</x:t>
        </x:is>
      </x:c>
      <x:c r="G562" s="8" t="inlineStr">
        <x:is>
          <x:t xml:space="preserve">Có</x:t>
        </x:is>
      </x:c>
      <x:c r="H562" s="8" t="inlineStr">
        <x:is>
          <x:t xml:space="preserve">Codex</x:t>
        </x:is>
      </x:c>
      <x:c r="I562" s="27" t="n">
        <x:v>46301</x:v>
      </x:c>
      <x:c r="J562" s="8" t="inlineStr">
        <x:is>
          <x:t xml:space="preserve">Đã tra Anh huong, API/data, account-batch và các nguồn liên quan; phạm vi tại báo cáo B01-04.</x:t>
        </x:is>
      </x:c>
      <x:c r="K562"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62" t="str">
        <x:f>IF(F562="Không áp dụng",IF(AND(K562&lt;&gt;"",H562&lt;&gt;""),"Không áp dụng có lý do","Thiếu lý do/người kiểm"),IF(AND(B562&lt;&gt;"",D562&lt;&gt;"",F562="Đã cập nhật",G562="Có",H562&lt;&gt;"",ISNUMBER(I562),J562&lt;&gt;""),"Hoàn tất","Chưa hoàn tất"))</x:f>
        <x:v>Không áp dụng có lý do</x:v>
      </x:c>
    </x:row>
    <x:row r="563">
      <x:c r="A563" s="8" t="inlineStr">
        <x:is>
          <x:t xml:space="preserve">CHG-B01-04</x:t>
        </x:is>
      </x:c>
      <x:c r="B563" s="8" t="inlineStr">
        <x:is>
          <x:t xml:space="preserve">B01-04</x:t>
        </x:is>
      </x:c>
      <x:c r="C563" s="8" t="inlineStr">
        <x:is>
          <x:t xml:space="preserve">F01</x:t>
        </x:is>
      </x:c>
      <x:c r="D563" s="8" t="inlineStr">
        <x:is>
          <x:t xml:space="preserve">PLAN-008</x:t>
        </x:is>
      </x:c>
      <x:c r="E563" s="8" t="inlineStr">
        <x:is>
          <x:t xml:space="preserve">Bổ sung Me.version và tiêu chí sửa tên an toàn</x:t>
        </x:is>
      </x:c>
      <x:c r="F563" s="8" t="inlineStr">
        <x:is>
          <x:t xml:space="preserve">Không áp dụng</x:t>
        </x:is>
      </x:c>
      <x:c r="G563" s="8" t="inlineStr">
        <x:is>
          <x:t xml:space="preserve">Có</x:t>
        </x:is>
      </x:c>
      <x:c r="H563" s="8" t="inlineStr">
        <x:is>
          <x:t xml:space="preserve">Codex</x:t>
        </x:is>
      </x:c>
      <x:c r="I563" s="27" t="n">
        <x:v>46301</x:v>
      </x:c>
      <x:c r="J563" s="8" t="inlineStr">
        <x:is>
          <x:t xml:space="preserve">Đã tra Anh huong, API/data, account-batch và các nguồn liên quan; phạm vi tại báo cáo B01-04.</x:t>
        </x:is>
      </x:c>
      <x:c r="K563" s="8" t="inlineStr">
        <x:is>
          <x:t xml:space="preserve">Không đổi luồng/quyền/trạng thái/nghiệp vụ đã chốt. Chỉ thêm trường Me.version vào contract/QA; users.version và idempotency_keys đã có trong mô hình. Tài liệu lịch sử giữ nguyên. Báo cáo con và checklist quản lý trong DOC-082/083, chỉ repo.</x:t>
        </x:is>
      </x:c>
      <x:c r="L563" t="str">
        <x:f>IF(F563="Không áp dụng",IF(AND(K563&lt;&gt;"",H563&lt;&gt;""),"Không áp dụng có lý do","Thiếu lý do/người kiểm"),IF(AND(B563&lt;&gt;"",D563&lt;&gt;"",F563="Đã cập nhật",G563="Có",H563&lt;&gt;"",ISNUMBER(I563),J563&lt;&gt;""),"Hoàn tất","Chưa hoàn tất"))</x:f>
        <x:v>Không áp dụng có lý do</x:v>
      </x:c>
    </x:row>
    <x:row r="564">
      <x:c r="A564" s="8" t="inlineStr">
        <x:is>
          <x:t xml:space="preserve">CHG-B01-04A</x:t>
        </x:is>
      </x:c>
      <x:c r="B564" s="8" t="inlineStr">
        <x:is>
          <x:t xml:space="preserve">B01-04A</x:t>
        </x:is>
      </x:c>
      <x:c r="C564" s="8" t="inlineStr">
        <x:is>
          <x:t xml:space="preserve">F01; F04</x:t>
        </x:is>
      </x:c>
      <x:c r="D564" s="8" t="inlineStr">
        <x:is>
          <x:t xml:space="preserve">DOC-000</x:t>
        </x:is>
      </x:c>
      <x:c r="E564" s="8" t="inlineStr">
        <x:is>
          <x:t xml:space="preserve">Chốt và triển khai gói phiên đăng nhập, địa chỉ default/version</x:t>
        </x:is>
      </x:c>
      <x:c r="F564" s="8" t="inlineStr">
        <x:is>
          <x:t xml:space="preserve">Đã cập nhật</x:t>
        </x:is>
      </x:c>
      <x:c r="G564" s="8" t="inlineStr">
        <x:is>
          <x:t xml:space="preserve">Có</x:t>
        </x:is>
      </x:c>
      <x:c r="H564" s="8" t="inlineStr">
        <x:is>
          <x:t xml:space="preserve">Codex</x:t>
        </x:is>
      </x:c>
      <x:c r="I564" s="27" t="n">
        <x:v>46301</x:v>
      </x:c>
      <x:c r="J564" s="8" t="inlineStr">
        <x:is>
          <x:t xml:space="preserve">B01-04A được user duyệt cả gói 06/10/2026: phiên theo family, địa chỉ default/version/manual Point. Nguồn/mirror/viewer/ZIP v0.1.5 kiểm khớp; 9 raw Drive cùng ID tải lại cmp bytes đạt; FR D97/D103 và SRS/UX native sửa phạm vi hẹp, đọc lại xác nhận. API50/mobile106/web/native Android+iOS đạt local; chưa CI/UAT gói mới. Báo cáo/checklist chỉ repo.</x:t>
        </x:is>
      </x:c>
      <x:c r="K564" s="8" t="inlineStr">
        <x:is>
          <x:t xml:space="preserve"/>
        </x:is>
      </x:c>
      <x:c r="L564" t="str">
        <x:f>IF(F564="Không áp dụng",IF(AND(K564&lt;&gt;"",H564&lt;&gt;""),"Không áp dụng có lý do","Thiếu lý do/người kiểm"),IF(AND(B564&lt;&gt;"",D564&lt;&gt;"",F564="Đã cập nhật",G564="Có",H564&lt;&gt;"",ISNUMBER(I564),J564&lt;&gt;""),"Hoàn tất","Chưa hoàn tất"))</x:f>
        <x:v>Hoàn tất</x:v>
      </x:c>
    </x:row>
    <x:row r="565">
      <x:c r="A565" s="8" t="inlineStr">
        <x:is>
          <x:t xml:space="preserve">CHG-B01-04A</x:t>
        </x:is>
      </x:c>
      <x:c r="B565" s="8" t="inlineStr">
        <x:is>
          <x:t xml:space="preserve">B01-04A</x:t>
        </x:is>
      </x:c>
      <x:c r="C565" s="8" t="inlineStr">
        <x:is>
          <x:t xml:space="preserve">F01; F04</x:t>
        </x:is>
      </x:c>
      <x:c r="D565" s="8" t="inlineStr">
        <x:is>
          <x:t xml:space="preserve">DOC-004</x:t>
        </x:is>
      </x:c>
      <x:c r="E565" s="8" t="inlineStr">
        <x:is>
          <x:t xml:space="preserve">Chốt và triển khai gói phiên đăng nhập, địa chỉ default/version</x:t>
        </x:is>
      </x:c>
      <x:c r="F565" s="8" t="inlineStr">
        <x:is>
          <x:t xml:space="preserve">Đã cập nhật</x:t>
        </x:is>
      </x:c>
      <x:c r="G565" s="8" t="inlineStr">
        <x:is>
          <x:t xml:space="preserve">Có</x:t>
        </x:is>
      </x:c>
      <x:c r="H565" s="8" t="inlineStr">
        <x:is>
          <x:t xml:space="preserve">Codex</x:t>
        </x:is>
      </x:c>
      <x:c r="I565" s="27" t="n">
        <x:v>46301</x:v>
      </x:c>
      <x:c r="J565" s="8" t="inlineStr">
        <x:is>
          <x:t xml:space="preserve">B01-04A được user duyệt cả gói 06/10/2026: phiên theo family, địa chỉ default/version/manual Point. Nguồn/mirror/viewer/ZIP v0.1.5 kiểm khớp; 9 raw Drive cùng ID tải lại cmp bytes đạt; FR D97/D103 và SRS/UX native sửa phạm vi hẹp, đọc lại xác nhận. API50/mobile106/web/native Android+iOS đạt local; chưa CI/UAT gói mới. Báo cáo/checklist chỉ repo.</x:t>
        </x:is>
      </x:c>
      <x:c r="K565" s="8" t="inlineStr">
        <x:is>
          <x:t xml:space="preserve"/>
        </x:is>
      </x:c>
      <x:c r="L565" t="str">
        <x:f>IF(F565="Không áp dụng",IF(AND(K565&lt;&gt;"",H565&lt;&gt;""),"Không áp dụng có lý do","Thiếu lý do/người kiểm"),IF(AND(B565&lt;&gt;"",D565&lt;&gt;"",F565="Đã cập nhật",G565="Có",H565&lt;&gt;"",ISNUMBER(I565),J565&lt;&gt;""),"Hoàn tất","Chưa hoàn tất"))</x:f>
        <x:v>Hoàn tất</x:v>
      </x:c>
    </x:row>
    <x:row r="566">
      <x:c r="A566" s="8" t="inlineStr">
        <x:is>
          <x:t xml:space="preserve">CHG-B01-04A</x:t>
        </x:is>
      </x:c>
      <x:c r="B566" s="8" t="inlineStr">
        <x:is>
          <x:t xml:space="preserve">B01-04A</x:t>
        </x:is>
      </x:c>
      <x:c r="C566" s="8" t="inlineStr">
        <x:is>
          <x:t xml:space="preserve">F01; F04</x:t>
        </x:is>
      </x:c>
      <x:c r="D566" s="8" t="inlineStr">
        <x:is>
          <x:t xml:space="preserve">DOC-005</x:t>
        </x:is>
      </x:c>
      <x:c r="E566" s="8" t="inlineStr">
        <x:is>
          <x:t xml:space="preserve">Chốt và triển khai gói phiên đăng nhập, địa chỉ default/version</x:t>
        </x:is>
      </x:c>
      <x:c r="F566" s="8" t="inlineStr">
        <x:is>
          <x:t xml:space="preserve">Đã cập nhật</x:t>
        </x:is>
      </x:c>
      <x:c r="G566" s="8" t="inlineStr">
        <x:is>
          <x:t xml:space="preserve">Có</x:t>
        </x:is>
      </x:c>
      <x:c r="H566" s="8" t="inlineStr">
        <x:is>
          <x:t xml:space="preserve">Codex</x:t>
        </x:is>
      </x:c>
      <x:c r="I566" s="27" t="n">
        <x:v>46301</x:v>
      </x:c>
      <x:c r="J566" s="8" t="inlineStr">
        <x:is>
          <x:t xml:space="preserve">B01-04A được user duyệt cả gói 06/10/2026: phiên theo family, địa chỉ default/version/manual Point. Nguồn/mirror/viewer/ZIP v0.1.5 kiểm khớp; 9 raw Drive cùng ID tải lại cmp bytes đạt; FR D97/D103 và SRS/UX native sửa phạm vi hẹp, đọc lại xác nhận. API50/mobile106/web/native Android+iOS đạt local; chưa CI/UAT gói mới. Báo cáo/checklist chỉ repo.</x:t>
        </x:is>
      </x:c>
      <x:c r="K566" s="8" t="inlineStr">
        <x:is>
          <x:t xml:space="preserve"/>
        </x:is>
      </x:c>
      <x:c r="L566" t="str">
        <x:f>IF(F566="Không áp dụng",IF(AND(K566&lt;&gt;"",H566&lt;&gt;""),"Không áp dụng có lý do","Thiếu lý do/người kiểm"),IF(AND(B566&lt;&gt;"",D566&lt;&gt;"",F566="Đã cập nhật",G566="Có",H566&lt;&gt;"",ISNUMBER(I566),J566&lt;&gt;""),"Hoàn tất","Chưa hoàn tất"))</x:f>
        <x:v>Hoàn tất</x:v>
      </x:c>
    </x:row>
    <x:row r="567">
      <x:c r="A567" s="8" t="inlineStr">
        <x:is>
          <x:t xml:space="preserve">CHG-B01-04A</x:t>
        </x:is>
      </x:c>
      <x:c r="B567" s="8" t="inlineStr">
        <x:is>
          <x:t xml:space="preserve">B01-04A</x:t>
        </x:is>
      </x:c>
      <x:c r="C567" s="8" t="inlineStr">
        <x:is>
          <x:t xml:space="preserve">F01; F04</x:t>
        </x:is>
      </x:c>
      <x:c r="D567" s="8" t="inlineStr">
        <x:is>
          <x:t xml:space="preserve">DOC-006</x:t>
        </x:is>
      </x:c>
      <x:c r="E567" s="8" t="inlineStr">
        <x:is>
          <x:t xml:space="preserve">Chốt và triển khai gói phiên đăng nhập, địa chỉ default/version</x:t>
        </x:is>
      </x:c>
      <x:c r="F567" s="8" t="inlineStr">
        <x:is>
          <x:t xml:space="preserve">Đã cập nhật</x:t>
        </x:is>
      </x:c>
      <x:c r="G567" s="8" t="inlineStr">
        <x:is>
          <x:t xml:space="preserve">Có</x:t>
        </x:is>
      </x:c>
      <x:c r="H567" s="8" t="inlineStr">
        <x:is>
          <x:t xml:space="preserve">Codex</x:t>
        </x:is>
      </x:c>
      <x:c r="I567" s="27" t="n">
        <x:v>46301</x:v>
      </x:c>
      <x:c r="J567" s="8" t="inlineStr">
        <x:is>
          <x:t xml:space="preserve">B01-04A được user duyệt cả gói 06/10/2026: phiên theo family, địa chỉ default/version/manual Point. Nguồn/mirror/viewer/ZIP v0.1.5 kiểm khớp; 9 raw Drive cùng ID tải lại cmp bytes đạt; FR D97/D103 và SRS/UX native sửa phạm vi hẹp, đọc lại xác nhận. API50/mobile106/web/native Android+iOS đạt local; chưa CI/UAT gói mới. Báo cáo/checklist chỉ repo.</x:t>
        </x:is>
      </x:c>
      <x:c r="K567" s="8" t="inlineStr">
        <x:is>
          <x:t xml:space="preserve"/>
        </x:is>
      </x:c>
      <x:c r="L567" t="str">
        <x:f>IF(F567="Không áp dụng",IF(AND(K567&lt;&gt;"",H567&lt;&gt;""),"Không áp dụng có lý do","Thiếu lý do/người kiểm"),IF(AND(B567&lt;&gt;"",D567&lt;&gt;"",F567="Đã cập nhật",G567="Có",H567&lt;&gt;"",ISNUMBER(I567),J567&lt;&gt;""),"Hoàn tất","Chưa hoàn tất"))</x:f>
        <x:v>Hoàn tất</x:v>
      </x:c>
    </x:row>
    <x:row r="568">
      <x:c r="A568" s="8" t="inlineStr">
        <x:is>
          <x:t xml:space="preserve">CHG-B01-04A</x:t>
        </x:is>
      </x:c>
      <x:c r="B568" s="8" t="inlineStr">
        <x:is>
          <x:t xml:space="preserve">B01-04A</x:t>
        </x:is>
      </x:c>
      <x:c r="C568" s="8" t="inlineStr">
        <x:is>
          <x:t xml:space="preserve">F01; F04</x:t>
        </x:is>
      </x:c>
      <x:c r="D568" s="8" t="inlineStr">
        <x:is>
          <x:t xml:space="preserve">DOC-007</x:t>
        </x:is>
      </x:c>
      <x:c r="E568" s="8" t="inlineStr">
        <x:is>
          <x:t xml:space="preserve">Chốt và triển khai gói phiên đăng nhập, địa chỉ default/version</x:t>
        </x:is>
      </x:c>
      <x:c r="F568" s="8" t="inlineStr">
        <x:is>
          <x:t xml:space="preserve">Đã cập nhật</x:t>
        </x:is>
      </x:c>
      <x:c r="G568" s="8" t="inlineStr">
        <x:is>
          <x:t xml:space="preserve">Có</x:t>
        </x:is>
      </x:c>
      <x:c r="H568" s="8" t="inlineStr">
        <x:is>
          <x:t xml:space="preserve">Codex</x:t>
        </x:is>
      </x:c>
      <x:c r="I568" s="27" t="n">
        <x:v>46301</x:v>
      </x:c>
      <x:c r="J568" s="8" t="inlineStr">
        <x:is>
          <x:t xml:space="preserve">B01-04A được user duyệt cả gói 06/10/2026: phiên theo family, địa chỉ default/version/manual Point. Nguồn/mirror/viewer/ZIP v0.1.5 kiểm khớp; 9 raw Drive cùng ID tải lại cmp bytes đạt; FR D97/D103 và SRS/UX native sửa phạm vi hẹp, đọc lại xác nhận. API50/mobile106/web/native Android+iOS đạt local; chưa CI/UAT gói mới. Báo cáo/checklist chỉ repo.</x:t>
        </x:is>
      </x:c>
      <x:c r="K568" s="8" t="inlineStr">
        <x:is>
          <x:t xml:space="preserve"/>
        </x:is>
      </x:c>
      <x:c r="L568" t="str">
        <x:f>IF(F568="Không áp dụng",IF(AND(K568&lt;&gt;"",H568&lt;&gt;""),"Không áp dụng có lý do","Thiếu lý do/người kiểm"),IF(AND(B568&lt;&gt;"",D568&lt;&gt;"",F568="Đã cập nhật",G568="Có",H568&lt;&gt;"",ISNUMBER(I568),J568&lt;&gt;""),"Hoàn tất","Chưa hoàn tất"))</x:f>
        <x:v>Hoàn tất</x:v>
      </x:c>
    </x:row>
    <x:row r="569">
      <x:c r="A569" s="8" t="inlineStr">
        <x:is>
          <x:t xml:space="preserve">CHG-B01-04A</x:t>
        </x:is>
      </x:c>
      <x:c r="B569" s="8" t="inlineStr">
        <x:is>
          <x:t xml:space="preserve">B01-04A</x:t>
        </x:is>
      </x:c>
      <x:c r="C569" s="8" t="inlineStr">
        <x:is>
          <x:t xml:space="preserve">F01; F04</x:t>
        </x:is>
      </x:c>
      <x:c r="D569" s="8" t="inlineStr">
        <x:is>
          <x:t xml:space="preserve">DOC-008</x:t>
        </x:is>
      </x:c>
      <x:c r="E569" s="8" t="inlineStr">
        <x:is>
          <x:t xml:space="preserve">Chốt và triển khai gói phiên đăng nhập, địa chỉ default/version</x:t>
        </x:is>
      </x:c>
      <x:c r="F569" s="8" t="inlineStr">
        <x:is>
          <x:t xml:space="preserve">Không áp dụng</x:t>
        </x:is>
      </x:c>
      <x:c r="G569" s="8" t="inlineStr">
        <x:is>
          <x:t xml:space="preserve">Có</x:t>
        </x:is>
      </x:c>
      <x:c r="H569" s="8" t="inlineStr">
        <x:is>
          <x:t xml:space="preserve">Codex</x:t>
        </x:is>
      </x:c>
      <x:c r="I569" s="27" t="n">
        <x:v>46301</x:v>
      </x:c>
      <x:c r="J569" s="8" t="inlineStr">
        <x:is>
          <x:t xml:space="preserve">Đã tra Anh huong, API/data, account-batch và các nguồn liên quan; phạm vi tại báo cáo B01-04-phien-va-dia-chi.</x:t>
        </x:is>
      </x:c>
      <x:c r="K569"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569" t="str">
        <x:f>IF(F569="Không áp dụng",IF(AND(K569&lt;&gt;"",H569&lt;&gt;""),"Không áp dụng có lý do","Thiếu lý do/người kiểm"),IF(AND(B569&lt;&gt;"",D569&lt;&gt;"",F569="Đã cập nhật",G569="Có",H569&lt;&gt;"",ISNUMBER(I569),J569&lt;&gt;""),"Hoàn tất","Chưa hoàn tất"))</x:f>
        <x:v>Không áp dụng có lý do</x:v>
      </x:c>
    </x:row>
    <x:row r="570">
      <x:c r="A570" s="8" t="inlineStr">
        <x:is>
          <x:t xml:space="preserve">CHG-B01-04A</x:t>
        </x:is>
      </x:c>
      <x:c r="B570" s="8" t="inlineStr">
        <x:is>
          <x:t xml:space="preserve">B01-04A</x:t>
        </x:is>
      </x:c>
      <x:c r="C570" s="8" t="inlineStr">
        <x:is>
          <x:t xml:space="preserve">F01; F04</x:t>
        </x:is>
      </x:c>
      <x:c r="D570" s="8" t="inlineStr">
        <x:is>
          <x:t xml:space="preserve">DOC-012</x:t>
        </x:is>
      </x:c>
      <x:c r="E570" s="8" t="inlineStr">
        <x:is>
          <x:t xml:space="preserve">Chốt và triển khai gói phiên đăng nhập, địa chỉ default/version</x:t>
        </x:is>
      </x:c>
      <x:c r="F570" s="8" t="inlineStr">
        <x:is>
          <x:t xml:space="preserve">Không áp dụng</x:t>
        </x:is>
      </x:c>
      <x:c r="G570" s="8" t="inlineStr">
        <x:is>
          <x:t xml:space="preserve">Có</x:t>
        </x:is>
      </x:c>
      <x:c r="H570" s="8" t="inlineStr">
        <x:is>
          <x:t xml:space="preserve">Codex</x:t>
        </x:is>
      </x:c>
      <x:c r="I570" s="27" t="n">
        <x:v>46301</x:v>
      </x:c>
      <x:c r="J570" s="8" t="inlineStr">
        <x:is>
          <x:t xml:space="preserve">Đã tra Anh huong, API/data, account-batch và các nguồn liên quan; phạm vi tại báo cáo B01-04-phien-va-dia-chi.</x:t>
        </x:is>
      </x:c>
      <x:c r="K570"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570" t="str">
        <x:f>IF(F570="Không áp dụng",IF(AND(K570&lt;&gt;"",H570&lt;&gt;""),"Không áp dụng có lý do","Thiếu lý do/người kiểm"),IF(AND(B570&lt;&gt;"",D570&lt;&gt;"",F570="Đã cập nhật",G570="Có",H570&lt;&gt;"",ISNUMBER(I570),J570&lt;&gt;""),"Hoàn tất","Chưa hoàn tất"))</x:f>
        <x:v>Không áp dụng có lý do</x:v>
      </x:c>
    </x:row>
    <x:row r="571">
      <x:c r="A571" s="8" t="inlineStr">
        <x:is>
          <x:t xml:space="preserve">CHG-B01-04A</x:t>
        </x:is>
      </x:c>
      <x:c r="B571" s="8" t="inlineStr">
        <x:is>
          <x:t xml:space="preserve">B01-04A</x:t>
        </x:is>
      </x:c>
      <x:c r="C571" s="8" t="inlineStr">
        <x:is>
          <x:t xml:space="preserve">F01; F04</x:t>
        </x:is>
      </x:c>
      <x:c r="D571" s="8" t="inlineStr">
        <x:is>
          <x:t xml:space="preserve">DOC-013</x:t>
        </x:is>
      </x:c>
      <x:c r="E571" s="8" t="inlineStr">
        <x:is>
          <x:t xml:space="preserve">Chốt và triển khai gói phiên đăng nhập, địa chỉ default/version</x:t>
        </x:is>
      </x:c>
      <x:c r="F571" s="8" t="inlineStr">
        <x:is>
          <x:t xml:space="preserve">Không áp dụng</x:t>
        </x:is>
      </x:c>
      <x:c r="G571" s="8" t="inlineStr">
        <x:is>
          <x:t xml:space="preserve">Có</x:t>
        </x:is>
      </x:c>
      <x:c r="H571" s="8" t="inlineStr">
        <x:is>
          <x:t xml:space="preserve">Codex</x:t>
        </x:is>
      </x:c>
      <x:c r="I571" s="27" t="n">
        <x:v>46301</x:v>
      </x:c>
      <x:c r="J571" s="8" t="inlineStr">
        <x:is>
          <x:t xml:space="preserve">Đã tra Anh huong, API/data, account-batch và các nguồn liên quan; phạm vi tại báo cáo B01-04-phien-va-dia-chi.</x:t>
        </x:is>
      </x:c>
      <x:c r="K571"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571" t="str">
        <x:f>IF(F571="Không áp dụng",IF(AND(K571&lt;&gt;"",H571&lt;&gt;""),"Không áp dụng có lý do","Thiếu lý do/người kiểm"),IF(AND(B571&lt;&gt;"",D571&lt;&gt;"",F571="Đã cập nhật",G571="Có",H571&lt;&gt;"",ISNUMBER(I571),J571&lt;&gt;""),"Hoàn tất","Chưa hoàn tất"))</x:f>
        <x:v>Không áp dụng có lý do</x:v>
      </x:c>
    </x:row>
    <x:row r="572">
      <x:c r="A572" s="8" t="inlineStr">
        <x:is>
          <x:t xml:space="preserve">CHG-B01-04A</x:t>
        </x:is>
      </x:c>
      <x:c r="B572" s="8" t="inlineStr">
        <x:is>
          <x:t xml:space="preserve">B01-04A</x:t>
        </x:is>
      </x:c>
      <x:c r="C572" s="8" t="inlineStr">
        <x:is>
          <x:t xml:space="preserve">F01; F04</x:t>
        </x:is>
      </x:c>
      <x:c r="D572" s="8" t="inlineStr">
        <x:is>
          <x:t xml:space="preserve">DOC-015</x:t>
        </x:is>
      </x:c>
      <x:c r="E572" s="8" t="inlineStr">
        <x:is>
          <x:t xml:space="preserve">Chốt và triển khai gói phiên đăng nhập, địa chỉ default/version</x:t>
        </x:is>
      </x:c>
      <x:c r="F572" s="8" t="inlineStr">
        <x:is>
          <x:t xml:space="preserve">Không áp dụng</x:t>
        </x:is>
      </x:c>
      <x:c r="G572" s="8" t="inlineStr">
        <x:is>
          <x:t xml:space="preserve">Có</x:t>
        </x:is>
      </x:c>
      <x:c r="H572" s="8" t="inlineStr">
        <x:is>
          <x:t xml:space="preserve">Codex</x:t>
        </x:is>
      </x:c>
      <x:c r="I572" s="27" t="n">
        <x:v>46301</x:v>
      </x:c>
      <x:c r="J572" s="8" t="inlineStr">
        <x:is>
          <x:t xml:space="preserve">Đã tra Anh huong, API/data, account-batch và các nguồn liên quan; phạm vi tại báo cáo B01-04-phien-va-dia-chi.</x:t>
        </x:is>
      </x:c>
      <x:c r="K572"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572" t="str">
        <x:f>IF(F572="Không áp dụng",IF(AND(K572&lt;&gt;"",H572&lt;&gt;""),"Không áp dụng có lý do","Thiếu lý do/người kiểm"),IF(AND(B572&lt;&gt;"",D572&lt;&gt;"",F572="Đã cập nhật",G572="Có",H572&lt;&gt;"",ISNUMBER(I572),J572&lt;&gt;""),"Hoàn tất","Chưa hoàn tất"))</x:f>
        <x:v>Không áp dụng có lý do</x:v>
      </x:c>
    </x:row>
    <x:row r="573">
      <x:c r="A573" s="8" t="inlineStr">
        <x:is>
          <x:t xml:space="preserve">CHG-B01-04A</x:t>
        </x:is>
      </x:c>
      <x:c r="B573" s="8" t="inlineStr">
        <x:is>
          <x:t xml:space="preserve">B01-04A</x:t>
        </x:is>
      </x:c>
      <x:c r="C573" s="8" t="inlineStr">
        <x:is>
          <x:t xml:space="preserve">F01; F04</x:t>
        </x:is>
      </x:c>
      <x:c r="D573" s="8" t="inlineStr">
        <x:is>
          <x:t xml:space="preserve">DOC-016</x:t>
        </x:is>
      </x:c>
      <x:c r="E573" s="8" t="inlineStr">
        <x:is>
          <x:t xml:space="preserve">Chốt và triển khai gói phiên đăng nhập, địa chỉ default/version</x:t>
        </x:is>
      </x:c>
      <x:c r="F573" s="8" t="inlineStr">
        <x:is>
          <x:t xml:space="preserve">Không áp dụng</x:t>
        </x:is>
      </x:c>
      <x:c r="G573" s="8" t="inlineStr">
        <x:is>
          <x:t xml:space="preserve">Có</x:t>
        </x:is>
      </x:c>
      <x:c r="H573" s="8" t="inlineStr">
        <x:is>
          <x:t xml:space="preserve">Codex</x:t>
        </x:is>
      </x:c>
      <x:c r="I573" s="27" t="n">
        <x:v>46301</x:v>
      </x:c>
      <x:c r="J573" s="8" t="inlineStr">
        <x:is>
          <x:t xml:space="preserve">Đã tra Anh huong, API/data, account-batch và các nguồn liên quan; phạm vi tại báo cáo B01-04-phien-va-dia-chi.</x:t>
        </x:is>
      </x:c>
      <x:c r="K573"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573" t="str">
        <x:f>IF(F573="Không áp dụng",IF(AND(K573&lt;&gt;"",H573&lt;&gt;""),"Không áp dụng có lý do","Thiếu lý do/người kiểm"),IF(AND(B573&lt;&gt;"",D573&lt;&gt;"",F573="Đã cập nhật",G573="Có",H573&lt;&gt;"",ISNUMBER(I573),J573&lt;&gt;""),"Hoàn tất","Chưa hoàn tất"))</x:f>
        <x:v>Không áp dụng có lý do</x:v>
      </x:c>
    </x:row>
    <x:row r="574">
      <x:c r="A574" s="8" t="inlineStr">
        <x:is>
          <x:t xml:space="preserve">CHG-B01-04A</x:t>
        </x:is>
      </x:c>
      <x:c r="B574" s="8" t="inlineStr">
        <x:is>
          <x:t xml:space="preserve">B01-04A</x:t>
        </x:is>
      </x:c>
      <x:c r="C574" s="8" t="inlineStr">
        <x:is>
          <x:t xml:space="preserve">F01; F04</x:t>
        </x:is>
      </x:c>
      <x:c r="D574" s="8" t="inlineStr">
        <x:is>
          <x:t xml:space="preserve">DOC-017</x:t>
        </x:is>
      </x:c>
      <x:c r="E574" s="8" t="inlineStr">
        <x:is>
          <x:t xml:space="preserve">Chốt và triển khai gói phiên đăng nhập, địa chỉ default/version</x:t>
        </x:is>
      </x:c>
      <x:c r="F574" s="8" t="inlineStr">
        <x:is>
          <x:t xml:space="preserve">Không áp dụng</x:t>
        </x:is>
      </x:c>
      <x:c r="G574" s="8" t="inlineStr">
        <x:is>
          <x:t xml:space="preserve">Có</x:t>
        </x:is>
      </x:c>
      <x:c r="H574" s="8" t="inlineStr">
        <x:is>
          <x:t xml:space="preserve">Codex</x:t>
        </x:is>
      </x:c>
      <x:c r="I574" s="27" t="n">
        <x:v>46301</x:v>
      </x:c>
      <x:c r="J574" s="8" t="inlineStr">
        <x:is>
          <x:t xml:space="preserve">Đã tra Anh huong, API/data, account-batch và các nguồn liên quan; phạm vi tại báo cáo B01-04-phien-va-dia-chi.</x:t>
        </x:is>
      </x:c>
      <x:c r="K574"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574" t="str">
        <x:f>IF(F574="Không áp dụng",IF(AND(K574&lt;&gt;"",H574&lt;&gt;""),"Không áp dụng có lý do","Thiếu lý do/người kiểm"),IF(AND(B574&lt;&gt;"",D574&lt;&gt;"",F574="Đã cập nhật",G574="Có",H574&lt;&gt;"",ISNUMBER(I574),J574&lt;&gt;""),"Hoàn tất","Chưa hoàn tất"))</x:f>
        <x:v>Không áp dụng có lý do</x:v>
      </x:c>
    </x:row>
    <x:row r="575">
      <x:c r="A575" s="8" t="inlineStr">
        <x:is>
          <x:t xml:space="preserve">CHG-B01-04A</x:t>
        </x:is>
      </x:c>
      <x:c r="B575" s="8" t="inlineStr">
        <x:is>
          <x:t xml:space="preserve">B01-04A</x:t>
        </x:is>
      </x:c>
      <x:c r="C575" s="8" t="inlineStr">
        <x:is>
          <x:t xml:space="preserve">F01; F04</x:t>
        </x:is>
      </x:c>
      <x:c r="D575" s="8" t="inlineStr">
        <x:is>
          <x:t xml:space="preserve">DOC-018</x:t>
        </x:is>
      </x:c>
      <x:c r="E575" s="8" t="inlineStr">
        <x:is>
          <x:t xml:space="preserve">Chốt và triển khai gói phiên đăng nhập, địa chỉ default/version</x:t>
        </x:is>
      </x:c>
      <x:c r="F575" s="8" t="inlineStr">
        <x:is>
          <x:t xml:space="preserve">Không áp dụng</x:t>
        </x:is>
      </x:c>
      <x:c r="G575" s="8" t="inlineStr">
        <x:is>
          <x:t xml:space="preserve">Có</x:t>
        </x:is>
      </x:c>
      <x:c r="H575" s="8" t="inlineStr">
        <x:is>
          <x:t xml:space="preserve">Codex</x:t>
        </x:is>
      </x:c>
      <x:c r="I575" s="27" t="n">
        <x:v>46301</x:v>
      </x:c>
      <x:c r="J575" s="8" t="inlineStr">
        <x:is>
          <x:t xml:space="preserve">Đã tra Anh huong, API/data, account-batch và các nguồn liên quan; phạm vi tại báo cáo B01-04-phien-va-dia-chi.</x:t>
        </x:is>
      </x:c>
      <x:c r="K575"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575" t="str">
        <x:f>IF(F575="Không áp dụng",IF(AND(K575&lt;&gt;"",H575&lt;&gt;""),"Không áp dụng có lý do","Thiếu lý do/người kiểm"),IF(AND(B575&lt;&gt;"",D575&lt;&gt;"",F575="Đã cập nhật",G575="Có",H575&lt;&gt;"",ISNUMBER(I575),J575&lt;&gt;""),"Hoàn tất","Chưa hoàn tất"))</x:f>
        <x:v>Không áp dụng có lý do</x:v>
      </x:c>
    </x:row>
    <x:row r="576">
      <x:c r="A576" s="8" t="inlineStr">
        <x:is>
          <x:t xml:space="preserve">CHG-B01-04A</x:t>
        </x:is>
      </x:c>
      <x:c r="B576" s="8" t="inlineStr">
        <x:is>
          <x:t xml:space="preserve">B01-04A</x:t>
        </x:is>
      </x:c>
      <x:c r="C576" s="8" t="inlineStr">
        <x:is>
          <x:t xml:space="preserve">F01; F04</x:t>
        </x:is>
      </x:c>
      <x:c r="D576" s="8" t="inlineStr">
        <x:is>
          <x:t xml:space="preserve">DOC-025</x:t>
        </x:is>
      </x:c>
      <x:c r="E576" s="8" t="inlineStr">
        <x:is>
          <x:t xml:space="preserve">Chốt và triển khai gói phiên đăng nhập, địa chỉ default/version</x:t>
        </x:is>
      </x:c>
      <x:c r="F576" s="8" t="inlineStr">
        <x:is>
          <x:t xml:space="preserve">Không áp dụng</x:t>
        </x:is>
      </x:c>
      <x:c r="G576" s="8" t="inlineStr">
        <x:is>
          <x:t xml:space="preserve">Có</x:t>
        </x:is>
      </x:c>
      <x:c r="H576" s="8" t="inlineStr">
        <x:is>
          <x:t xml:space="preserve">Codex</x:t>
        </x:is>
      </x:c>
      <x:c r="I576" s="27" t="n">
        <x:v>46301</x:v>
      </x:c>
      <x:c r="J576" s="8" t="inlineStr">
        <x:is>
          <x:t xml:space="preserve">Đã tra Anh huong, API/data, account-batch và các nguồn liên quan; phạm vi tại báo cáo B01-04-phien-va-dia-chi.</x:t>
        </x:is>
      </x:c>
      <x:c r="K576"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576" t="str">
        <x:f>IF(F576="Không áp dụng",IF(AND(K576&lt;&gt;"",H576&lt;&gt;""),"Không áp dụng có lý do","Thiếu lý do/người kiểm"),IF(AND(B576&lt;&gt;"",D576&lt;&gt;"",F576="Đã cập nhật",G576="Có",H576&lt;&gt;"",ISNUMBER(I576),J576&lt;&gt;""),"Hoàn tất","Chưa hoàn tất"))</x:f>
        <x:v>Không áp dụng có lý do</x:v>
      </x:c>
    </x:row>
    <x:row r="577">
      <x:c r="A577" s="8" t="inlineStr">
        <x:is>
          <x:t xml:space="preserve">CHG-B01-04A</x:t>
        </x:is>
      </x:c>
      <x:c r="B577" s="8" t="inlineStr">
        <x:is>
          <x:t xml:space="preserve">B01-04A</x:t>
        </x:is>
      </x:c>
      <x:c r="C577" s="8" t="inlineStr">
        <x:is>
          <x:t xml:space="preserve">F01; F04</x:t>
        </x:is>
      </x:c>
      <x:c r="D577" s="8" t="inlineStr">
        <x:is>
          <x:t xml:space="preserve">DOC-026</x:t>
        </x:is>
      </x:c>
      <x:c r="E577" s="8" t="inlineStr">
        <x:is>
          <x:t xml:space="preserve">Chốt và triển khai gói phiên đăng nhập, địa chỉ default/version</x:t>
        </x:is>
      </x:c>
      <x:c r="F577" s="8" t="inlineStr">
        <x:is>
          <x:t xml:space="preserve">Không áp dụng</x:t>
        </x:is>
      </x:c>
      <x:c r="G577" s="8" t="inlineStr">
        <x:is>
          <x:t xml:space="preserve">Có</x:t>
        </x:is>
      </x:c>
      <x:c r="H577" s="8" t="inlineStr">
        <x:is>
          <x:t xml:space="preserve">Codex</x:t>
        </x:is>
      </x:c>
      <x:c r="I577" s="27" t="n">
        <x:v>46301</x:v>
      </x:c>
      <x:c r="J577" s="8" t="inlineStr">
        <x:is>
          <x:t xml:space="preserve">Đã tra Anh huong, API/data, account-batch và các nguồn liên quan; phạm vi tại báo cáo B01-04-phien-va-dia-chi.</x:t>
        </x:is>
      </x:c>
      <x:c r="K577"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577" t="str">
        <x:f>IF(F577="Không áp dụng",IF(AND(K577&lt;&gt;"",H577&lt;&gt;""),"Không áp dụng có lý do","Thiếu lý do/người kiểm"),IF(AND(B577&lt;&gt;"",D577&lt;&gt;"",F577="Đã cập nhật",G577="Có",H577&lt;&gt;"",ISNUMBER(I577),J577&lt;&gt;""),"Hoàn tất","Chưa hoàn tất"))</x:f>
        <x:v>Không áp dụng có lý do</x:v>
      </x:c>
    </x:row>
    <x:row r="578">
      <x:c r="A578" s="8" t="inlineStr">
        <x:is>
          <x:t xml:space="preserve">CHG-B01-04A</x:t>
        </x:is>
      </x:c>
      <x:c r="B578" s="8" t="inlineStr">
        <x:is>
          <x:t xml:space="preserve">B01-04A</x:t>
        </x:is>
      </x:c>
      <x:c r="C578" s="8" t="inlineStr">
        <x:is>
          <x:t xml:space="preserve">F01; F04</x:t>
        </x:is>
      </x:c>
      <x:c r="D578" s="8" t="inlineStr">
        <x:is>
          <x:t xml:space="preserve">DOC-027</x:t>
        </x:is>
      </x:c>
      <x:c r="E578" s="8" t="inlineStr">
        <x:is>
          <x:t xml:space="preserve">Chốt và triển khai gói phiên đăng nhập, địa chỉ default/version</x:t>
        </x:is>
      </x:c>
      <x:c r="F578" s="8" t="inlineStr">
        <x:is>
          <x:t xml:space="preserve">Không áp dụng</x:t>
        </x:is>
      </x:c>
      <x:c r="G578" s="8" t="inlineStr">
        <x:is>
          <x:t xml:space="preserve">Có</x:t>
        </x:is>
      </x:c>
      <x:c r="H578" s="8" t="inlineStr">
        <x:is>
          <x:t xml:space="preserve">Codex</x:t>
        </x:is>
      </x:c>
      <x:c r="I578" s="27" t="n">
        <x:v>46301</x:v>
      </x:c>
      <x:c r="J578" s="8" t="inlineStr">
        <x:is>
          <x:t xml:space="preserve">Đã tra Anh huong, API/data, account-batch và các nguồn liên quan; phạm vi tại báo cáo B01-04-phien-va-dia-chi.</x:t>
        </x:is>
      </x:c>
      <x:c r="K578"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578" t="str">
        <x:f>IF(F578="Không áp dụng",IF(AND(K578&lt;&gt;"",H578&lt;&gt;""),"Không áp dụng có lý do","Thiếu lý do/người kiểm"),IF(AND(B578&lt;&gt;"",D578&lt;&gt;"",F578="Đã cập nhật",G578="Có",H578&lt;&gt;"",ISNUMBER(I578),J578&lt;&gt;""),"Hoàn tất","Chưa hoàn tất"))</x:f>
        <x:v>Không áp dụng có lý do</x:v>
      </x:c>
    </x:row>
    <x:row r="579">
      <x:c r="A579" s="8" t="inlineStr">
        <x:is>
          <x:t xml:space="preserve">CHG-B01-04A</x:t>
        </x:is>
      </x:c>
      <x:c r="B579" s="8" t="inlineStr">
        <x:is>
          <x:t xml:space="preserve">B01-04A</x:t>
        </x:is>
      </x:c>
      <x:c r="C579" s="8" t="inlineStr">
        <x:is>
          <x:t xml:space="preserve">F01; F04</x:t>
        </x:is>
      </x:c>
      <x:c r="D579" s="8" t="inlineStr">
        <x:is>
          <x:t xml:space="preserve">DOC-028</x:t>
        </x:is>
      </x:c>
      <x:c r="E579" s="8" t="inlineStr">
        <x:is>
          <x:t xml:space="preserve">Chốt và triển khai gói phiên đăng nhập, địa chỉ default/version</x:t>
        </x:is>
      </x:c>
      <x:c r="F579" s="8" t="inlineStr">
        <x:is>
          <x:t xml:space="preserve">Không áp dụng</x:t>
        </x:is>
      </x:c>
      <x:c r="G579" s="8" t="inlineStr">
        <x:is>
          <x:t xml:space="preserve">Có</x:t>
        </x:is>
      </x:c>
      <x:c r="H579" s="8" t="inlineStr">
        <x:is>
          <x:t xml:space="preserve">Codex</x:t>
        </x:is>
      </x:c>
      <x:c r="I579" s="27" t="n">
        <x:v>46301</x:v>
      </x:c>
      <x:c r="J579" s="8" t="inlineStr">
        <x:is>
          <x:t xml:space="preserve">Đã tra Anh huong, API/data, account-batch và các nguồn liên quan; phạm vi tại báo cáo B01-04-phien-va-dia-chi.</x:t>
        </x:is>
      </x:c>
      <x:c r="K579"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579" t="str">
        <x:f>IF(F579="Không áp dụng",IF(AND(K579&lt;&gt;"",H579&lt;&gt;""),"Không áp dụng có lý do","Thiếu lý do/người kiểm"),IF(AND(B579&lt;&gt;"",D579&lt;&gt;"",F579="Đã cập nhật",G579="Có",H579&lt;&gt;"",ISNUMBER(I579),J579&lt;&gt;""),"Hoàn tất","Chưa hoàn tất"))</x:f>
        <x:v>Không áp dụng có lý do</x:v>
      </x:c>
    </x:row>
    <x:row r="580">
      <x:c r="A580" s="8" t="inlineStr">
        <x:is>
          <x:t xml:space="preserve">CHG-B01-04A</x:t>
        </x:is>
      </x:c>
      <x:c r="B580" s="8" t="inlineStr">
        <x:is>
          <x:t xml:space="preserve">B01-04A</x:t>
        </x:is>
      </x:c>
      <x:c r="C580" s="8" t="inlineStr">
        <x:is>
          <x:t xml:space="preserve">F01; F04</x:t>
        </x:is>
      </x:c>
      <x:c r="D580" s="8" t="inlineStr">
        <x:is>
          <x:t xml:space="preserve">DOC-029</x:t>
        </x:is>
      </x:c>
      <x:c r="E580" s="8" t="inlineStr">
        <x:is>
          <x:t xml:space="preserve">Chốt và triển khai gói phiên đăng nhập, địa chỉ default/version</x:t>
        </x:is>
      </x:c>
      <x:c r="F580" s="8" t="inlineStr">
        <x:is>
          <x:t xml:space="preserve">Không áp dụng</x:t>
        </x:is>
      </x:c>
      <x:c r="G580" s="8" t="inlineStr">
        <x:is>
          <x:t xml:space="preserve">Có</x:t>
        </x:is>
      </x:c>
      <x:c r="H580" s="8" t="inlineStr">
        <x:is>
          <x:t xml:space="preserve">Codex</x:t>
        </x:is>
      </x:c>
      <x:c r="I580" s="27" t="n">
        <x:v>46301</x:v>
      </x:c>
      <x:c r="J580" s="8" t="inlineStr">
        <x:is>
          <x:t xml:space="preserve">Đã tra Anh huong, API/data, account-batch và các nguồn liên quan; phạm vi tại báo cáo B01-04-phien-va-dia-chi.</x:t>
        </x:is>
      </x:c>
      <x:c r="K580"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580" t="str">
        <x:f>IF(F580="Không áp dụng",IF(AND(K580&lt;&gt;"",H580&lt;&gt;""),"Không áp dụng có lý do","Thiếu lý do/người kiểm"),IF(AND(B580&lt;&gt;"",D580&lt;&gt;"",F580="Đã cập nhật",G580="Có",H580&lt;&gt;"",ISNUMBER(I580),J580&lt;&gt;""),"Hoàn tất","Chưa hoàn tất"))</x:f>
        <x:v>Không áp dụng có lý do</x:v>
      </x:c>
    </x:row>
    <x:row r="581">
      <x:c r="A581" s="8" t="inlineStr">
        <x:is>
          <x:t xml:space="preserve">CHG-B01-04A</x:t>
        </x:is>
      </x:c>
      <x:c r="B581" s="8" t="inlineStr">
        <x:is>
          <x:t xml:space="preserve">B01-04A</x:t>
        </x:is>
      </x:c>
      <x:c r="C581" s="8" t="inlineStr">
        <x:is>
          <x:t xml:space="preserve">F01; F04</x:t>
        </x:is>
      </x:c>
      <x:c r="D581" s="8" t="inlineStr">
        <x:is>
          <x:t xml:space="preserve">DOC-030</x:t>
        </x:is>
      </x:c>
      <x:c r="E581" s="8" t="inlineStr">
        <x:is>
          <x:t xml:space="preserve">Chốt và triển khai gói phiên đăng nhập, địa chỉ default/version</x:t>
        </x:is>
      </x:c>
      <x:c r="F581" s="8" t="inlineStr">
        <x:is>
          <x:t xml:space="preserve">Không áp dụng</x:t>
        </x:is>
      </x:c>
      <x:c r="G581" s="8" t="inlineStr">
        <x:is>
          <x:t xml:space="preserve">Có</x:t>
        </x:is>
      </x:c>
      <x:c r="H581" s="8" t="inlineStr">
        <x:is>
          <x:t xml:space="preserve">Codex</x:t>
        </x:is>
      </x:c>
      <x:c r="I581" s="27" t="n">
        <x:v>46301</x:v>
      </x:c>
      <x:c r="J581" s="8" t="inlineStr">
        <x:is>
          <x:t xml:space="preserve">Đã tra Anh huong, API/data, account-batch và các nguồn liên quan; phạm vi tại báo cáo B01-04-phien-va-dia-chi.</x:t>
        </x:is>
      </x:c>
      <x:c r="K581"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581" t="str">
        <x:f>IF(F581="Không áp dụng",IF(AND(K581&lt;&gt;"",H581&lt;&gt;""),"Không áp dụng có lý do","Thiếu lý do/người kiểm"),IF(AND(B581&lt;&gt;"",D581&lt;&gt;"",F581="Đã cập nhật",G581="Có",H581&lt;&gt;"",ISNUMBER(I581),J581&lt;&gt;""),"Hoàn tất","Chưa hoàn tất"))</x:f>
        <x:v>Không áp dụng có lý do</x:v>
      </x:c>
    </x:row>
    <x:row r="582">
      <x:c r="A582" s="8" t="inlineStr">
        <x:is>
          <x:t xml:space="preserve">CHG-B01-04A</x:t>
        </x:is>
      </x:c>
      <x:c r="B582" s="8" t="inlineStr">
        <x:is>
          <x:t xml:space="preserve">B01-04A</x:t>
        </x:is>
      </x:c>
      <x:c r="C582" s="8" t="inlineStr">
        <x:is>
          <x:t xml:space="preserve">F01; F04</x:t>
        </x:is>
      </x:c>
      <x:c r="D582" s="8" t="inlineStr">
        <x:is>
          <x:t xml:space="preserve">DOC-031</x:t>
        </x:is>
      </x:c>
      <x:c r="E582" s="8" t="inlineStr">
        <x:is>
          <x:t xml:space="preserve">Chốt và triển khai gói phiên đăng nhập, địa chỉ default/version</x:t>
        </x:is>
      </x:c>
      <x:c r="F582" s="8" t="inlineStr">
        <x:is>
          <x:t xml:space="preserve">Không áp dụng</x:t>
        </x:is>
      </x:c>
      <x:c r="G582" s="8" t="inlineStr">
        <x:is>
          <x:t xml:space="preserve">Có</x:t>
        </x:is>
      </x:c>
      <x:c r="H582" s="8" t="inlineStr">
        <x:is>
          <x:t xml:space="preserve">Codex</x:t>
        </x:is>
      </x:c>
      <x:c r="I582" s="27" t="n">
        <x:v>46301</x:v>
      </x:c>
      <x:c r="J582" s="8" t="inlineStr">
        <x:is>
          <x:t xml:space="preserve">Đã tra Anh huong, API/data, account-batch và các nguồn liên quan; phạm vi tại báo cáo B01-04-phien-va-dia-chi.</x:t>
        </x:is>
      </x:c>
      <x:c r="K582"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582" t="str">
        <x:f>IF(F582="Không áp dụng",IF(AND(K582&lt;&gt;"",H582&lt;&gt;""),"Không áp dụng có lý do","Thiếu lý do/người kiểm"),IF(AND(B582&lt;&gt;"",D582&lt;&gt;"",F582="Đã cập nhật",G582="Có",H582&lt;&gt;"",ISNUMBER(I582),J582&lt;&gt;""),"Hoàn tất","Chưa hoàn tất"))</x:f>
        <x:v>Không áp dụng có lý do</x:v>
      </x:c>
    </x:row>
    <x:row r="583">
      <x:c r="A583" s="8" t="inlineStr">
        <x:is>
          <x:t xml:space="preserve">CHG-B01-04A</x:t>
        </x:is>
      </x:c>
      <x:c r="B583" s="8" t="inlineStr">
        <x:is>
          <x:t xml:space="preserve">B01-04A</x:t>
        </x:is>
      </x:c>
      <x:c r="C583" s="8" t="inlineStr">
        <x:is>
          <x:t xml:space="preserve">F01; F04</x:t>
        </x:is>
      </x:c>
      <x:c r="D583" s="8" t="inlineStr">
        <x:is>
          <x:t xml:space="preserve">DOC-033</x:t>
        </x:is>
      </x:c>
      <x:c r="E583" s="8" t="inlineStr">
        <x:is>
          <x:t xml:space="preserve">Chốt và triển khai gói phiên đăng nhập, địa chỉ default/version</x:t>
        </x:is>
      </x:c>
      <x:c r="F583" s="8" t="inlineStr">
        <x:is>
          <x:t xml:space="preserve">Không áp dụng</x:t>
        </x:is>
      </x:c>
      <x:c r="G583" s="8" t="inlineStr">
        <x:is>
          <x:t xml:space="preserve">Có</x:t>
        </x:is>
      </x:c>
      <x:c r="H583" s="8" t="inlineStr">
        <x:is>
          <x:t xml:space="preserve">Codex</x:t>
        </x:is>
      </x:c>
      <x:c r="I583" s="27" t="n">
        <x:v>46301</x:v>
      </x:c>
      <x:c r="J583" s="8" t="inlineStr">
        <x:is>
          <x:t xml:space="preserve">Đã tra Anh huong, API/data, account-batch và các nguồn liên quan; phạm vi tại báo cáo B01-04-phien-va-dia-chi.</x:t>
        </x:is>
      </x:c>
      <x:c r="K583"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583" t="str">
        <x:f>IF(F583="Không áp dụng",IF(AND(K583&lt;&gt;"",H583&lt;&gt;""),"Không áp dụng có lý do","Thiếu lý do/người kiểm"),IF(AND(B583&lt;&gt;"",D583&lt;&gt;"",F583="Đã cập nhật",G583="Có",H583&lt;&gt;"",ISNUMBER(I583),J583&lt;&gt;""),"Hoàn tất","Chưa hoàn tất"))</x:f>
        <x:v>Không áp dụng có lý do</x:v>
      </x:c>
    </x:row>
    <x:row r="584">
      <x:c r="A584" s="8" t="inlineStr">
        <x:is>
          <x:t xml:space="preserve">CHG-B01-04A</x:t>
        </x:is>
      </x:c>
      <x:c r="B584" s="8" t="inlineStr">
        <x:is>
          <x:t xml:space="preserve">B01-04A</x:t>
        </x:is>
      </x:c>
      <x:c r="C584" s="8" t="inlineStr">
        <x:is>
          <x:t xml:space="preserve">F01; F04</x:t>
        </x:is>
      </x:c>
      <x:c r="D584" s="8" t="inlineStr">
        <x:is>
          <x:t xml:space="preserve">DOC-037</x:t>
        </x:is>
      </x:c>
      <x:c r="E584" s="8" t="inlineStr">
        <x:is>
          <x:t xml:space="preserve">Chốt và triển khai gói phiên đăng nhập, địa chỉ default/version</x:t>
        </x:is>
      </x:c>
      <x:c r="F584" s="8" t="inlineStr">
        <x:is>
          <x:t xml:space="preserve">Đã cập nhật</x:t>
        </x:is>
      </x:c>
      <x:c r="G584" s="8" t="inlineStr">
        <x:is>
          <x:t xml:space="preserve">Có</x:t>
        </x:is>
      </x:c>
      <x:c r="H584" s="8" t="inlineStr">
        <x:is>
          <x:t xml:space="preserve">Codex</x:t>
        </x:is>
      </x:c>
      <x:c r="I584" s="27" t="n">
        <x:v>46301</x:v>
      </x:c>
      <x:c r="J584" s="8" t="inlineStr">
        <x:is>
          <x:t xml:space="preserve">B01-04A được user duyệt cả gói 06/10/2026: phiên theo family, địa chỉ default/version/manual Point. Nguồn/mirror/viewer/ZIP v0.1.5 kiểm khớp; 9 raw Drive cùng ID tải lại cmp bytes đạt; FR D97/D103 và SRS/UX native sửa phạm vi hẹp, đọc lại xác nhận. API50/mobile106/web/native Android+iOS đạt local; chưa CI/UAT gói mới. Báo cáo/checklist chỉ repo.</x:t>
        </x:is>
      </x:c>
      <x:c r="K584" s="8" t="inlineStr">
        <x:is>
          <x:t xml:space="preserve"/>
        </x:is>
      </x:c>
      <x:c r="L584" t="str">
        <x:f>IF(F584="Không áp dụng",IF(AND(K584&lt;&gt;"",H584&lt;&gt;""),"Không áp dụng có lý do","Thiếu lý do/người kiểm"),IF(AND(B584&lt;&gt;"",D584&lt;&gt;"",F584="Đã cập nhật",G584="Có",H584&lt;&gt;"",ISNUMBER(I584),J584&lt;&gt;""),"Hoàn tất","Chưa hoàn tất"))</x:f>
        <x:v>Hoàn tất</x:v>
      </x:c>
    </x:row>
    <x:row r="585">
      <x:c r="A585" s="8" t="inlineStr">
        <x:is>
          <x:t xml:space="preserve">CHG-B01-04A</x:t>
        </x:is>
      </x:c>
      <x:c r="B585" s="8" t="inlineStr">
        <x:is>
          <x:t xml:space="preserve">B01-04A</x:t>
        </x:is>
      </x:c>
      <x:c r="C585" s="8" t="inlineStr">
        <x:is>
          <x:t xml:space="preserve">F01; F04</x:t>
        </x:is>
      </x:c>
      <x:c r="D585" s="8" t="inlineStr">
        <x:is>
          <x:t xml:space="preserve">DOC-038</x:t>
        </x:is>
      </x:c>
      <x:c r="E585" s="8" t="inlineStr">
        <x:is>
          <x:t xml:space="preserve">Chốt và triển khai gói phiên đăng nhập, địa chỉ default/version</x:t>
        </x:is>
      </x:c>
      <x:c r="F585" s="8" t="inlineStr">
        <x:is>
          <x:t xml:space="preserve">Đã cập nhật</x:t>
        </x:is>
      </x:c>
      <x:c r="G585" s="8" t="inlineStr">
        <x:is>
          <x:t xml:space="preserve">Có</x:t>
        </x:is>
      </x:c>
      <x:c r="H585" s="8" t="inlineStr">
        <x:is>
          <x:t xml:space="preserve">Codex</x:t>
        </x:is>
      </x:c>
      <x:c r="I585" s="27" t="n">
        <x:v>46301</x:v>
      </x:c>
      <x:c r="J585" s="8" t="inlineStr">
        <x:is>
          <x:t xml:space="preserve">B01-04A được user duyệt cả gói 06/10/2026: phiên theo family, địa chỉ default/version/manual Point. Nguồn/mirror/viewer/ZIP v0.1.5 kiểm khớp; 9 raw Drive cùng ID tải lại cmp bytes đạt; FR D97/D103 và SRS/UX native sửa phạm vi hẹp, đọc lại xác nhận. API50/mobile106/web/native Android+iOS đạt local; chưa CI/UAT gói mới. Báo cáo/checklist chỉ repo.</x:t>
        </x:is>
      </x:c>
      <x:c r="K585" s="8" t="inlineStr">
        <x:is>
          <x:t xml:space="preserve"/>
        </x:is>
      </x:c>
      <x:c r="L585" t="str">
        <x:f>IF(F585="Không áp dụng",IF(AND(K585&lt;&gt;"",H585&lt;&gt;""),"Không áp dụng có lý do","Thiếu lý do/người kiểm"),IF(AND(B585&lt;&gt;"",D585&lt;&gt;"",F585="Đã cập nhật",G585="Có",H585&lt;&gt;"",ISNUMBER(I585),J585&lt;&gt;""),"Hoàn tất","Chưa hoàn tất"))</x:f>
        <x:v>Hoàn tất</x:v>
      </x:c>
    </x:row>
    <x:row r="586">
      <x:c r="A586" s="8" t="inlineStr">
        <x:is>
          <x:t xml:space="preserve">CHG-B01-04A</x:t>
        </x:is>
      </x:c>
      <x:c r="B586" s="8" t="inlineStr">
        <x:is>
          <x:t xml:space="preserve">B01-04A</x:t>
        </x:is>
      </x:c>
      <x:c r="C586" s="8" t="inlineStr">
        <x:is>
          <x:t xml:space="preserve">F01; F04</x:t>
        </x:is>
      </x:c>
      <x:c r="D586" s="8" t="inlineStr">
        <x:is>
          <x:t xml:space="preserve">DOC-039</x:t>
        </x:is>
      </x:c>
      <x:c r="E586" s="8" t="inlineStr">
        <x:is>
          <x:t xml:space="preserve">Chốt và triển khai gói phiên đăng nhập, địa chỉ default/version</x:t>
        </x:is>
      </x:c>
      <x:c r="F586" s="8" t="inlineStr">
        <x:is>
          <x:t xml:space="preserve">Đã cập nhật</x:t>
        </x:is>
      </x:c>
      <x:c r="G586" s="8" t="inlineStr">
        <x:is>
          <x:t xml:space="preserve">Có</x:t>
        </x:is>
      </x:c>
      <x:c r="H586" s="8" t="inlineStr">
        <x:is>
          <x:t xml:space="preserve">Codex</x:t>
        </x:is>
      </x:c>
      <x:c r="I586" s="27" t="n">
        <x:v>46301</x:v>
      </x:c>
      <x:c r="J586" s="8" t="inlineStr">
        <x:is>
          <x:t xml:space="preserve">B01-04A được user duyệt cả gói 06/10/2026: phiên theo family, địa chỉ default/version/manual Point. Nguồn/mirror/viewer/ZIP v0.1.5 kiểm khớp; 9 raw Drive cùng ID tải lại cmp bytes đạt; FR D97/D103 và SRS/UX native sửa phạm vi hẹp, đọc lại xác nhận. API50/mobile106/web/native Android+iOS đạt local; chưa CI/UAT gói mới. Báo cáo/checklist chỉ repo.</x:t>
        </x:is>
      </x:c>
      <x:c r="K586" s="8" t="inlineStr">
        <x:is>
          <x:t xml:space="preserve"/>
        </x:is>
      </x:c>
      <x:c r="L586" t="str">
        <x:f>IF(F586="Không áp dụng",IF(AND(K586&lt;&gt;"",H586&lt;&gt;""),"Không áp dụng có lý do","Thiếu lý do/người kiểm"),IF(AND(B586&lt;&gt;"",D586&lt;&gt;"",F586="Đã cập nhật",G586="Có",H586&lt;&gt;"",ISNUMBER(I586),J586&lt;&gt;""),"Hoàn tất","Chưa hoàn tất"))</x:f>
        <x:v>Hoàn tất</x:v>
      </x:c>
    </x:row>
    <x:row r="587">
      <x:c r="A587" s="8" t="inlineStr">
        <x:is>
          <x:t xml:space="preserve">CHG-B01-04A</x:t>
        </x:is>
      </x:c>
      <x:c r="B587" s="8" t="inlineStr">
        <x:is>
          <x:t xml:space="preserve">B01-04A</x:t>
        </x:is>
      </x:c>
      <x:c r="C587" s="8" t="inlineStr">
        <x:is>
          <x:t xml:space="preserve">F01; F04</x:t>
        </x:is>
      </x:c>
      <x:c r="D587" s="8" t="inlineStr">
        <x:is>
          <x:t xml:space="preserve">DOC-040</x:t>
        </x:is>
      </x:c>
      <x:c r="E587" s="8" t="inlineStr">
        <x:is>
          <x:t xml:space="preserve">Chốt và triển khai gói phiên đăng nhập, địa chỉ default/version</x:t>
        </x:is>
      </x:c>
      <x:c r="F587" s="8" t="inlineStr">
        <x:is>
          <x:t xml:space="preserve">Đã cập nhật</x:t>
        </x:is>
      </x:c>
      <x:c r="G587" s="8" t="inlineStr">
        <x:is>
          <x:t xml:space="preserve">Có</x:t>
        </x:is>
      </x:c>
      <x:c r="H587" s="8" t="inlineStr">
        <x:is>
          <x:t xml:space="preserve">Codex</x:t>
        </x:is>
      </x:c>
      <x:c r="I587" s="27" t="n">
        <x:v>46301</x:v>
      </x:c>
      <x:c r="J587" s="8" t="inlineStr">
        <x:is>
          <x:t xml:space="preserve">B01-04A được user duyệt cả gói 06/10/2026: phiên theo family, địa chỉ default/version/manual Point. Nguồn/mirror/viewer/ZIP v0.1.5 kiểm khớp; 9 raw Drive cùng ID tải lại cmp bytes đạt; FR D97/D103 và SRS/UX native sửa phạm vi hẹp, đọc lại xác nhận. API50/mobile106/web/native Android+iOS đạt local; chưa CI/UAT gói mới. Báo cáo/checklist chỉ repo.</x:t>
        </x:is>
      </x:c>
      <x:c r="K587" s="8" t="inlineStr">
        <x:is>
          <x:t xml:space="preserve"/>
        </x:is>
      </x:c>
      <x:c r="L587" t="str">
        <x:f>IF(F587="Không áp dụng",IF(AND(K587&lt;&gt;"",H587&lt;&gt;""),"Không áp dụng có lý do","Thiếu lý do/người kiểm"),IF(AND(B587&lt;&gt;"",D587&lt;&gt;"",F587="Đã cập nhật",G587="Có",H587&lt;&gt;"",ISNUMBER(I587),J587&lt;&gt;""),"Hoàn tất","Chưa hoàn tất"))</x:f>
        <x:v>Hoàn tất</x:v>
      </x:c>
    </x:row>
    <x:row r="588">
      <x:c r="A588" s="8" t="inlineStr">
        <x:is>
          <x:t xml:space="preserve">CHG-B01-04A</x:t>
        </x:is>
      </x:c>
      <x:c r="B588" s="8" t="inlineStr">
        <x:is>
          <x:t xml:space="preserve">B01-04A</x:t>
        </x:is>
      </x:c>
      <x:c r="C588" s="8" t="inlineStr">
        <x:is>
          <x:t xml:space="preserve">F01; F04</x:t>
        </x:is>
      </x:c>
      <x:c r="D588" s="8" t="inlineStr">
        <x:is>
          <x:t xml:space="preserve">DOC-041</x:t>
        </x:is>
      </x:c>
      <x:c r="E588" s="8" t="inlineStr">
        <x:is>
          <x:t xml:space="preserve">Chốt và triển khai gói phiên đăng nhập, địa chỉ default/version</x:t>
        </x:is>
      </x:c>
      <x:c r="F588" s="8" t="inlineStr">
        <x:is>
          <x:t xml:space="preserve">Đã cập nhật</x:t>
        </x:is>
      </x:c>
      <x:c r="G588" s="8" t="inlineStr">
        <x:is>
          <x:t xml:space="preserve">Có</x:t>
        </x:is>
      </x:c>
      <x:c r="H588" s="8" t="inlineStr">
        <x:is>
          <x:t xml:space="preserve">Codex</x:t>
        </x:is>
      </x:c>
      <x:c r="I588" s="27" t="n">
        <x:v>46301</x:v>
      </x:c>
      <x:c r="J588" s="8" t="inlineStr">
        <x:is>
          <x:t xml:space="preserve">B01-04A được user duyệt cả gói 06/10/2026: phiên theo family, địa chỉ default/version/manual Point. Nguồn/mirror/viewer/ZIP v0.1.5 kiểm khớp; 9 raw Drive cùng ID tải lại cmp bytes đạt; FR D97/D103 và SRS/UX native sửa phạm vi hẹp, đọc lại xác nhận. API50/mobile106/web/native Android+iOS đạt local; chưa CI/UAT gói mới. Báo cáo/checklist chỉ repo.</x:t>
        </x:is>
      </x:c>
      <x:c r="K588" s="8" t="inlineStr">
        <x:is>
          <x:t xml:space="preserve"/>
        </x:is>
      </x:c>
      <x:c r="L588" t="str">
        <x:f>IF(F588="Không áp dụng",IF(AND(K588&lt;&gt;"",H588&lt;&gt;""),"Không áp dụng có lý do","Thiếu lý do/người kiểm"),IF(AND(B588&lt;&gt;"",D588&lt;&gt;"",F588="Đã cập nhật",G588="Có",H588&lt;&gt;"",ISNUMBER(I588),J588&lt;&gt;""),"Hoàn tất","Chưa hoàn tất"))</x:f>
        <x:v>Hoàn tất</x:v>
      </x:c>
    </x:row>
    <x:row r="589">
      <x:c r="A589" s="8" t="inlineStr">
        <x:is>
          <x:t xml:space="preserve">CHG-B01-04A</x:t>
        </x:is>
      </x:c>
      <x:c r="B589" s="8" t="inlineStr">
        <x:is>
          <x:t xml:space="preserve">B01-04A</x:t>
        </x:is>
      </x:c>
      <x:c r="C589" s="8" t="inlineStr">
        <x:is>
          <x:t xml:space="preserve">F01; F04</x:t>
        </x:is>
      </x:c>
      <x:c r="D589" s="8" t="inlineStr">
        <x:is>
          <x:t xml:space="preserve">DOC-042</x:t>
        </x:is>
      </x:c>
      <x:c r="E589" s="8" t="inlineStr">
        <x:is>
          <x:t xml:space="preserve">Chốt và triển khai gói phiên đăng nhập, địa chỉ default/version</x:t>
        </x:is>
      </x:c>
      <x:c r="F589" s="8" t="inlineStr">
        <x:is>
          <x:t xml:space="preserve">Đã cập nhật</x:t>
        </x:is>
      </x:c>
      <x:c r="G589" s="8" t="inlineStr">
        <x:is>
          <x:t xml:space="preserve">Có</x:t>
        </x:is>
      </x:c>
      <x:c r="H589" s="8" t="inlineStr">
        <x:is>
          <x:t xml:space="preserve">Codex</x:t>
        </x:is>
      </x:c>
      <x:c r="I589" s="27" t="n">
        <x:v>46301</x:v>
      </x:c>
      <x:c r="J589" s="8" t="inlineStr">
        <x:is>
          <x:t xml:space="preserve">B01-04A được user duyệt cả gói 06/10/2026: phiên theo family, địa chỉ default/version/manual Point. Nguồn/mirror/viewer/ZIP v0.1.5 kiểm khớp; 9 raw Drive cùng ID tải lại cmp bytes đạt; FR D97/D103 và SRS/UX native sửa phạm vi hẹp, đọc lại xác nhận. API50/mobile106/web/native Android+iOS đạt local; chưa CI/UAT gói mới. Báo cáo/checklist chỉ repo.</x:t>
        </x:is>
      </x:c>
      <x:c r="K589" s="8" t="inlineStr">
        <x:is>
          <x:t xml:space="preserve"/>
        </x:is>
      </x:c>
      <x:c r="L589" t="str">
        <x:f>IF(F589="Không áp dụng",IF(AND(K589&lt;&gt;"",H589&lt;&gt;""),"Không áp dụng có lý do","Thiếu lý do/người kiểm"),IF(AND(B589&lt;&gt;"",D589&lt;&gt;"",F589="Đã cập nhật",G589="Có",H589&lt;&gt;"",ISNUMBER(I589),J589&lt;&gt;""),"Hoàn tất","Chưa hoàn tất"))</x:f>
        <x:v>Hoàn tất</x:v>
      </x:c>
    </x:row>
    <x:row r="590">
      <x:c r="A590" s="8" t="inlineStr">
        <x:is>
          <x:t xml:space="preserve">CHG-B01-04A</x:t>
        </x:is>
      </x:c>
      <x:c r="B590" s="8" t="inlineStr">
        <x:is>
          <x:t xml:space="preserve">B01-04A</x:t>
        </x:is>
      </x:c>
      <x:c r="C590" s="8" t="inlineStr">
        <x:is>
          <x:t xml:space="preserve">F01; F04</x:t>
        </x:is>
      </x:c>
      <x:c r="D590" s="8" t="inlineStr">
        <x:is>
          <x:t xml:space="preserve">DOC-043</x:t>
        </x:is>
      </x:c>
      <x:c r="E590" s="8" t="inlineStr">
        <x:is>
          <x:t xml:space="preserve">Chốt và triển khai gói phiên đăng nhập, địa chỉ default/version</x:t>
        </x:is>
      </x:c>
      <x:c r="F590" s="8" t="inlineStr">
        <x:is>
          <x:t xml:space="preserve">Đã cập nhật</x:t>
        </x:is>
      </x:c>
      <x:c r="G590" s="8" t="inlineStr">
        <x:is>
          <x:t xml:space="preserve">Có</x:t>
        </x:is>
      </x:c>
      <x:c r="H590" s="8" t="inlineStr">
        <x:is>
          <x:t xml:space="preserve">Codex</x:t>
        </x:is>
      </x:c>
      <x:c r="I590" s="27" t="n">
        <x:v>46301</x:v>
      </x:c>
      <x:c r="J590" s="8" t="inlineStr">
        <x:is>
          <x:t xml:space="preserve">B01-04A được user duyệt cả gói 06/10/2026: phiên theo family, địa chỉ default/version/manual Point. Nguồn/mirror/viewer/ZIP v0.1.5 kiểm khớp; 9 raw Drive cùng ID tải lại cmp bytes đạt; FR D97/D103 và SRS/UX native sửa phạm vi hẹp, đọc lại xác nhận. API50/mobile106/web/native Android+iOS đạt local; chưa CI/UAT gói mới. Báo cáo/checklist chỉ repo.</x:t>
        </x:is>
      </x:c>
      <x:c r="K590" s="8" t="inlineStr">
        <x:is>
          <x:t xml:space="preserve"/>
        </x:is>
      </x:c>
      <x:c r="L590" t="str">
        <x:f>IF(F590="Không áp dụng",IF(AND(K590&lt;&gt;"",H590&lt;&gt;""),"Không áp dụng có lý do","Thiếu lý do/người kiểm"),IF(AND(B590&lt;&gt;"",D590&lt;&gt;"",F590="Đã cập nhật",G590="Có",H590&lt;&gt;"",ISNUMBER(I590),J590&lt;&gt;""),"Hoàn tất","Chưa hoàn tất"))</x:f>
        <x:v>Hoàn tất</x:v>
      </x:c>
    </x:row>
    <x:row r="591">
      <x:c r="A591" s="8" t="inlineStr">
        <x:is>
          <x:t xml:space="preserve">CHG-B01-04A</x:t>
        </x:is>
      </x:c>
      <x:c r="B591" s="8" t="inlineStr">
        <x:is>
          <x:t xml:space="preserve">B01-04A</x:t>
        </x:is>
      </x:c>
      <x:c r="C591" s="8" t="inlineStr">
        <x:is>
          <x:t xml:space="preserve">F01; F04</x:t>
        </x:is>
      </x:c>
      <x:c r="D591" s="8" t="inlineStr">
        <x:is>
          <x:t xml:space="preserve">DOC-044</x:t>
        </x:is>
      </x:c>
      <x:c r="E591" s="8" t="inlineStr">
        <x:is>
          <x:t xml:space="preserve">Chốt và triển khai gói phiên đăng nhập, địa chỉ default/version</x:t>
        </x:is>
      </x:c>
      <x:c r="F591" s="8" t="inlineStr">
        <x:is>
          <x:t xml:space="preserve">Không áp dụng</x:t>
        </x:is>
      </x:c>
      <x:c r="G591" s="8" t="inlineStr">
        <x:is>
          <x:t xml:space="preserve">Có</x:t>
        </x:is>
      </x:c>
      <x:c r="H591" s="8" t="inlineStr">
        <x:is>
          <x:t xml:space="preserve">Codex</x:t>
        </x:is>
      </x:c>
      <x:c r="I591" s="27" t="n">
        <x:v>46301</x:v>
      </x:c>
      <x:c r="J591" s="8" t="inlineStr">
        <x:is>
          <x:t xml:space="preserve">Đã tra Anh huong, API/data, account-batch và các nguồn liên quan; phạm vi tại báo cáo B01-04-phien-va-dia-chi.</x:t>
        </x:is>
      </x:c>
      <x:c r="K591"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591" t="str">
        <x:f>IF(F591="Không áp dụng",IF(AND(K591&lt;&gt;"",H591&lt;&gt;""),"Không áp dụng có lý do","Thiếu lý do/người kiểm"),IF(AND(B591&lt;&gt;"",D591&lt;&gt;"",F591="Đã cập nhật",G591="Có",H591&lt;&gt;"",ISNUMBER(I591),J591&lt;&gt;""),"Hoàn tất","Chưa hoàn tất"))</x:f>
        <x:v>Không áp dụng có lý do</x:v>
      </x:c>
    </x:row>
    <x:row r="592">
      <x:c r="A592" s="8" t="inlineStr">
        <x:is>
          <x:t xml:space="preserve">CHG-B01-04A</x:t>
        </x:is>
      </x:c>
      <x:c r="B592" s="8" t="inlineStr">
        <x:is>
          <x:t xml:space="preserve">B01-04A</x:t>
        </x:is>
      </x:c>
      <x:c r="C592" s="8" t="inlineStr">
        <x:is>
          <x:t xml:space="preserve">F01; F04</x:t>
        </x:is>
      </x:c>
      <x:c r="D592" s="8" t="inlineStr">
        <x:is>
          <x:t xml:space="preserve">DOC-045</x:t>
        </x:is>
      </x:c>
      <x:c r="E592" s="8" t="inlineStr">
        <x:is>
          <x:t xml:space="preserve">Chốt và triển khai gói phiên đăng nhập, địa chỉ default/version</x:t>
        </x:is>
      </x:c>
      <x:c r="F592" s="8" t="inlineStr">
        <x:is>
          <x:t xml:space="preserve">Đã cập nhật</x:t>
        </x:is>
      </x:c>
      <x:c r="G592" s="8" t="inlineStr">
        <x:is>
          <x:t xml:space="preserve">Có</x:t>
        </x:is>
      </x:c>
      <x:c r="H592" s="8" t="inlineStr">
        <x:is>
          <x:t xml:space="preserve">Codex</x:t>
        </x:is>
      </x:c>
      <x:c r="I592" s="27" t="n">
        <x:v>46301</x:v>
      </x:c>
      <x:c r="J592" s="8" t="inlineStr">
        <x:is>
          <x:t xml:space="preserve">B01-04A được user duyệt cả gói 06/10/2026: phiên theo family, địa chỉ default/version/manual Point. Nguồn/mirror/viewer/ZIP v0.1.5 kiểm khớp; 9 raw Drive cùng ID tải lại cmp bytes đạt; FR D97/D103 và SRS/UX native sửa phạm vi hẹp, đọc lại xác nhận. API50/mobile106/web/native Android+iOS đạt local; chưa CI/UAT gói mới. Báo cáo/checklist chỉ repo.</x:t>
        </x:is>
      </x:c>
      <x:c r="K592" s="8" t="inlineStr">
        <x:is>
          <x:t xml:space="preserve"/>
        </x:is>
      </x:c>
      <x:c r="L592" t="str">
        <x:f>IF(F592="Không áp dụng",IF(AND(K592&lt;&gt;"",H592&lt;&gt;""),"Không áp dụng có lý do","Thiếu lý do/người kiểm"),IF(AND(B592&lt;&gt;"",D592&lt;&gt;"",F592="Đã cập nhật",G592="Có",H592&lt;&gt;"",ISNUMBER(I592),J592&lt;&gt;""),"Hoàn tất","Chưa hoàn tất"))</x:f>
        <x:v>Hoàn tất</x:v>
      </x:c>
    </x:row>
    <x:row r="593">
      <x:c r="A593" s="8" t="inlineStr">
        <x:is>
          <x:t xml:space="preserve">CHG-B01-04A</x:t>
        </x:is>
      </x:c>
      <x:c r="B593" s="8" t="inlineStr">
        <x:is>
          <x:t xml:space="preserve">B01-04A</x:t>
        </x:is>
      </x:c>
      <x:c r="C593" s="8" t="inlineStr">
        <x:is>
          <x:t xml:space="preserve">F01; F04</x:t>
        </x:is>
      </x:c>
      <x:c r="D593" s="8" t="inlineStr">
        <x:is>
          <x:t xml:space="preserve">DOC-046</x:t>
        </x:is>
      </x:c>
      <x:c r="E593" s="8" t="inlineStr">
        <x:is>
          <x:t xml:space="preserve">Chốt và triển khai gói phiên đăng nhập, địa chỉ default/version</x:t>
        </x:is>
      </x:c>
      <x:c r="F593" s="8" t="inlineStr">
        <x:is>
          <x:t xml:space="preserve">Đã cập nhật</x:t>
        </x:is>
      </x:c>
      <x:c r="G593" s="8" t="inlineStr">
        <x:is>
          <x:t xml:space="preserve">Có</x:t>
        </x:is>
      </x:c>
      <x:c r="H593" s="8" t="inlineStr">
        <x:is>
          <x:t xml:space="preserve">Codex</x:t>
        </x:is>
      </x:c>
      <x:c r="I593" s="27" t="n">
        <x:v>46301</x:v>
      </x:c>
      <x:c r="J593" s="8" t="inlineStr">
        <x:is>
          <x:t xml:space="preserve">B01-04A được user duyệt cả gói 06/10/2026: phiên theo family, địa chỉ default/version/manual Point. Nguồn/mirror/viewer/ZIP v0.1.5 kiểm khớp; 9 raw Drive cùng ID tải lại cmp bytes đạt; FR D97/D103 và SRS/UX native sửa phạm vi hẹp, đọc lại xác nhận. API50/mobile106/web/native Android+iOS đạt local; chưa CI/UAT gói mới. Báo cáo/checklist chỉ repo.</x:t>
        </x:is>
      </x:c>
      <x:c r="K593" s="8" t="inlineStr">
        <x:is>
          <x:t xml:space="preserve"/>
        </x:is>
      </x:c>
      <x:c r="L593" t="str">
        <x:f>IF(F593="Không áp dụng",IF(AND(K593&lt;&gt;"",H593&lt;&gt;""),"Không áp dụng có lý do","Thiếu lý do/người kiểm"),IF(AND(B593&lt;&gt;"",D593&lt;&gt;"",F593="Đã cập nhật",G593="Có",H593&lt;&gt;"",ISNUMBER(I593),J593&lt;&gt;""),"Hoàn tất","Chưa hoàn tất"))</x:f>
        <x:v>Hoàn tất</x:v>
      </x:c>
    </x:row>
    <x:row r="594">
      <x:c r="A594" s="8" t="inlineStr">
        <x:is>
          <x:t xml:space="preserve">CHG-B01-04A</x:t>
        </x:is>
      </x:c>
      <x:c r="B594" s="8" t="inlineStr">
        <x:is>
          <x:t xml:space="preserve">B01-04A</x:t>
        </x:is>
      </x:c>
      <x:c r="C594" s="8" t="inlineStr">
        <x:is>
          <x:t xml:space="preserve">F01; F04</x:t>
        </x:is>
      </x:c>
      <x:c r="D594" s="8" t="inlineStr">
        <x:is>
          <x:t xml:space="preserve">DOC-047</x:t>
        </x:is>
      </x:c>
      <x:c r="E594" s="8" t="inlineStr">
        <x:is>
          <x:t xml:space="preserve">Chốt và triển khai gói phiên đăng nhập, địa chỉ default/version</x:t>
        </x:is>
      </x:c>
      <x:c r="F594" s="8" t="inlineStr">
        <x:is>
          <x:t xml:space="preserve">Đã cập nhật</x:t>
        </x:is>
      </x:c>
      <x:c r="G594" s="8" t="inlineStr">
        <x:is>
          <x:t xml:space="preserve">Có</x:t>
        </x:is>
      </x:c>
      <x:c r="H594" s="8" t="inlineStr">
        <x:is>
          <x:t xml:space="preserve">Codex</x:t>
        </x:is>
      </x:c>
      <x:c r="I594" s="27" t="n">
        <x:v>46301</x:v>
      </x:c>
      <x:c r="J594" s="8" t="inlineStr">
        <x:is>
          <x:t xml:space="preserve">B01-04A được user duyệt cả gói 06/10/2026: phiên theo family, địa chỉ default/version/manual Point. Nguồn/mirror/viewer/ZIP v0.1.5 kiểm khớp; 9 raw Drive cùng ID tải lại cmp bytes đạt; FR D97/D103 và SRS/UX native sửa phạm vi hẹp, đọc lại xác nhận. API50/mobile106/web/native Android+iOS đạt local; chưa CI/UAT gói mới. Báo cáo/checklist chỉ repo.</x:t>
        </x:is>
      </x:c>
      <x:c r="K594" s="8" t="inlineStr">
        <x:is>
          <x:t xml:space="preserve"/>
        </x:is>
      </x:c>
      <x:c r="L594" t="str">
        <x:f>IF(F594="Không áp dụng",IF(AND(K594&lt;&gt;"",H594&lt;&gt;""),"Không áp dụng có lý do","Thiếu lý do/người kiểm"),IF(AND(B594&lt;&gt;"",D594&lt;&gt;"",F594="Đã cập nhật",G594="Có",H594&lt;&gt;"",ISNUMBER(I594),J594&lt;&gt;""),"Hoàn tất","Chưa hoàn tất"))</x:f>
        <x:v>Hoàn tất</x:v>
      </x:c>
    </x:row>
    <x:row r="595">
      <x:c r="A595" s="8" t="inlineStr">
        <x:is>
          <x:t xml:space="preserve">CHG-B01-04A</x:t>
        </x:is>
      </x:c>
      <x:c r="B595" s="8" t="inlineStr">
        <x:is>
          <x:t xml:space="preserve">B01-04A</x:t>
        </x:is>
      </x:c>
      <x:c r="C595" s="8" t="inlineStr">
        <x:is>
          <x:t xml:space="preserve">F01; F04</x:t>
        </x:is>
      </x:c>
      <x:c r="D595" s="8" t="inlineStr">
        <x:is>
          <x:t xml:space="preserve">DOC-048</x:t>
        </x:is>
      </x:c>
      <x:c r="E595" s="8" t="inlineStr">
        <x:is>
          <x:t xml:space="preserve">Chốt và triển khai gói phiên đăng nhập, địa chỉ default/version</x:t>
        </x:is>
      </x:c>
      <x:c r="F595" s="8" t="inlineStr">
        <x:is>
          <x:t xml:space="preserve">Không áp dụng</x:t>
        </x:is>
      </x:c>
      <x:c r="G595" s="8" t="inlineStr">
        <x:is>
          <x:t xml:space="preserve">Có</x:t>
        </x:is>
      </x:c>
      <x:c r="H595" s="8" t="inlineStr">
        <x:is>
          <x:t xml:space="preserve">Codex</x:t>
        </x:is>
      </x:c>
      <x:c r="I595" s="27" t="n">
        <x:v>46301</x:v>
      </x:c>
      <x:c r="J595" s="8" t="inlineStr">
        <x:is>
          <x:t xml:space="preserve">Đã tra Anh huong, API/data, account-batch và các nguồn liên quan; phạm vi tại báo cáo B01-04-phien-va-dia-chi.</x:t>
        </x:is>
      </x:c>
      <x:c r="K595"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595" t="str">
        <x:f>IF(F595="Không áp dụng",IF(AND(K595&lt;&gt;"",H595&lt;&gt;""),"Không áp dụng có lý do","Thiếu lý do/người kiểm"),IF(AND(B595&lt;&gt;"",D595&lt;&gt;"",F595="Đã cập nhật",G595="Có",H595&lt;&gt;"",ISNUMBER(I595),J595&lt;&gt;""),"Hoàn tất","Chưa hoàn tất"))</x:f>
        <x:v>Không áp dụng có lý do</x:v>
      </x:c>
    </x:row>
    <x:row r="596">
      <x:c r="A596" s="8" t="inlineStr">
        <x:is>
          <x:t xml:space="preserve">CHG-B01-04A</x:t>
        </x:is>
      </x:c>
      <x:c r="B596" s="8" t="inlineStr">
        <x:is>
          <x:t xml:space="preserve">B01-04A</x:t>
        </x:is>
      </x:c>
      <x:c r="C596" s="8" t="inlineStr">
        <x:is>
          <x:t xml:space="preserve">F01; F04</x:t>
        </x:is>
      </x:c>
      <x:c r="D596" s="8" t="inlineStr">
        <x:is>
          <x:t xml:space="preserve">DOC-049</x:t>
        </x:is>
      </x:c>
      <x:c r="E596" s="8" t="inlineStr">
        <x:is>
          <x:t xml:space="preserve">Chốt và triển khai gói phiên đăng nhập, địa chỉ default/version</x:t>
        </x:is>
      </x:c>
      <x:c r="F596" s="8" t="inlineStr">
        <x:is>
          <x:t xml:space="preserve">Không áp dụng</x:t>
        </x:is>
      </x:c>
      <x:c r="G596" s="8" t="inlineStr">
        <x:is>
          <x:t xml:space="preserve">Có</x:t>
        </x:is>
      </x:c>
      <x:c r="H596" s="8" t="inlineStr">
        <x:is>
          <x:t xml:space="preserve">Codex</x:t>
        </x:is>
      </x:c>
      <x:c r="I596" s="27" t="n">
        <x:v>46301</x:v>
      </x:c>
      <x:c r="J596" s="8" t="inlineStr">
        <x:is>
          <x:t xml:space="preserve">Đã tra Anh huong, API/data, account-batch và các nguồn liên quan; phạm vi tại báo cáo B01-04-phien-va-dia-chi.</x:t>
        </x:is>
      </x:c>
      <x:c r="K596"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596" t="str">
        <x:f>IF(F596="Không áp dụng",IF(AND(K596&lt;&gt;"",H596&lt;&gt;""),"Không áp dụng có lý do","Thiếu lý do/người kiểm"),IF(AND(B596&lt;&gt;"",D596&lt;&gt;"",F596="Đã cập nhật",G596="Có",H596&lt;&gt;"",ISNUMBER(I596),J596&lt;&gt;""),"Hoàn tất","Chưa hoàn tất"))</x:f>
        <x:v>Không áp dụng có lý do</x:v>
      </x:c>
    </x:row>
    <x:row r="597">
      <x:c r="A597" s="8" t="inlineStr">
        <x:is>
          <x:t xml:space="preserve">CHG-B01-04A</x:t>
        </x:is>
      </x:c>
      <x:c r="B597" s="8" t="inlineStr">
        <x:is>
          <x:t xml:space="preserve">B01-04A</x:t>
        </x:is>
      </x:c>
      <x:c r="C597" s="8" t="inlineStr">
        <x:is>
          <x:t xml:space="preserve">F01; F04</x:t>
        </x:is>
      </x:c>
      <x:c r="D597" s="8" t="inlineStr">
        <x:is>
          <x:t xml:space="preserve">DOC-050</x:t>
        </x:is>
      </x:c>
      <x:c r="E597" s="8" t="inlineStr">
        <x:is>
          <x:t xml:space="preserve">Chốt và triển khai gói phiên đăng nhập, địa chỉ default/version</x:t>
        </x:is>
      </x:c>
      <x:c r="F597" s="8" t="inlineStr">
        <x:is>
          <x:t xml:space="preserve">Đã cập nhật</x:t>
        </x:is>
      </x:c>
      <x:c r="G597" s="8" t="inlineStr">
        <x:is>
          <x:t xml:space="preserve">Có</x:t>
        </x:is>
      </x:c>
      <x:c r="H597" s="8" t="inlineStr">
        <x:is>
          <x:t xml:space="preserve">Codex</x:t>
        </x:is>
      </x:c>
      <x:c r="I597" s="27" t="n">
        <x:v>46301</x:v>
      </x:c>
      <x:c r="J597" s="8" t="inlineStr">
        <x:is>
          <x:t xml:space="preserve">B01-04A được user duyệt cả gói 06/10/2026: phiên theo family, địa chỉ default/version/manual Point. Nguồn/mirror/viewer/ZIP v0.1.5 kiểm khớp; 9 raw Drive cùng ID tải lại cmp bytes đạt; FR D97/D103 và SRS/UX native sửa phạm vi hẹp, đọc lại xác nhận. API50/mobile106/web/native Android+iOS đạt local; chưa CI/UAT gói mới. Báo cáo/checklist chỉ repo.</x:t>
        </x:is>
      </x:c>
      <x:c r="K597" s="8" t="inlineStr">
        <x:is>
          <x:t xml:space="preserve"/>
        </x:is>
      </x:c>
      <x:c r="L597" t="str">
        <x:f>IF(F597="Không áp dụng",IF(AND(K597&lt;&gt;"",H597&lt;&gt;""),"Không áp dụng có lý do","Thiếu lý do/người kiểm"),IF(AND(B597&lt;&gt;"",D597&lt;&gt;"",F597="Đã cập nhật",G597="Có",H597&lt;&gt;"",ISNUMBER(I597),J597&lt;&gt;""),"Hoàn tất","Chưa hoàn tất"))</x:f>
        <x:v>Hoàn tất</x:v>
      </x:c>
    </x:row>
    <x:row r="598">
      <x:c r="A598" s="8" t="inlineStr">
        <x:is>
          <x:t xml:space="preserve">CHG-B01-04A</x:t>
        </x:is>
      </x:c>
      <x:c r="B598" s="8" t="inlineStr">
        <x:is>
          <x:t xml:space="preserve">B01-04A</x:t>
        </x:is>
      </x:c>
      <x:c r="C598" s="8" t="inlineStr">
        <x:is>
          <x:t xml:space="preserve">F01; F04</x:t>
        </x:is>
      </x:c>
      <x:c r="D598" s="8" t="inlineStr">
        <x:is>
          <x:t xml:space="preserve">DOC-051</x:t>
        </x:is>
      </x:c>
      <x:c r="E598" s="8" t="inlineStr">
        <x:is>
          <x:t xml:space="preserve">Chốt và triển khai gói phiên đăng nhập, địa chỉ default/version</x:t>
        </x:is>
      </x:c>
      <x:c r="F598" s="8" t="inlineStr">
        <x:is>
          <x:t xml:space="preserve">Không áp dụng</x:t>
        </x:is>
      </x:c>
      <x:c r="G598" s="8" t="inlineStr">
        <x:is>
          <x:t xml:space="preserve">Có</x:t>
        </x:is>
      </x:c>
      <x:c r="H598" s="8" t="inlineStr">
        <x:is>
          <x:t xml:space="preserve">Codex</x:t>
        </x:is>
      </x:c>
      <x:c r="I598" s="27" t="n">
        <x:v>46301</x:v>
      </x:c>
      <x:c r="J598" s="8" t="inlineStr">
        <x:is>
          <x:t xml:space="preserve">Đã tra Anh huong, API/data, account-batch và các nguồn liên quan; phạm vi tại báo cáo B01-04-phien-va-dia-chi.</x:t>
        </x:is>
      </x:c>
      <x:c r="K598"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598" t="str">
        <x:f>IF(F598="Không áp dụng",IF(AND(K598&lt;&gt;"",H598&lt;&gt;""),"Không áp dụng có lý do","Thiếu lý do/người kiểm"),IF(AND(B598&lt;&gt;"",D598&lt;&gt;"",F598="Đã cập nhật",G598="Có",H598&lt;&gt;"",ISNUMBER(I598),J598&lt;&gt;""),"Hoàn tất","Chưa hoàn tất"))</x:f>
        <x:v>Không áp dụng có lý do</x:v>
      </x:c>
    </x:row>
    <x:row r="599">
      <x:c r="A599" s="8" t="inlineStr">
        <x:is>
          <x:t xml:space="preserve">CHG-B01-04A</x:t>
        </x:is>
      </x:c>
      <x:c r="B599" s="8" t="inlineStr">
        <x:is>
          <x:t xml:space="preserve">B01-04A</x:t>
        </x:is>
      </x:c>
      <x:c r="C599" s="8" t="inlineStr">
        <x:is>
          <x:t xml:space="preserve">F01; F04</x:t>
        </x:is>
      </x:c>
      <x:c r="D599" s="8" t="inlineStr">
        <x:is>
          <x:t xml:space="preserve">DOC-052</x:t>
        </x:is>
      </x:c>
      <x:c r="E599" s="8" t="inlineStr">
        <x:is>
          <x:t xml:space="preserve">Chốt và triển khai gói phiên đăng nhập, địa chỉ default/version</x:t>
        </x:is>
      </x:c>
      <x:c r="F599" s="8" t="inlineStr">
        <x:is>
          <x:t xml:space="preserve">Không áp dụng</x:t>
        </x:is>
      </x:c>
      <x:c r="G599" s="8" t="inlineStr">
        <x:is>
          <x:t xml:space="preserve">Có</x:t>
        </x:is>
      </x:c>
      <x:c r="H599" s="8" t="inlineStr">
        <x:is>
          <x:t xml:space="preserve">Codex</x:t>
        </x:is>
      </x:c>
      <x:c r="I599" s="27" t="n">
        <x:v>46301</x:v>
      </x:c>
      <x:c r="J599" s="8" t="inlineStr">
        <x:is>
          <x:t xml:space="preserve">Đã tra Anh huong, API/data, account-batch và các nguồn liên quan; phạm vi tại báo cáo B01-04-phien-va-dia-chi.</x:t>
        </x:is>
      </x:c>
      <x:c r="K599"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599" t="str">
        <x:f>IF(F599="Không áp dụng",IF(AND(K599&lt;&gt;"",H599&lt;&gt;""),"Không áp dụng có lý do","Thiếu lý do/người kiểm"),IF(AND(B599&lt;&gt;"",D599&lt;&gt;"",F599="Đã cập nhật",G599="Có",H599&lt;&gt;"",ISNUMBER(I599),J599&lt;&gt;""),"Hoàn tất","Chưa hoàn tất"))</x:f>
        <x:v>Không áp dụng có lý do</x:v>
      </x:c>
    </x:row>
    <x:row r="600">
      <x:c r="A600" s="8" t="inlineStr">
        <x:is>
          <x:t xml:space="preserve">CHG-B01-04A</x:t>
        </x:is>
      </x:c>
      <x:c r="B600" s="8" t="inlineStr">
        <x:is>
          <x:t xml:space="preserve">B01-04A</x:t>
        </x:is>
      </x:c>
      <x:c r="C600" s="8" t="inlineStr">
        <x:is>
          <x:t xml:space="preserve">F01; F04</x:t>
        </x:is>
      </x:c>
      <x:c r="D600" s="8" t="inlineStr">
        <x:is>
          <x:t xml:space="preserve">DOC-053</x:t>
        </x:is>
      </x:c>
      <x:c r="E600" s="8" t="inlineStr">
        <x:is>
          <x:t xml:space="preserve">Chốt và triển khai gói phiên đăng nhập, địa chỉ default/version</x:t>
        </x:is>
      </x:c>
      <x:c r="F600" s="8" t="inlineStr">
        <x:is>
          <x:t xml:space="preserve">Không áp dụng</x:t>
        </x:is>
      </x:c>
      <x:c r="G600" s="8" t="inlineStr">
        <x:is>
          <x:t xml:space="preserve">Có</x:t>
        </x:is>
      </x:c>
      <x:c r="H600" s="8" t="inlineStr">
        <x:is>
          <x:t xml:space="preserve">Codex</x:t>
        </x:is>
      </x:c>
      <x:c r="I600" s="27" t="n">
        <x:v>46301</x:v>
      </x:c>
      <x:c r="J600" s="8" t="inlineStr">
        <x:is>
          <x:t xml:space="preserve">Đã tra Anh huong, API/data, account-batch và các nguồn liên quan; phạm vi tại báo cáo B01-04-phien-va-dia-chi.</x:t>
        </x:is>
      </x:c>
      <x:c r="K600"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600" t="str">
        <x:f>IF(F600="Không áp dụng",IF(AND(K600&lt;&gt;"",H600&lt;&gt;""),"Không áp dụng có lý do","Thiếu lý do/người kiểm"),IF(AND(B600&lt;&gt;"",D600&lt;&gt;"",F600="Đã cập nhật",G600="Có",H600&lt;&gt;"",ISNUMBER(I600),J600&lt;&gt;""),"Hoàn tất","Chưa hoàn tất"))</x:f>
        <x:v>Không áp dụng có lý do</x:v>
      </x:c>
    </x:row>
    <x:row r="601">
      <x:c r="A601" s="8" t="inlineStr">
        <x:is>
          <x:t xml:space="preserve">CHG-B01-04A</x:t>
        </x:is>
      </x:c>
      <x:c r="B601" s="8" t="inlineStr">
        <x:is>
          <x:t xml:space="preserve">B01-04A</x:t>
        </x:is>
      </x:c>
      <x:c r="C601" s="8" t="inlineStr">
        <x:is>
          <x:t xml:space="preserve">F01; F04</x:t>
        </x:is>
      </x:c>
      <x:c r="D601" s="8" t="inlineStr">
        <x:is>
          <x:t xml:space="preserve">DOC-055</x:t>
        </x:is>
      </x:c>
      <x:c r="E601" s="8" t="inlineStr">
        <x:is>
          <x:t xml:space="preserve">Chốt và triển khai gói phiên đăng nhập, địa chỉ default/version</x:t>
        </x:is>
      </x:c>
      <x:c r="F601" s="8" t="inlineStr">
        <x:is>
          <x:t xml:space="preserve">Không áp dụng</x:t>
        </x:is>
      </x:c>
      <x:c r="G601" s="8" t="inlineStr">
        <x:is>
          <x:t xml:space="preserve">Có</x:t>
        </x:is>
      </x:c>
      <x:c r="H601" s="8" t="inlineStr">
        <x:is>
          <x:t xml:space="preserve">Codex</x:t>
        </x:is>
      </x:c>
      <x:c r="I601" s="27" t="n">
        <x:v>46301</x:v>
      </x:c>
      <x:c r="J601" s="8" t="inlineStr">
        <x:is>
          <x:t xml:space="preserve">Đã tra Anh huong, API/data, account-batch và các nguồn liên quan; phạm vi tại báo cáo B01-04-phien-va-dia-chi.</x:t>
        </x:is>
      </x:c>
      <x:c r="K601"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601" t="str">
        <x:f>IF(F601="Không áp dụng",IF(AND(K601&lt;&gt;"",H601&lt;&gt;""),"Không áp dụng có lý do","Thiếu lý do/người kiểm"),IF(AND(B601&lt;&gt;"",D601&lt;&gt;"",F601="Đã cập nhật",G601="Có",H601&lt;&gt;"",ISNUMBER(I601),J601&lt;&gt;""),"Hoàn tất","Chưa hoàn tất"))</x:f>
        <x:v>Không áp dụng có lý do</x:v>
      </x:c>
    </x:row>
    <x:row r="602">
      <x:c r="A602" s="8" t="inlineStr">
        <x:is>
          <x:t xml:space="preserve">CHG-B01-04A</x:t>
        </x:is>
      </x:c>
      <x:c r="B602" s="8" t="inlineStr">
        <x:is>
          <x:t xml:space="preserve">B01-04A</x:t>
        </x:is>
      </x:c>
      <x:c r="C602" s="8" t="inlineStr">
        <x:is>
          <x:t xml:space="preserve">F01; F04</x:t>
        </x:is>
      </x:c>
      <x:c r="D602" s="8" t="inlineStr">
        <x:is>
          <x:t xml:space="preserve">DOC-057</x:t>
        </x:is>
      </x:c>
      <x:c r="E602" s="8" t="inlineStr">
        <x:is>
          <x:t xml:space="preserve">Chốt và triển khai gói phiên đăng nhập, địa chỉ default/version</x:t>
        </x:is>
      </x:c>
      <x:c r="F602" s="8" t="inlineStr">
        <x:is>
          <x:t xml:space="preserve">Không áp dụng</x:t>
        </x:is>
      </x:c>
      <x:c r="G602" s="8" t="inlineStr">
        <x:is>
          <x:t xml:space="preserve">Có</x:t>
        </x:is>
      </x:c>
      <x:c r="H602" s="8" t="inlineStr">
        <x:is>
          <x:t xml:space="preserve">Codex</x:t>
        </x:is>
      </x:c>
      <x:c r="I602" s="27" t="n">
        <x:v>46301</x:v>
      </x:c>
      <x:c r="J602" s="8" t="inlineStr">
        <x:is>
          <x:t xml:space="preserve">Đã tra Anh huong, API/data, account-batch và các nguồn liên quan; phạm vi tại báo cáo B01-04-phien-va-dia-chi.</x:t>
        </x:is>
      </x:c>
      <x:c r="K602"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602" t="str">
        <x:f>IF(F602="Không áp dụng",IF(AND(K602&lt;&gt;"",H602&lt;&gt;""),"Không áp dụng có lý do","Thiếu lý do/người kiểm"),IF(AND(B602&lt;&gt;"",D602&lt;&gt;"",F602="Đã cập nhật",G602="Có",H602&lt;&gt;"",ISNUMBER(I602),J602&lt;&gt;""),"Hoàn tất","Chưa hoàn tất"))</x:f>
        <x:v>Không áp dụng có lý do</x:v>
      </x:c>
    </x:row>
    <x:row r="603">
      <x:c r="A603" s="8" t="inlineStr">
        <x:is>
          <x:t xml:space="preserve">CHG-B01-04A</x:t>
        </x:is>
      </x:c>
      <x:c r="B603" s="8" t="inlineStr">
        <x:is>
          <x:t xml:space="preserve">B01-04A</x:t>
        </x:is>
      </x:c>
      <x:c r="C603" s="8" t="inlineStr">
        <x:is>
          <x:t xml:space="preserve">F01; F04</x:t>
        </x:is>
      </x:c>
      <x:c r="D603" s="8" t="inlineStr">
        <x:is>
          <x:t xml:space="preserve">DOC-058</x:t>
        </x:is>
      </x:c>
      <x:c r="E603" s="8" t="inlineStr">
        <x:is>
          <x:t xml:space="preserve">Chốt và triển khai gói phiên đăng nhập, địa chỉ default/version</x:t>
        </x:is>
      </x:c>
      <x:c r="F603" s="8" t="inlineStr">
        <x:is>
          <x:t xml:space="preserve">Đã cập nhật</x:t>
        </x:is>
      </x:c>
      <x:c r="G603" s="8" t="inlineStr">
        <x:is>
          <x:t xml:space="preserve">Có</x:t>
        </x:is>
      </x:c>
      <x:c r="H603" s="8" t="inlineStr">
        <x:is>
          <x:t xml:space="preserve">Codex</x:t>
        </x:is>
      </x:c>
      <x:c r="I603" s="27" t="n">
        <x:v>46301</x:v>
      </x:c>
      <x:c r="J603" s="8" t="inlineStr">
        <x:is>
          <x:t xml:space="preserve">B01-04A được user duyệt cả gói 06/10/2026: phiên theo family, địa chỉ default/version/manual Point. Nguồn/mirror/viewer/ZIP v0.1.5 kiểm khớp; 9 raw Drive cùng ID tải lại cmp bytes đạt; FR D97/D103 và SRS/UX native sửa phạm vi hẹp, đọc lại xác nhận. API50/mobile106/web/native Android+iOS đạt local; chưa CI/UAT gói mới. Báo cáo/checklist chỉ repo.</x:t>
        </x:is>
      </x:c>
      <x:c r="K603" s="8" t="inlineStr">
        <x:is>
          <x:t xml:space="preserve"/>
        </x:is>
      </x:c>
      <x:c r="L603" t="str">
        <x:f>IF(F603="Không áp dụng",IF(AND(K603&lt;&gt;"",H603&lt;&gt;""),"Không áp dụng có lý do","Thiếu lý do/người kiểm"),IF(AND(B603&lt;&gt;"",D603&lt;&gt;"",F603="Đã cập nhật",G603="Có",H603&lt;&gt;"",ISNUMBER(I603),J603&lt;&gt;""),"Hoàn tất","Chưa hoàn tất"))</x:f>
        <x:v>Hoàn tất</x:v>
      </x:c>
    </x:row>
    <x:row r="604">
      <x:c r="A604" s="8" t="inlineStr">
        <x:is>
          <x:t xml:space="preserve">CHG-B01-04A</x:t>
        </x:is>
      </x:c>
      <x:c r="B604" s="8" t="inlineStr">
        <x:is>
          <x:t xml:space="preserve">B01-04A</x:t>
        </x:is>
      </x:c>
      <x:c r="C604" s="8" t="inlineStr">
        <x:is>
          <x:t xml:space="preserve">F01; F04</x:t>
        </x:is>
      </x:c>
      <x:c r="D604" s="8" t="inlineStr">
        <x:is>
          <x:t xml:space="preserve">DOC-062</x:t>
        </x:is>
      </x:c>
      <x:c r="E604" s="8" t="inlineStr">
        <x:is>
          <x:t xml:space="preserve">Chốt và triển khai gói phiên đăng nhập, địa chỉ default/version</x:t>
        </x:is>
      </x:c>
      <x:c r="F604" s="8" t="inlineStr">
        <x:is>
          <x:t xml:space="preserve">Không áp dụng</x:t>
        </x:is>
      </x:c>
      <x:c r="G604" s="8" t="inlineStr">
        <x:is>
          <x:t xml:space="preserve">Có</x:t>
        </x:is>
      </x:c>
      <x:c r="H604" s="8" t="inlineStr">
        <x:is>
          <x:t xml:space="preserve">Codex</x:t>
        </x:is>
      </x:c>
      <x:c r="I604" s="27" t="n">
        <x:v>46301</x:v>
      </x:c>
      <x:c r="J604" s="8" t="inlineStr">
        <x:is>
          <x:t xml:space="preserve">Đã tra Anh huong, API/data, account-batch và các nguồn liên quan; phạm vi tại báo cáo B01-04-phien-va-dia-chi.</x:t>
        </x:is>
      </x:c>
      <x:c r="K604"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604" t="str">
        <x:f>IF(F604="Không áp dụng",IF(AND(K604&lt;&gt;"",H604&lt;&gt;""),"Không áp dụng có lý do","Thiếu lý do/người kiểm"),IF(AND(B604&lt;&gt;"",D604&lt;&gt;"",F604="Đã cập nhật",G604="Có",H604&lt;&gt;"",ISNUMBER(I604),J604&lt;&gt;""),"Hoàn tất","Chưa hoàn tất"))</x:f>
        <x:v>Không áp dụng có lý do</x:v>
      </x:c>
    </x:row>
    <x:row r="605">
      <x:c r="A605" s="8" t="inlineStr">
        <x:is>
          <x:t xml:space="preserve">CHG-B01-04A</x:t>
        </x:is>
      </x:c>
      <x:c r="B605" s="8" t="inlineStr">
        <x:is>
          <x:t xml:space="preserve">B01-04A</x:t>
        </x:is>
      </x:c>
      <x:c r="C605" s="8" t="inlineStr">
        <x:is>
          <x:t xml:space="preserve">F01; F04</x:t>
        </x:is>
      </x:c>
      <x:c r="D605" s="8" t="inlineStr">
        <x:is>
          <x:t xml:space="preserve">DOC-088</x:t>
        </x:is>
      </x:c>
      <x:c r="E605" s="8" t="inlineStr">
        <x:is>
          <x:t xml:space="preserve">Chốt và triển khai gói phiên đăng nhập, địa chỉ default/version</x:t>
        </x:is>
      </x:c>
      <x:c r="F605" s="8" t="inlineStr">
        <x:is>
          <x:t xml:space="preserve">Không áp dụng</x:t>
        </x:is>
      </x:c>
      <x:c r="G605" s="8" t="inlineStr">
        <x:is>
          <x:t xml:space="preserve">Có</x:t>
        </x:is>
      </x:c>
      <x:c r="H605" s="8" t="inlineStr">
        <x:is>
          <x:t xml:space="preserve">Codex</x:t>
        </x:is>
      </x:c>
      <x:c r="I605" s="27" t="n">
        <x:v>46301</x:v>
      </x:c>
      <x:c r="J605" s="8" t="inlineStr">
        <x:is>
          <x:t xml:space="preserve">Đã tra Anh huong, API/data, account-batch và các nguồn liên quan; phạm vi tại báo cáo B01-04-phien-va-dia-chi.</x:t>
        </x:is>
      </x:c>
      <x:c r="K605"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605" t="str">
        <x:f>IF(F605="Không áp dụng",IF(AND(K605&lt;&gt;"",H605&lt;&gt;""),"Không áp dụng có lý do","Thiếu lý do/người kiểm"),IF(AND(B605&lt;&gt;"",D605&lt;&gt;"",F605="Đã cập nhật",G605="Có",H605&lt;&gt;"",ISNUMBER(I605),J605&lt;&gt;""),"Hoàn tất","Chưa hoàn tất"))</x:f>
        <x:v>Không áp dụng có lý do</x:v>
      </x:c>
    </x:row>
    <x:row r="606">
      <x:c r="A606" s="8" t="inlineStr">
        <x:is>
          <x:t xml:space="preserve">CHG-B01-04A</x:t>
        </x:is>
      </x:c>
      <x:c r="B606" s="8" t="inlineStr">
        <x:is>
          <x:t xml:space="preserve">B01-04A</x:t>
        </x:is>
      </x:c>
      <x:c r="C606" s="8" t="inlineStr">
        <x:is>
          <x:t xml:space="preserve">F01; F04</x:t>
        </x:is>
      </x:c>
      <x:c r="D606" s="8" t="inlineStr">
        <x:is>
          <x:t xml:space="preserve">PLAN-001</x:t>
        </x:is>
      </x:c>
      <x:c r="E606" s="8" t="inlineStr">
        <x:is>
          <x:t xml:space="preserve">Chốt và triển khai gói phiên đăng nhập, địa chỉ default/version</x:t>
        </x:is>
      </x:c>
      <x:c r="F606" s="8" t="inlineStr">
        <x:is>
          <x:t xml:space="preserve">Đã cập nhật</x:t>
        </x:is>
      </x:c>
      <x:c r="G606" s="8" t="inlineStr">
        <x:is>
          <x:t xml:space="preserve">Có</x:t>
        </x:is>
      </x:c>
      <x:c r="H606" s="8" t="inlineStr">
        <x:is>
          <x:t xml:space="preserve">Codex</x:t>
        </x:is>
      </x:c>
      <x:c r="I606" s="27" t="n">
        <x:v>46301</x:v>
      </x:c>
      <x:c r="J606" s="8" t="inlineStr">
        <x:is>
          <x:t xml:space="preserve">B01-04A được user duyệt cả gói 06/10/2026: phiên theo family, địa chỉ default/version/manual Point. Nguồn/mirror/viewer/ZIP v0.1.5 kiểm khớp; 9 raw Drive cùng ID tải lại cmp bytes đạt; FR D97/D103 và SRS/UX native sửa phạm vi hẹp, đọc lại xác nhận. API50/mobile106/web/native Android+iOS đạt local; chưa CI/UAT gói mới. Báo cáo/checklist chỉ repo.</x:t>
        </x:is>
      </x:c>
      <x:c r="K606" s="8" t="inlineStr">
        <x:is>
          <x:t xml:space="preserve"/>
        </x:is>
      </x:c>
      <x:c r="L606" t="str">
        <x:f>IF(F606="Không áp dụng",IF(AND(K606&lt;&gt;"",H606&lt;&gt;""),"Không áp dụng có lý do","Thiếu lý do/người kiểm"),IF(AND(B606&lt;&gt;"",D606&lt;&gt;"",F606="Đã cập nhật",G606="Có",H606&lt;&gt;"",ISNUMBER(I606),J606&lt;&gt;""),"Hoàn tất","Chưa hoàn tất"))</x:f>
        <x:v>Hoàn tất</x:v>
      </x:c>
    </x:row>
    <x:row r="607">
      <x:c r="A607" s="8" t="inlineStr">
        <x:is>
          <x:t xml:space="preserve">CHG-B01-04A</x:t>
        </x:is>
      </x:c>
      <x:c r="B607" s="8" t="inlineStr">
        <x:is>
          <x:t xml:space="preserve">B01-04A</x:t>
        </x:is>
      </x:c>
      <x:c r="C607" s="8" t="inlineStr">
        <x:is>
          <x:t xml:space="preserve">F01; F04</x:t>
        </x:is>
      </x:c>
      <x:c r="D607" s="8" t="inlineStr">
        <x:is>
          <x:t xml:space="preserve">PLAN-002</x:t>
        </x:is>
      </x:c>
      <x:c r="E607" s="8" t="inlineStr">
        <x:is>
          <x:t xml:space="preserve">Chốt và triển khai gói phiên đăng nhập, địa chỉ default/version</x:t>
        </x:is>
      </x:c>
      <x:c r="F607" s="8" t="inlineStr">
        <x:is>
          <x:t xml:space="preserve">Đã cập nhật</x:t>
        </x:is>
      </x:c>
      <x:c r="G607" s="8" t="inlineStr">
        <x:is>
          <x:t xml:space="preserve">Có</x:t>
        </x:is>
      </x:c>
      <x:c r="H607" s="8" t="inlineStr">
        <x:is>
          <x:t xml:space="preserve">Codex</x:t>
        </x:is>
      </x:c>
      <x:c r="I607" s="27" t="n">
        <x:v>46301</x:v>
      </x:c>
      <x:c r="J607" s="8" t="inlineStr">
        <x:is>
          <x:t xml:space="preserve">B01-04A được user duyệt cả gói 06/10/2026: phiên theo family, địa chỉ default/version/manual Point. Nguồn/mirror/viewer/ZIP v0.1.5 kiểm khớp; 9 raw Drive cùng ID tải lại cmp bytes đạt; FR D97/D103 và SRS/UX native sửa phạm vi hẹp, đọc lại xác nhận. API50/mobile106/web/native Android+iOS đạt local; chưa CI/UAT gói mới. Báo cáo/checklist chỉ repo.</x:t>
        </x:is>
      </x:c>
      <x:c r="K607" s="8" t="inlineStr">
        <x:is>
          <x:t xml:space="preserve"/>
        </x:is>
      </x:c>
      <x:c r="L607" t="str">
        <x:f>IF(F607="Không áp dụng",IF(AND(K607&lt;&gt;"",H607&lt;&gt;""),"Không áp dụng có lý do","Thiếu lý do/người kiểm"),IF(AND(B607&lt;&gt;"",D607&lt;&gt;"",F607="Đã cập nhật",G607="Có",H607&lt;&gt;"",ISNUMBER(I607),J607&lt;&gt;""),"Hoàn tất","Chưa hoàn tất"))</x:f>
        <x:v>Hoàn tất</x:v>
      </x:c>
    </x:row>
    <x:row r="608">
      <x:c r="A608" s="8" t="inlineStr">
        <x:is>
          <x:t xml:space="preserve">CHG-B01-04A</x:t>
        </x:is>
      </x:c>
      <x:c r="B608" s="8" t="inlineStr">
        <x:is>
          <x:t xml:space="preserve">B01-04A</x:t>
        </x:is>
      </x:c>
      <x:c r="C608" s="8" t="inlineStr">
        <x:is>
          <x:t xml:space="preserve">F01; F04</x:t>
        </x:is>
      </x:c>
      <x:c r="D608" s="8" t="inlineStr">
        <x:is>
          <x:t xml:space="preserve">PLAN-003</x:t>
        </x:is>
      </x:c>
      <x:c r="E608" s="8" t="inlineStr">
        <x:is>
          <x:t xml:space="preserve">Chốt và triển khai gói phiên đăng nhập, địa chỉ default/version</x:t>
        </x:is>
      </x:c>
      <x:c r="F608" s="8" t="inlineStr">
        <x:is>
          <x:t xml:space="preserve">Đã cập nhật</x:t>
        </x:is>
      </x:c>
      <x:c r="G608" s="8" t="inlineStr">
        <x:is>
          <x:t xml:space="preserve">Có</x:t>
        </x:is>
      </x:c>
      <x:c r="H608" s="8" t="inlineStr">
        <x:is>
          <x:t xml:space="preserve">Codex</x:t>
        </x:is>
      </x:c>
      <x:c r="I608" s="27" t="n">
        <x:v>46301</x:v>
      </x:c>
      <x:c r="J608" s="8" t="inlineStr">
        <x:is>
          <x:t xml:space="preserve">B01-04A được user duyệt cả gói 06/10/2026: phiên theo family, địa chỉ default/version/manual Point. Nguồn/mirror/viewer/ZIP v0.1.5 kiểm khớp; 9 raw Drive cùng ID tải lại cmp bytes đạt; FR D97/D103 và SRS/UX native sửa phạm vi hẹp, đọc lại xác nhận. API50/mobile106/web/native Android+iOS đạt local; chưa CI/UAT gói mới. Báo cáo/checklist chỉ repo.</x:t>
        </x:is>
      </x:c>
      <x:c r="K608" s="8" t="inlineStr">
        <x:is>
          <x:t xml:space="preserve"/>
        </x:is>
      </x:c>
      <x:c r="L608" t="str">
        <x:f>IF(F608="Không áp dụng",IF(AND(K608&lt;&gt;"",H608&lt;&gt;""),"Không áp dụng có lý do","Thiếu lý do/người kiểm"),IF(AND(B608&lt;&gt;"",D608&lt;&gt;"",F608="Đã cập nhật",G608="Có",H608&lt;&gt;"",ISNUMBER(I608),J608&lt;&gt;""),"Hoàn tất","Chưa hoàn tất"))</x:f>
        <x:v>Hoàn tất</x:v>
      </x:c>
    </x:row>
    <x:row r="609">
      <x:c r="A609" s="8" t="inlineStr">
        <x:is>
          <x:t xml:space="preserve">CHG-B01-04A</x:t>
        </x:is>
      </x:c>
      <x:c r="B609" s="8" t="inlineStr">
        <x:is>
          <x:t xml:space="preserve">B01-04A</x:t>
        </x:is>
      </x:c>
      <x:c r="C609" s="8" t="inlineStr">
        <x:is>
          <x:t xml:space="preserve">F01; F04</x:t>
        </x:is>
      </x:c>
      <x:c r="D609" s="8" t="inlineStr">
        <x:is>
          <x:t xml:space="preserve">PLAN-006</x:t>
        </x:is>
      </x:c>
      <x:c r="E609" s="8" t="inlineStr">
        <x:is>
          <x:t xml:space="preserve">Chốt và triển khai gói phiên đăng nhập, địa chỉ default/version</x:t>
        </x:is>
      </x:c>
      <x:c r="F609" s="8" t="inlineStr">
        <x:is>
          <x:t xml:space="preserve">Không áp dụng</x:t>
        </x:is>
      </x:c>
      <x:c r="G609" s="8" t="inlineStr">
        <x:is>
          <x:t xml:space="preserve">Có</x:t>
        </x:is>
      </x:c>
      <x:c r="H609" s="8" t="inlineStr">
        <x:is>
          <x:t xml:space="preserve">Codex</x:t>
        </x:is>
      </x:c>
      <x:c r="I609" s="27" t="n">
        <x:v>46301</x:v>
      </x:c>
      <x:c r="J609" s="8" t="inlineStr">
        <x:is>
          <x:t xml:space="preserve">Đã tra Anh huong, API/data, account-batch và các nguồn liên quan; phạm vi tại báo cáo B01-04-phien-va-dia-chi.</x:t>
        </x:is>
      </x:c>
      <x:c r="K609"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609" t="str">
        <x:f>IF(F609="Không áp dụng",IF(AND(K609&lt;&gt;"",H609&lt;&gt;""),"Không áp dụng có lý do","Thiếu lý do/người kiểm"),IF(AND(B609&lt;&gt;"",D609&lt;&gt;"",F609="Đã cập nhật",G609="Có",H609&lt;&gt;"",ISNUMBER(I609),J609&lt;&gt;""),"Hoàn tất","Chưa hoàn tất"))</x:f>
        <x:v>Không áp dụng có lý do</x:v>
      </x:c>
    </x:row>
    <x:row r="610">
      <x:c r="A610" s="8" t="inlineStr">
        <x:is>
          <x:t xml:space="preserve">CHG-B01-04A</x:t>
        </x:is>
      </x:c>
      <x:c r="B610" s="8" t="inlineStr">
        <x:is>
          <x:t xml:space="preserve">B01-04A</x:t>
        </x:is>
      </x:c>
      <x:c r="C610" s="8" t="inlineStr">
        <x:is>
          <x:t xml:space="preserve">F01; F04</x:t>
        </x:is>
      </x:c>
      <x:c r="D610" s="8" t="inlineStr">
        <x:is>
          <x:t xml:space="preserve">PLAN-008</x:t>
        </x:is>
      </x:c>
      <x:c r="E610" s="8" t="inlineStr">
        <x:is>
          <x:t xml:space="preserve">Chốt và triển khai gói phiên đăng nhập, địa chỉ default/version</x:t>
        </x:is>
      </x:c>
      <x:c r="F610" s="8" t="inlineStr">
        <x:is>
          <x:t xml:space="preserve">Không áp dụng</x:t>
        </x:is>
      </x:c>
      <x:c r="G610" s="8" t="inlineStr">
        <x:is>
          <x:t xml:space="preserve">Có</x:t>
        </x:is>
      </x:c>
      <x:c r="H610" s="8" t="inlineStr">
        <x:is>
          <x:t xml:space="preserve">Codex</x:t>
        </x:is>
      </x:c>
      <x:c r="I610" s="27" t="n">
        <x:v>46301</x:v>
      </x:c>
      <x:c r="J610" s="8" t="inlineStr">
        <x:is>
          <x:t xml:space="preserve">Đã tra Anh huong, API/data, account-batch và các nguồn liên quan; phạm vi tại báo cáo B01-04-phien-va-dia-chi.</x:t>
        </x:is>
      </x:c>
      <x:c r="K610" s="8" t="inlineStr">
        <x:is>
          <x:t xml:space="preserve">Không đổi mục tiêu/phạm vi BRD/PRD, vai trò/quyền, trạng thái công việc, tài chính, realtime, kiến trúc cấp hệ thống hoặc luồng tìm/thuê. Quy tắc phiên/địa chỉ cụ thể cập nhật trong FR/SRS/UX, contract/data/QA và prototype hiện hành. Bản wireframe/ZIP lịch sử giữ nguyên. Báo cáo/checklist theo DELIVERY-01 chỉ repo; không kéo theo Drive. Tồn đọng khác giữ trạng thái cũ.</x:t>
        </x:is>
      </x:c>
      <x:c r="L610" t="str">
        <x:f>IF(F610="Không áp dụng",IF(AND(K610&lt;&gt;"",H610&lt;&gt;""),"Không áp dụng có lý do","Thiếu lý do/người kiểm"),IF(AND(B610&lt;&gt;"",D610&lt;&gt;"",F610="Đã cập nhật",G610="Có",H610&lt;&gt;"",ISNUMBER(I610),J610&lt;&gt;""),"Hoàn tất","Chưa hoàn tất"))</x:f>
        <x:v>Không áp dụng có lý do</x:v>
      </x:c>
    </x:row>
    <x:row r="611" ht="135" customHeight="1">
      <x:c r="A611" s="32" t="str">
        <x:v>CHG-P0-1</x:v>
      </x:c>
      <x:c r="B611" s="32" t="str">
        <x:v>P0-1</x:v>
      </x:c>
      <x:c r="C611" s="32" t="str">
        <x:v>F01; F02; F03; F04; F05; F17</x:v>
      </x:c>
      <x:c r="D611" s="32" t="str">
        <x:v>DOC-000</x:v>
      </x:c>
      <x:c r="E611" s="32" t="str">
        <x:v>Đồng bộ gói nguồn cung và tìm theo khoảng cách</x:v>
      </x:c>
      <x:c r="F611" s="32" t="str">
        <x:v>Đã cập nhật</x:v>
      </x:c>
      <x:c r="G611" s="32" t="str">
        <x:v>Có</x:v>
      </x:c>
      <x:c r="H611" s="32" t="str">
        <x:v>Codex</x:v>
      </x:c>
      <x:c r="I611" s="33" t="n">
        <x:v>46301</x:v>
      </x:c>
      <x:c r="J611"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11" s="32"/>
      <x:c r="L611" s="32" t="str">
        <x:f>IF(F611="Không áp dụng",IF(AND(K611&lt;&gt;"",H611&lt;&gt;""),"Không áp dụng có lý do","Thiếu lý do/người kiểm"),IF(AND(B611&lt;&gt;"",D611&lt;&gt;"",F611="Đã cập nhật",G611="Có",H611&lt;&gt;"",ISNUMBER(I611),J611&lt;&gt;""),"Hoàn tất","Chưa hoàn tất"))</x:f>
        <x:v>Hoàn tất</x:v>
      </x:c>
    </x:row>
    <x:row r="612" ht="135" customHeight="1">
      <x:c r="A612" s="32" t="str">
        <x:v>CHG-P0-1</x:v>
      </x:c>
      <x:c r="B612" s="32" t="str">
        <x:v>P0-1</x:v>
      </x:c>
      <x:c r="C612" s="32" t="str">
        <x:v>F01; F02; F03; F04; F05; F17</x:v>
      </x:c>
      <x:c r="D612" s="32" t="str">
        <x:v>DOC-002</x:v>
      </x:c>
      <x:c r="E612" s="32" t="str">
        <x:v>Đồng bộ gói nguồn cung và tìm theo khoảng cách</x:v>
      </x:c>
      <x:c r="F612" s="32" t="str">
        <x:v>Đã cập nhật</x:v>
      </x:c>
      <x:c r="G612" s="32" t="str">
        <x:v>Có</x:v>
      </x:c>
      <x:c r="H612" s="32" t="str">
        <x:v>Codex</x:v>
      </x:c>
      <x:c r="I612" s="33" t="n">
        <x:v>46301</x:v>
      </x:c>
      <x:c r="J612"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12" s="32"/>
      <x:c r="L612" s="32" t="str">
        <x:f>IF(F612="Không áp dụng",IF(AND(K612&lt;&gt;"",H612&lt;&gt;""),"Không áp dụng có lý do","Thiếu lý do/người kiểm"),IF(AND(B612&lt;&gt;"",D612&lt;&gt;"",F612="Đã cập nhật",G612="Có",H612&lt;&gt;"",ISNUMBER(I612),J612&lt;&gt;""),"Hoàn tất","Chưa hoàn tất"))</x:f>
        <x:v>Hoàn tất</x:v>
      </x:c>
    </x:row>
    <x:row r="613" ht="135" customHeight="1">
      <x:c r="A613" s="32" t="str">
        <x:v>CHG-P0-1</x:v>
      </x:c>
      <x:c r="B613" s="32" t="str">
        <x:v>P0-1</x:v>
      </x:c>
      <x:c r="C613" s="32" t="str">
        <x:v>F01; F02; F03; F04; F05; F17</x:v>
      </x:c>
      <x:c r="D613" s="32" t="str">
        <x:v>DOC-004</x:v>
      </x:c>
      <x:c r="E613" s="32" t="str">
        <x:v>Đồng bộ gói nguồn cung và tìm theo khoảng cách</x:v>
      </x:c>
      <x:c r="F613" s="32" t="str">
        <x:v>Đã cập nhật</x:v>
      </x:c>
      <x:c r="G613" s="32" t="str">
        <x:v>Có</x:v>
      </x:c>
      <x:c r="H613" s="32" t="str">
        <x:v>Codex</x:v>
      </x:c>
      <x:c r="I613" s="33" t="n">
        <x:v>46301</x:v>
      </x:c>
      <x:c r="J613"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13" s="32"/>
      <x:c r="L613" s="32" t="str">
        <x:f>IF(F613="Không áp dụng",IF(AND(K613&lt;&gt;"",H613&lt;&gt;""),"Không áp dụng có lý do","Thiếu lý do/người kiểm"),IF(AND(B613&lt;&gt;"",D613&lt;&gt;"",F613="Đã cập nhật",G613="Có",H613&lt;&gt;"",ISNUMBER(I613),J613&lt;&gt;""),"Hoàn tất","Chưa hoàn tất"))</x:f>
        <x:v>Hoàn tất</x:v>
      </x:c>
    </x:row>
    <x:row r="614" ht="135" customHeight="1">
      <x:c r="A614" s="32" t="str">
        <x:v>CHG-P0-1</x:v>
      </x:c>
      <x:c r="B614" s="32" t="str">
        <x:v>P0-1</x:v>
      </x:c>
      <x:c r="C614" s="32" t="str">
        <x:v>F01; F02; F03; F04; F05; F17</x:v>
      </x:c>
      <x:c r="D614" s="32" t="str">
        <x:v>DOC-005</x:v>
      </x:c>
      <x:c r="E614" s="32" t="str">
        <x:v>Đồng bộ gói nguồn cung và tìm theo khoảng cách</x:v>
      </x:c>
      <x:c r="F614" s="32" t="str">
        <x:v>Đã cập nhật</x:v>
      </x:c>
      <x:c r="G614" s="32" t="str">
        <x:v>Có</x:v>
      </x:c>
      <x:c r="H614" s="32" t="str">
        <x:v>Codex</x:v>
      </x:c>
      <x:c r="I614" s="33" t="n">
        <x:v>46301</x:v>
      </x:c>
      <x:c r="J614"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14" s="32"/>
      <x:c r="L614" s="32" t="str">
        <x:f>IF(F614="Không áp dụng",IF(AND(K614&lt;&gt;"",H614&lt;&gt;""),"Không áp dụng có lý do","Thiếu lý do/người kiểm"),IF(AND(B614&lt;&gt;"",D614&lt;&gt;"",F614="Đã cập nhật",G614="Có",H614&lt;&gt;"",ISNUMBER(I614),J614&lt;&gt;""),"Hoàn tất","Chưa hoàn tất"))</x:f>
        <x:v>Hoàn tất</x:v>
      </x:c>
    </x:row>
    <x:row r="615" ht="135" customHeight="1">
      <x:c r="A615" s="32" t="str">
        <x:v>CHG-P0-1</x:v>
      </x:c>
      <x:c r="B615" s="32" t="str">
        <x:v>P0-1</x:v>
      </x:c>
      <x:c r="C615" s="32" t="str">
        <x:v>F01; F02; F03; F04; F05; F17</x:v>
      </x:c>
      <x:c r="D615" s="32" t="str">
        <x:v>DOC-006</x:v>
      </x:c>
      <x:c r="E615" s="32" t="str">
        <x:v>Đồng bộ gói nguồn cung và tìm theo khoảng cách</x:v>
      </x:c>
      <x:c r="F615" s="32" t="str">
        <x:v>Đã cập nhật</x:v>
      </x:c>
      <x:c r="G615" s="32" t="str">
        <x:v>Có</x:v>
      </x:c>
      <x:c r="H615" s="32" t="str">
        <x:v>Codex</x:v>
      </x:c>
      <x:c r="I615" s="33" t="n">
        <x:v>46301</x:v>
      </x:c>
      <x:c r="J615"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15" s="32"/>
      <x:c r="L615" s="32" t="str">
        <x:f>IF(F615="Không áp dụng",IF(AND(K615&lt;&gt;"",H615&lt;&gt;""),"Không áp dụng có lý do","Thiếu lý do/người kiểm"),IF(AND(B615&lt;&gt;"",D615&lt;&gt;"",F615="Đã cập nhật",G615="Có",H615&lt;&gt;"",ISNUMBER(I615),J615&lt;&gt;""),"Hoàn tất","Chưa hoàn tất"))</x:f>
        <x:v>Hoàn tất</x:v>
      </x:c>
    </x:row>
    <x:row r="616" ht="135" customHeight="1">
      <x:c r="A616" s="32" t="str">
        <x:v>CHG-P0-1</x:v>
      </x:c>
      <x:c r="B616" s="32" t="str">
        <x:v>P0-1</x:v>
      </x:c>
      <x:c r="C616" s="32" t="str">
        <x:v>F01; F02; F03; F04; F05; F17</x:v>
      </x:c>
      <x:c r="D616" s="32" t="str">
        <x:v>DOC-007</x:v>
      </x:c>
      <x:c r="E616" s="32" t="str">
        <x:v>Đồng bộ gói nguồn cung và tìm theo khoảng cách</x:v>
      </x:c>
      <x:c r="F616" s="32" t="str">
        <x:v>Đã cập nhật</x:v>
      </x:c>
      <x:c r="G616" s="32" t="str">
        <x:v>Có</x:v>
      </x:c>
      <x:c r="H616" s="32" t="str">
        <x:v>Codex</x:v>
      </x:c>
      <x:c r="I616" s="33" t="n">
        <x:v>46301</x:v>
      </x:c>
      <x:c r="J616"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16" s="32"/>
      <x:c r="L616" s="32" t="str">
        <x:f>IF(F616="Không áp dụng",IF(AND(K616&lt;&gt;"",H616&lt;&gt;""),"Không áp dụng có lý do","Thiếu lý do/người kiểm"),IF(AND(B616&lt;&gt;"",D616&lt;&gt;"",F616="Đã cập nhật",G616="Có",H616&lt;&gt;"",ISNUMBER(I616),J616&lt;&gt;""),"Hoàn tất","Chưa hoàn tất"))</x:f>
        <x:v>Hoàn tất</x:v>
      </x:c>
    </x:row>
    <x:row r="617" ht="135" customHeight="1">
      <x:c r="A617" s="32" t="str">
        <x:v>CHG-P0-1</x:v>
      </x:c>
      <x:c r="B617" s="32" t="str">
        <x:v>P0-1</x:v>
      </x:c>
      <x:c r="C617" s="32" t="str">
        <x:v>F01; F02; F03; F04; F05; F17</x:v>
      </x:c>
      <x:c r="D617" s="32" t="str">
        <x:v>DOC-012</x:v>
      </x:c>
      <x:c r="E617" s="32" t="str">
        <x:v>Đồng bộ gói nguồn cung và tìm theo khoảng cách</x:v>
      </x:c>
      <x:c r="F617" s="32" t="str">
        <x:v>Đã cập nhật</x:v>
      </x:c>
      <x:c r="G617" s="32" t="str">
        <x:v>Có</x:v>
      </x:c>
      <x:c r="H617" s="32" t="str">
        <x:v>Codex</x:v>
      </x:c>
      <x:c r="I617" s="33" t="n">
        <x:v>46301</x:v>
      </x:c>
      <x:c r="J617"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17" s="32"/>
      <x:c r="L617" s="32" t="str">
        <x:f>IF(F617="Không áp dụng",IF(AND(K617&lt;&gt;"",H617&lt;&gt;""),"Không áp dụng có lý do","Thiếu lý do/người kiểm"),IF(AND(B617&lt;&gt;"",D617&lt;&gt;"",F617="Đã cập nhật",G617="Có",H617&lt;&gt;"",ISNUMBER(I617),J617&lt;&gt;""),"Hoàn tất","Chưa hoàn tất"))</x:f>
        <x:v>Hoàn tất</x:v>
      </x:c>
    </x:row>
    <x:row r="618" ht="135" customHeight="1">
      <x:c r="A618" s="32" t="str">
        <x:v>CHG-P0-1</x:v>
      </x:c>
      <x:c r="B618" s="32" t="str">
        <x:v>P0-1</x:v>
      </x:c>
      <x:c r="C618" s="32" t="str">
        <x:v>F01; F02; F03; F04; F05; F17</x:v>
      </x:c>
      <x:c r="D618" s="32" t="str">
        <x:v>DOC-013</x:v>
      </x:c>
      <x:c r="E618" s="32" t="str">
        <x:v>Đồng bộ gói nguồn cung và tìm theo khoảng cách</x:v>
      </x:c>
      <x:c r="F618" s="32" t="str">
        <x:v>Đã cập nhật</x:v>
      </x:c>
      <x:c r="G618" s="32" t="str">
        <x:v>Có</x:v>
      </x:c>
      <x:c r="H618" s="32" t="str">
        <x:v>Codex</x:v>
      </x:c>
      <x:c r="I618" s="33" t="n">
        <x:v>46301</x:v>
      </x:c>
      <x:c r="J618"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18" s="32"/>
      <x:c r="L618" s="32" t="str">
        <x:f>IF(F618="Không áp dụng",IF(AND(K618&lt;&gt;"",H618&lt;&gt;""),"Không áp dụng có lý do","Thiếu lý do/người kiểm"),IF(AND(B618&lt;&gt;"",D618&lt;&gt;"",F618="Đã cập nhật",G618="Có",H618&lt;&gt;"",ISNUMBER(I618),J618&lt;&gt;""),"Hoàn tất","Chưa hoàn tất"))</x:f>
        <x:v>Hoàn tất</x:v>
      </x:c>
    </x:row>
    <x:row r="619" ht="135" customHeight="1">
      <x:c r="A619" s="32" t="str">
        <x:v>CHG-P0-1</x:v>
      </x:c>
      <x:c r="B619" s="32" t="str">
        <x:v>P0-1</x:v>
      </x:c>
      <x:c r="C619" s="32" t="str">
        <x:v>F01; F02; F03; F04; F05; F17</x:v>
      </x:c>
      <x:c r="D619" s="32" t="str">
        <x:v>DOC-014</x:v>
      </x:c>
      <x:c r="E619" s="32" t="str">
        <x:v>Đồng bộ gói nguồn cung và tìm theo khoảng cách</x:v>
      </x:c>
      <x:c r="F619" s="32" t="str">
        <x:v>Đã cập nhật</x:v>
      </x:c>
      <x:c r="G619" s="32" t="str">
        <x:v>Có</x:v>
      </x:c>
      <x:c r="H619" s="32" t="str">
        <x:v>Codex</x:v>
      </x:c>
      <x:c r="I619" s="33" t="n">
        <x:v>46301</x:v>
      </x:c>
      <x:c r="J619"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19" s="32"/>
      <x:c r="L619" s="32" t="str">
        <x:f>IF(F619="Không áp dụng",IF(AND(K619&lt;&gt;"",H619&lt;&gt;""),"Không áp dụng có lý do","Thiếu lý do/người kiểm"),IF(AND(B619&lt;&gt;"",D619&lt;&gt;"",F619="Đã cập nhật",G619="Có",H619&lt;&gt;"",ISNUMBER(I619),J619&lt;&gt;""),"Hoàn tất","Chưa hoàn tất"))</x:f>
        <x:v>Hoàn tất</x:v>
      </x:c>
    </x:row>
    <x:row r="620" ht="135" customHeight="1">
      <x:c r="A620" s="32" t="str">
        <x:v>CHG-P0-1</x:v>
      </x:c>
      <x:c r="B620" s="32" t="str">
        <x:v>P0-1</x:v>
      </x:c>
      <x:c r="C620" s="32" t="str">
        <x:v>F01; F02; F03; F04; F05; F17</x:v>
      </x:c>
      <x:c r="D620" s="32" t="str">
        <x:v>DOC-015</x:v>
      </x:c>
      <x:c r="E620" s="32" t="str">
        <x:v>Đồng bộ gói nguồn cung và tìm theo khoảng cách</x:v>
      </x:c>
      <x:c r="F620" s="32" t="str">
        <x:v>Đã cập nhật</x:v>
      </x:c>
      <x:c r="G620" s="32" t="str">
        <x:v>Có</x:v>
      </x:c>
      <x:c r="H620" s="32" t="str">
        <x:v>Codex</x:v>
      </x:c>
      <x:c r="I620" s="33" t="n">
        <x:v>46301</x:v>
      </x:c>
      <x:c r="J620"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20" s="32"/>
      <x:c r="L620" s="32" t="str">
        <x:f>IF(F620="Không áp dụng",IF(AND(K620&lt;&gt;"",H620&lt;&gt;""),"Không áp dụng có lý do","Thiếu lý do/người kiểm"),IF(AND(B620&lt;&gt;"",D620&lt;&gt;"",F620="Đã cập nhật",G620="Có",H620&lt;&gt;"",ISNUMBER(I620),J620&lt;&gt;""),"Hoàn tất","Chưa hoàn tất"))</x:f>
        <x:v>Hoàn tất</x:v>
      </x:c>
    </x:row>
    <x:row r="621" ht="135" customHeight="1">
      <x:c r="A621" s="32" t="str">
        <x:v>CHG-P0-1</x:v>
      </x:c>
      <x:c r="B621" s="32" t="str">
        <x:v>P0-1</x:v>
      </x:c>
      <x:c r="C621" s="32" t="str">
        <x:v>F01; F02; F03; F04; F05; F17</x:v>
      </x:c>
      <x:c r="D621" s="32" t="str">
        <x:v>DOC-016</x:v>
      </x:c>
      <x:c r="E621" s="32" t="str">
        <x:v>Đồng bộ gói nguồn cung và tìm theo khoảng cách</x:v>
      </x:c>
      <x:c r="F621" s="32" t="str">
        <x:v>Đã cập nhật</x:v>
      </x:c>
      <x:c r="G621" s="32" t="str">
        <x:v>Có</x:v>
      </x:c>
      <x:c r="H621" s="32" t="str">
        <x:v>Codex</x:v>
      </x:c>
      <x:c r="I621" s="33" t="n">
        <x:v>46301</x:v>
      </x:c>
      <x:c r="J621"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21" s="32"/>
      <x:c r="L621" s="32" t="str">
        <x:f>IF(F621="Không áp dụng",IF(AND(K621&lt;&gt;"",H621&lt;&gt;""),"Không áp dụng có lý do","Thiếu lý do/người kiểm"),IF(AND(B621&lt;&gt;"",D621&lt;&gt;"",F621="Đã cập nhật",G621="Có",H621&lt;&gt;"",ISNUMBER(I621),J621&lt;&gt;""),"Hoàn tất","Chưa hoàn tất"))</x:f>
        <x:v>Hoàn tất</x:v>
      </x:c>
    </x:row>
    <x:row r="622" ht="135" customHeight="1">
      <x:c r="A622" s="32" t="str">
        <x:v>CHG-P0-1</x:v>
      </x:c>
      <x:c r="B622" s="32" t="str">
        <x:v>P0-1</x:v>
      </x:c>
      <x:c r="C622" s="32" t="str">
        <x:v>F01; F02; F03; F04; F05; F17</x:v>
      </x:c>
      <x:c r="D622" s="32" t="str">
        <x:v>DOC-017</x:v>
      </x:c>
      <x:c r="E622" s="32" t="str">
        <x:v>Đồng bộ gói nguồn cung và tìm theo khoảng cách</x:v>
      </x:c>
      <x:c r="F622" s="32" t="str">
        <x:v>Đã cập nhật</x:v>
      </x:c>
      <x:c r="G622" s="32" t="str">
        <x:v>Có</x:v>
      </x:c>
      <x:c r="H622" s="32" t="str">
        <x:v>Codex</x:v>
      </x:c>
      <x:c r="I622" s="33" t="n">
        <x:v>46301</x:v>
      </x:c>
      <x:c r="J622"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22" s="32"/>
      <x:c r="L622" s="32" t="str">
        <x:f>IF(F622="Không áp dụng",IF(AND(K622&lt;&gt;"",H622&lt;&gt;""),"Không áp dụng có lý do","Thiếu lý do/người kiểm"),IF(AND(B622&lt;&gt;"",D622&lt;&gt;"",F622="Đã cập nhật",G622="Có",H622&lt;&gt;"",ISNUMBER(I622),J622&lt;&gt;""),"Hoàn tất","Chưa hoàn tất"))</x:f>
        <x:v>Hoàn tất</x:v>
      </x:c>
    </x:row>
    <x:row r="623" ht="135" customHeight="1">
      <x:c r="A623" s="32" t="str">
        <x:v>CHG-P0-1</x:v>
      </x:c>
      <x:c r="B623" s="32" t="str">
        <x:v>P0-1</x:v>
      </x:c>
      <x:c r="C623" s="32" t="str">
        <x:v>F01; F02; F03; F04; F05; F17</x:v>
      </x:c>
      <x:c r="D623" s="32" t="str">
        <x:v>DOC-018</x:v>
      </x:c>
      <x:c r="E623" s="32" t="str">
        <x:v>Đồng bộ gói nguồn cung và tìm theo khoảng cách</x:v>
      </x:c>
      <x:c r="F623" s="32" t="str">
        <x:v>Đã cập nhật</x:v>
      </x:c>
      <x:c r="G623" s="32" t="str">
        <x:v>Có</x:v>
      </x:c>
      <x:c r="H623" s="32" t="str">
        <x:v>Codex</x:v>
      </x:c>
      <x:c r="I623" s="33" t="n">
        <x:v>46301</x:v>
      </x:c>
      <x:c r="J623"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23" s="32"/>
      <x:c r="L623" s="32" t="str">
        <x:f>IF(F623="Không áp dụng",IF(AND(K623&lt;&gt;"",H623&lt;&gt;""),"Không áp dụng có lý do","Thiếu lý do/người kiểm"),IF(AND(B623&lt;&gt;"",D623&lt;&gt;"",F623="Đã cập nhật",G623="Có",H623&lt;&gt;"",ISNUMBER(I623),J623&lt;&gt;""),"Hoàn tất","Chưa hoàn tất"))</x:f>
        <x:v>Hoàn tất</x:v>
      </x:c>
    </x:row>
    <x:row r="624" ht="135" customHeight="1">
      <x:c r="A624" s="32" t="str">
        <x:v>CHG-P0-1</x:v>
      </x:c>
      <x:c r="B624" s="32" t="str">
        <x:v>P0-1</x:v>
      </x:c>
      <x:c r="C624" s="32" t="str">
        <x:v>F01; F02; F03; F04; F05; F17</x:v>
      </x:c>
      <x:c r="D624" s="32" t="str">
        <x:v>DOC-026</x:v>
      </x:c>
      <x:c r="E624" s="32" t="str">
        <x:v>Đồng bộ gói nguồn cung và tìm theo khoảng cách</x:v>
      </x:c>
      <x:c r="F624" s="32" t="str">
        <x:v>Đã cập nhật</x:v>
      </x:c>
      <x:c r="G624" s="32" t="str">
        <x:v>Có</x:v>
      </x:c>
      <x:c r="H624" s="32" t="str">
        <x:v>Codex</x:v>
      </x:c>
      <x:c r="I624" s="33" t="n">
        <x:v>46301</x:v>
      </x:c>
      <x:c r="J624"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24" s="32"/>
      <x:c r="L624" s="32" t="str">
        <x:f>IF(F624="Không áp dụng",IF(AND(K624&lt;&gt;"",H624&lt;&gt;""),"Không áp dụng có lý do","Thiếu lý do/người kiểm"),IF(AND(B624&lt;&gt;"",D624&lt;&gt;"",F624="Đã cập nhật",G624="Có",H624&lt;&gt;"",ISNUMBER(I624),J624&lt;&gt;""),"Hoàn tất","Chưa hoàn tất"))</x:f>
        <x:v>Hoàn tất</x:v>
      </x:c>
    </x:row>
    <x:row r="625" ht="135" customHeight="1">
      <x:c r="A625" s="32" t="str">
        <x:v>CHG-P0-1</x:v>
      </x:c>
      <x:c r="B625" s="32" t="str">
        <x:v>P0-1</x:v>
      </x:c>
      <x:c r="C625" s="32" t="str">
        <x:v>F01; F02; F03; F04; F05; F17</x:v>
      </x:c>
      <x:c r="D625" s="32" t="str">
        <x:v>DOC-027</x:v>
      </x:c>
      <x:c r="E625" s="32" t="str">
        <x:v>Đồng bộ gói nguồn cung và tìm theo khoảng cách</x:v>
      </x:c>
      <x:c r="F625" s="32" t="str">
        <x:v>Đã cập nhật</x:v>
      </x:c>
      <x:c r="G625" s="32" t="str">
        <x:v>Có</x:v>
      </x:c>
      <x:c r="H625" s="32" t="str">
        <x:v>Codex</x:v>
      </x:c>
      <x:c r="I625" s="33" t="n">
        <x:v>46301</x:v>
      </x:c>
      <x:c r="J625"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25" s="32"/>
      <x:c r="L625" s="32" t="str">
        <x:f>IF(F625="Không áp dụng",IF(AND(K625&lt;&gt;"",H625&lt;&gt;""),"Không áp dụng có lý do","Thiếu lý do/người kiểm"),IF(AND(B625&lt;&gt;"",D625&lt;&gt;"",F625="Đã cập nhật",G625="Có",H625&lt;&gt;"",ISNUMBER(I625),J625&lt;&gt;""),"Hoàn tất","Chưa hoàn tất"))</x:f>
        <x:v>Hoàn tất</x:v>
      </x:c>
    </x:row>
    <x:row r="626" ht="135" customHeight="1">
      <x:c r="A626" s="32" t="str">
        <x:v>CHG-P0-1</x:v>
      </x:c>
      <x:c r="B626" s="32" t="str">
        <x:v>P0-1</x:v>
      </x:c>
      <x:c r="C626" s="32" t="str">
        <x:v>F01; F02; F03; F04; F05; F17</x:v>
      </x:c>
      <x:c r="D626" s="32" t="str">
        <x:v>DOC-029</x:v>
      </x:c>
      <x:c r="E626" s="32" t="str">
        <x:v>Đồng bộ gói nguồn cung và tìm theo khoảng cách</x:v>
      </x:c>
      <x:c r="F626" s="32" t="str">
        <x:v>Đã cập nhật</x:v>
      </x:c>
      <x:c r="G626" s="32" t="str">
        <x:v>Có</x:v>
      </x:c>
      <x:c r="H626" s="32" t="str">
        <x:v>Codex</x:v>
      </x:c>
      <x:c r="I626" s="33" t="n">
        <x:v>46301</x:v>
      </x:c>
      <x:c r="J626"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26" s="32"/>
      <x:c r="L626" s="32" t="str">
        <x:f>IF(F626="Không áp dụng",IF(AND(K626&lt;&gt;"",H626&lt;&gt;""),"Không áp dụng có lý do","Thiếu lý do/người kiểm"),IF(AND(B626&lt;&gt;"",D626&lt;&gt;"",F626="Đã cập nhật",G626="Có",H626&lt;&gt;"",ISNUMBER(I626),J626&lt;&gt;""),"Hoàn tất","Chưa hoàn tất"))</x:f>
        <x:v>Hoàn tất</x:v>
      </x:c>
    </x:row>
    <x:row r="627" ht="135" customHeight="1">
      <x:c r="A627" s="32" t="str">
        <x:v>CHG-P0-1</x:v>
      </x:c>
      <x:c r="B627" s="32" t="str">
        <x:v>P0-1</x:v>
      </x:c>
      <x:c r="C627" s="32" t="str">
        <x:v>F01; F02; F03; F04; F05; F17</x:v>
      </x:c>
      <x:c r="D627" s="32" t="str">
        <x:v>DOC-033</x:v>
      </x:c>
      <x:c r="E627" s="32" t="str">
        <x:v>Đồng bộ gói nguồn cung và tìm theo khoảng cách</x:v>
      </x:c>
      <x:c r="F627" s="32" t="str">
        <x:v>Đã cập nhật</x:v>
      </x:c>
      <x:c r="G627" s="32" t="str">
        <x:v>Có</x:v>
      </x:c>
      <x:c r="H627" s="32" t="str">
        <x:v>Codex</x:v>
      </x:c>
      <x:c r="I627" s="33" t="n">
        <x:v>46301</x:v>
      </x:c>
      <x:c r="J627"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27" s="32"/>
      <x:c r="L627" s="32" t="str">
        <x:f>IF(F627="Không áp dụng",IF(AND(K627&lt;&gt;"",H627&lt;&gt;""),"Không áp dụng có lý do","Thiếu lý do/người kiểm"),IF(AND(B627&lt;&gt;"",D627&lt;&gt;"",F627="Đã cập nhật",G627="Có",H627&lt;&gt;"",ISNUMBER(I627),J627&lt;&gt;""),"Hoàn tất","Chưa hoàn tất"))</x:f>
        <x:v>Hoàn tất</x:v>
      </x:c>
    </x:row>
    <x:row r="628" ht="135" customHeight="1">
      <x:c r="A628" s="32" t="str">
        <x:v>CHG-P0-1</x:v>
      </x:c>
      <x:c r="B628" s="32" t="str">
        <x:v>P0-1</x:v>
      </x:c>
      <x:c r="C628" s="32" t="str">
        <x:v>F01; F02; F03; F04; F05; F17</x:v>
      </x:c>
      <x:c r="D628" s="32" t="str">
        <x:v>DOC-034</x:v>
      </x:c>
      <x:c r="E628" s="32" t="str">
        <x:v>Đồng bộ gói nguồn cung và tìm theo khoảng cách</x:v>
      </x:c>
      <x:c r="F628" s="32" t="str">
        <x:v>Đã cập nhật</x:v>
      </x:c>
      <x:c r="G628" s="32" t="str">
        <x:v>Có</x:v>
      </x:c>
      <x:c r="H628" s="32" t="str">
        <x:v>Codex</x:v>
      </x:c>
      <x:c r="I628" s="33" t="n">
        <x:v>46301</x:v>
      </x:c>
      <x:c r="J628"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28" s="32"/>
      <x:c r="L628" s="32" t="str">
        <x:f>IF(F628="Không áp dụng",IF(AND(K628&lt;&gt;"",H628&lt;&gt;""),"Không áp dụng có lý do","Thiếu lý do/người kiểm"),IF(AND(B628&lt;&gt;"",D628&lt;&gt;"",F628="Đã cập nhật",G628="Có",H628&lt;&gt;"",ISNUMBER(I628),J628&lt;&gt;""),"Hoàn tất","Chưa hoàn tất"))</x:f>
        <x:v>Hoàn tất</x:v>
      </x:c>
    </x:row>
    <x:row r="629" ht="135" customHeight="1">
      <x:c r="A629" s="32" t="str">
        <x:v>CHG-P0-1</x:v>
      </x:c>
      <x:c r="B629" s="32" t="str">
        <x:v>P0-1</x:v>
      </x:c>
      <x:c r="C629" s="32" t="str">
        <x:v>F01; F02; F03; F04; F05; F17</x:v>
      </x:c>
      <x:c r="D629" s="32" t="str">
        <x:v>PLAN-001</x:v>
      </x:c>
      <x:c r="E629" s="32" t="str">
        <x:v>Đồng bộ gói nguồn cung và tìm theo khoảng cách</x:v>
      </x:c>
      <x:c r="F629" s="32" t="str">
        <x:v>Đã cập nhật</x:v>
      </x:c>
      <x:c r="G629" s="32" t="str">
        <x:v>Có</x:v>
      </x:c>
      <x:c r="H629" s="32" t="str">
        <x:v>Codex</x:v>
      </x:c>
      <x:c r="I629" s="33" t="n">
        <x:v>46301</x:v>
      </x:c>
      <x:c r="J629"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29" s="32"/>
      <x:c r="L629" s="32" t="str">
        <x:f>IF(F629="Không áp dụng",IF(AND(K629&lt;&gt;"",H629&lt;&gt;""),"Không áp dụng có lý do","Thiếu lý do/người kiểm"),IF(AND(B629&lt;&gt;"",D629&lt;&gt;"",F629="Đã cập nhật",G629="Có",H629&lt;&gt;"",ISNUMBER(I629),J629&lt;&gt;""),"Hoàn tất","Chưa hoàn tất"))</x:f>
        <x:v>Hoàn tất</x:v>
      </x:c>
    </x:row>
    <x:row r="630" ht="135" customHeight="1">
      <x:c r="A630" s="32" t="str">
        <x:v>CHG-P0-1</x:v>
      </x:c>
      <x:c r="B630" s="32" t="str">
        <x:v>P0-1</x:v>
      </x:c>
      <x:c r="C630" s="32" t="str">
        <x:v>F01; F02; F03; F04; F05; F17</x:v>
      </x:c>
      <x:c r="D630" s="32" t="str">
        <x:v>PLAN-002</x:v>
      </x:c>
      <x:c r="E630" s="32" t="str">
        <x:v>Đồng bộ gói nguồn cung và tìm theo khoảng cách</x:v>
      </x:c>
      <x:c r="F630" s="32" t="str">
        <x:v>Đã cập nhật</x:v>
      </x:c>
      <x:c r="G630" s="32" t="str">
        <x:v>Có</x:v>
      </x:c>
      <x:c r="H630" s="32" t="str">
        <x:v>Codex</x:v>
      </x:c>
      <x:c r="I630" s="33" t="n">
        <x:v>46301</x:v>
      </x:c>
      <x:c r="J630"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30" s="32"/>
      <x:c r="L630" s="32" t="str">
        <x:f>IF(F630="Không áp dụng",IF(AND(K630&lt;&gt;"",H630&lt;&gt;""),"Không áp dụng có lý do","Thiếu lý do/người kiểm"),IF(AND(B630&lt;&gt;"",D630&lt;&gt;"",F630="Đã cập nhật",G630="Có",H630&lt;&gt;"",ISNUMBER(I630),J630&lt;&gt;""),"Hoàn tất","Chưa hoàn tất"))</x:f>
        <x:v>Hoàn tất</x:v>
      </x:c>
    </x:row>
    <x:row r="631" ht="135" customHeight="1">
      <x:c r="A631" s="32" t="str">
        <x:v>CHG-P0-1</x:v>
      </x:c>
      <x:c r="B631" s="32" t="str">
        <x:v>P0-1</x:v>
      </x:c>
      <x:c r="C631" s="32" t="str">
        <x:v>F01; F02; F03; F04; F05; F17</x:v>
      </x:c>
      <x:c r="D631" s="32" t="str">
        <x:v>PLAN-003</x:v>
      </x:c>
      <x:c r="E631" s="32" t="str">
        <x:v>Đồng bộ gói nguồn cung và tìm theo khoảng cách</x:v>
      </x:c>
      <x:c r="F631" s="32" t="str">
        <x:v>Đã cập nhật</x:v>
      </x:c>
      <x:c r="G631" s="32" t="str">
        <x:v>Có</x:v>
      </x:c>
      <x:c r="H631" s="32" t="str">
        <x:v>Codex</x:v>
      </x:c>
      <x:c r="I631" s="33" t="n">
        <x:v>46301</x:v>
      </x:c>
      <x:c r="J631"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31" s="32"/>
      <x:c r="L631" s="32" t="str">
        <x:f>IF(F631="Không áp dụng",IF(AND(K631&lt;&gt;"",H631&lt;&gt;""),"Không áp dụng có lý do","Thiếu lý do/người kiểm"),IF(AND(B631&lt;&gt;"",D631&lt;&gt;"",F631="Đã cập nhật",G631="Có",H631&lt;&gt;"",ISNUMBER(I631),J631&lt;&gt;""),"Hoàn tất","Chưa hoàn tất"))</x:f>
        <x:v>Hoàn tất</x:v>
      </x:c>
    </x:row>
    <x:row r="632" ht="135" customHeight="1">
      <x:c r="A632" s="32" t="str">
        <x:v>CHG-P0-1</x:v>
      </x:c>
      <x:c r="B632" s="32" t="str">
        <x:v>P0-1</x:v>
      </x:c>
      <x:c r="C632" s="32" t="str">
        <x:v>F01; F02; F03; F04; F05; F17</x:v>
      </x:c>
      <x:c r="D632" s="32" t="str">
        <x:v>DOC-037</x:v>
      </x:c>
      <x:c r="E632" s="32" t="str">
        <x:v>Đồng bộ gói nguồn cung và tìm theo khoảng cách</x:v>
      </x:c>
      <x:c r="F632" s="32" t="str">
        <x:v>Đã cập nhật</x:v>
      </x:c>
      <x:c r="G632" s="32" t="str">
        <x:v>Có</x:v>
      </x:c>
      <x:c r="H632" s="32" t="str">
        <x:v>Codex</x:v>
      </x:c>
      <x:c r="I632" s="33" t="n">
        <x:v>46301</x:v>
      </x:c>
      <x:c r="J632"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32" s="32"/>
      <x:c r="L632" s="32" t="str">
        <x:f>IF(F632="Không áp dụng",IF(AND(K632&lt;&gt;"",H632&lt;&gt;""),"Không áp dụng có lý do","Thiếu lý do/người kiểm"),IF(AND(B632&lt;&gt;"",D632&lt;&gt;"",F632="Đã cập nhật",G632="Có",H632&lt;&gt;"",ISNUMBER(I632),J632&lt;&gt;""),"Hoàn tất","Chưa hoàn tất"))</x:f>
        <x:v>Hoàn tất</x:v>
      </x:c>
    </x:row>
    <x:row r="633" ht="135" customHeight="1">
      <x:c r="A633" s="32" t="str">
        <x:v>CHG-P0-1</x:v>
      </x:c>
      <x:c r="B633" s="32" t="str">
        <x:v>P0-1</x:v>
      </x:c>
      <x:c r="C633" s="32" t="str">
        <x:v>F01; F02; F03; F04; F05; F17</x:v>
      </x:c>
      <x:c r="D633" s="32" t="str">
        <x:v>DOC-038</x:v>
      </x:c>
      <x:c r="E633" s="32" t="str">
        <x:v>Đồng bộ gói nguồn cung và tìm theo khoảng cách</x:v>
      </x:c>
      <x:c r="F633" s="32" t="str">
        <x:v>Đã cập nhật</x:v>
      </x:c>
      <x:c r="G633" s="32" t="str">
        <x:v>Có</x:v>
      </x:c>
      <x:c r="H633" s="32" t="str">
        <x:v>Codex</x:v>
      </x:c>
      <x:c r="I633" s="33" t="n">
        <x:v>46301</x:v>
      </x:c>
      <x:c r="J633"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33" s="32"/>
      <x:c r="L633" s="32" t="str">
        <x:f>IF(F633="Không áp dụng",IF(AND(K633&lt;&gt;"",H633&lt;&gt;""),"Không áp dụng có lý do","Thiếu lý do/người kiểm"),IF(AND(B633&lt;&gt;"",D633&lt;&gt;"",F633="Đã cập nhật",G633="Có",H633&lt;&gt;"",ISNUMBER(I633),J633&lt;&gt;""),"Hoàn tất","Chưa hoàn tất"))</x:f>
        <x:v>Hoàn tất</x:v>
      </x:c>
    </x:row>
    <x:row r="634" ht="135" customHeight="1">
      <x:c r="A634" s="32" t="str">
        <x:v>CHG-P0-1</x:v>
      </x:c>
      <x:c r="B634" s="32" t="str">
        <x:v>P0-1</x:v>
      </x:c>
      <x:c r="C634" s="32" t="str">
        <x:v>F01; F02; F03; F04; F05; F17</x:v>
      </x:c>
      <x:c r="D634" s="32" t="str">
        <x:v>DOC-039</x:v>
      </x:c>
      <x:c r="E634" s="32" t="str">
        <x:v>Đồng bộ gói nguồn cung và tìm theo khoảng cách</x:v>
      </x:c>
      <x:c r="F634" s="32" t="str">
        <x:v>Đã cập nhật</x:v>
      </x:c>
      <x:c r="G634" s="32" t="str">
        <x:v>Có</x:v>
      </x:c>
      <x:c r="H634" s="32" t="str">
        <x:v>Codex</x:v>
      </x:c>
      <x:c r="I634" s="33" t="n">
        <x:v>46301</x:v>
      </x:c>
      <x:c r="J634"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34" s="32"/>
      <x:c r="L634" s="32" t="str">
        <x:f>IF(F634="Không áp dụng",IF(AND(K634&lt;&gt;"",H634&lt;&gt;""),"Không áp dụng có lý do","Thiếu lý do/người kiểm"),IF(AND(B634&lt;&gt;"",D634&lt;&gt;"",F634="Đã cập nhật",G634="Có",H634&lt;&gt;"",ISNUMBER(I634),J634&lt;&gt;""),"Hoàn tất","Chưa hoàn tất"))</x:f>
        <x:v>Hoàn tất</x:v>
      </x:c>
    </x:row>
    <x:row r="635" ht="135" customHeight="1">
      <x:c r="A635" s="32" t="str">
        <x:v>CHG-P0-1</x:v>
      </x:c>
      <x:c r="B635" s="32" t="str">
        <x:v>P0-1</x:v>
      </x:c>
      <x:c r="C635" s="32" t="str">
        <x:v>F01; F02; F03; F04; F05; F17</x:v>
      </x:c>
      <x:c r="D635" s="32" t="str">
        <x:v>DOC-040</x:v>
      </x:c>
      <x:c r="E635" s="32" t="str">
        <x:v>Đồng bộ gói nguồn cung và tìm theo khoảng cách</x:v>
      </x:c>
      <x:c r="F635" s="32" t="str">
        <x:v>Đã cập nhật</x:v>
      </x:c>
      <x:c r="G635" s="32" t="str">
        <x:v>Có</x:v>
      </x:c>
      <x:c r="H635" s="32" t="str">
        <x:v>Codex</x:v>
      </x:c>
      <x:c r="I635" s="33" t="n">
        <x:v>46301</x:v>
      </x:c>
      <x:c r="J635"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35" s="32"/>
      <x:c r="L635" s="32" t="str">
        <x:f>IF(F635="Không áp dụng",IF(AND(K635&lt;&gt;"",H635&lt;&gt;""),"Không áp dụng có lý do","Thiếu lý do/người kiểm"),IF(AND(B635&lt;&gt;"",D635&lt;&gt;"",F635="Đã cập nhật",G635="Có",H635&lt;&gt;"",ISNUMBER(I635),J635&lt;&gt;""),"Hoàn tất","Chưa hoàn tất"))</x:f>
        <x:v>Hoàn tất</x:v>
      </x:c>
    </x:row>
    <x:row r="636" ht="135" customHeight="1">
      <x:c r="A636" s="32" t="str">
        <x:v>CHG-P0-1</x:v>
      </x:c>
      <x:c r="B636" s="32" t="str">
        <x:v>P0-1</x:v>
      </x:c>
      <x:c r="C636" s="32" t="str">
        <x:v>F01; F02; F03; F04; F05; F17</x:v>
      </x:c>
      <x:c r="D636" s="32" t="str">
        <x:v>DOC-041</x:v>
      </x:c>
      <x:c r="E636" s="32" t="str">
        <x:v>Đồng bộ gói nguồn cung và tìm theo khoảng cách</x:v>
      </x:c>
      <x:c r="F636" s="32" t="str">
        <x:v>Đã cập nhật</x:v>
      </x:c>
      <x:c r="G636" s="32" t="str">
        <x:v>Có</x:v>
      </x:c>
      <x:c r="H636" s="32" t="str">
        <x:v>Codex</x:v>
      </x:c>
      <x:c r="I636" s="33" t="n">
        <x:v>46301</x:v>
      </x:c>
      <x:c r="J636"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36" s="32"/>
      <x:c r="L636" s="32" t="str">
        <x:f>IF(F636="Không áp dụng",IF(AND(K636&lt;&gt;"",H636&lt;&gt;""),"Không áp dụng có lý do","Thiếu lý do/người kiểm"),IF(AND(B636&lt;&gt;"",D636&lt;&gt;"",F636="Đã cập nhật",G636="Có",H636&lt;&gt;"",ISNUMBER(I636),J636&lt;&gt;""),"Hoàn tất","Chưa hoàn tất"))</x:f>
        <x:v>Hoàn tất</x:v>
      </x:c>
    </x:row>
    <x:row r="637" ht="135" customHeight="1">
      <x:c r="A637" s="32" t="str">
        <x:v>CHG-P0-1</x:v>
      </x:c>
      <x:c r="B637" s="32" t="str">
        <x:v>P0-1</x:v>
      </x:c>
      <x:c r="C637" s="32" t="str">
        <x:v>F01; F02; F03; F04; F05; F17</x:v>
      </x:c>
      <x:c r="D637" s="32" t="str">
        <x:v>DOC-042</x:v>
      </x:c>
      <x:c r="E637" s="32" t="str">
        <x:v>Đồng bộ gói nguồn cung và tìm theo khoảng cách</x:v>
      </x:c>
      <x:c r="F637" s="32" t="str">
        <x:v>Đã cập nhật</x:v>
      </x:c>
      <x:c r="G637" s="32" t="str">
        <x:v>Có</x:v>
      </x:c>
      <x:c r="H637" s="32" t="str">
        <x:v>Codex</x:v>
      </x:c>
      <x:c r="I637" s="33" t="n">
        <x:v>46301</x:v>
      </x:c>
      <x:c r="J637"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37" s="32"/>
      <x:c r="L637" s="32" t="str">
        <x:f>IF(F637="Không áp dụng",IF(AND(K637&lt;&gt;"",H637&lt;&gt;""),"Không áp dụng có lý do","Thiếu lý do/người kiểm"),IF(AND(B637&lt;&gt;"",D637&lt;&gt;"",F637="Đã cập nhật",G637="Có",H637&lt;&gt;"",ISNUMBER(I637),J637&lt;&gt;""),"Hoàn tất","Chưa hoàn tất"))</x:f>
        <x:v>Hoàn tất</x:v>
      </x:c>
    </x:row>
    <x:row r="638" ht="135" customHeight="1">
      <x:c r="A638" s="32" t="str">
        <x:v>CHG-P0-1</x:v>
      </x:c>
      <x:c r="B638" s="32" t="str">
        <x:v>P0-1</x:v>
      </x:c>
      <x:c r="C638" s="32" t="str">
        <x:v>F01; F02; F03; F04; F05; F17</x:v>
      </x:c>
      <x:c r="D638" s="32" t="str">
        <x:v>DOC-043</x:v>
      </x:c>
      <x:c r="E638" s="32" t="str">
        <x:v>Đồng bộ gói nguồn cung và tìm theo khoảng cách</x:v>
      </x:c>
      <x:c r="F638" s="32" t="str">
        <x:v>Đã cập nhật</x:v>
      </x:c>
      <x:c r="G638" s="32" t="str">
        <x:v>Có</x:v>
      </x:c>
      <x:c r="H638" s="32" t="str">
        <x:v>Codex</x:v>
      </x:c>
      <x:c r="I638" s="33" t="n">
        <x:v>46301</x:v>
      </x:c>
      <x:c r="J638"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38" s="32"/>
      <x:c r="L638" s="32" t="str">
        <x:f>IF(F638="Không áp dụng",IF(AND(K638&lt;&gt;"",H638&lt;&gt;""),"Không áp dụng có lý do","Thiếu lý do/người kiểm"),IF(AND(B638&lt;&gt;"",D638&lt;&gt;"",F638="Đã cập nhật",G638="Có",H638&lt;&gt;"",ISNUMBER(I638),J638&lt;&gt;""),"Hoàn tất","Chưa hoàn tất"))</x:f>
        <x:v>Hoàn tất</x:v>
      </x:c>
    </x:row>
    <x:row r="639" ht="135" customHeight="1">
      <x:c r="A639" s="32" t="str">
        <x:v>CHG-P0-1</x:v>
      </x:c>
      <x:c r="B639" s="32" t="str">
        <x:v>P0-1</x:v>
      </x:c>
      <x:c r="C639" s="32" t="str">
        <x:v>F01; F02; F03; F04; F05; F17</x:v>
      </x:c>
      <x:c r="D639" s="32" t="str">
        <x:v>DOC-045</x:v>
      </x:c>
      <x:c r="E639" s="32" t="str">
        <x:v>Đồng bộ gói nguồn cung và tìm theo khoảng cách</x:v>
      </x:c>
      <x:c r="F639" s="32" t="str">
        <x:v>Đã cập nhật</x:v>
      </x:c>
      <x:c r="G639" s="32" t="str">
        <x:v>Có</x:v>
      </x:c>
      <x:c r="H639" s="32" t="str">
        <x:v>Codex</x:v>
      </x:c>
      <x:c r="I639" s="33" t="n">
        <x:v>46301</x:v>
      </x:c>
      <x:c r="J639"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39" s="32"/>
      <x:c r="L639" s="32" t="str">
        <x:f>IF(F639="Không áp dụng",IF(AND(K639&lt;&gt;"",H639&lt;&gt;""),"Không áp dụng có lý do","Thiếu lý do/người kiểm"),IF(AND(B639&lt;&gt;"",D639&lt;&gt;"",F639="Đã cập nhật",G639="Có",H639&lt;&gt;"",ISNUMBER(I639),J639&lt;&gt;""),"Hoàn tất","Chưa hoàn tất"))</x:f>
        <x:v>Hoàn tất</x:v>
      </x:c>
    </x:row>
    <x:row r="640" ht="135" customHeight="1">
      <x:c r="A640" s="32" t="str">
        <x:v>CHG-P0-1</x:v>
      </x:c>
      <x:c r="B640" s="32" t="str">
        <x:v>P0-1</x:v>
      </x:c>
      <x:c r="C640" s="32" t="str">
        <x:v>F01; F02; F03; F04; F05; F17</x:v>
      </x:c>
      <x:c r="D640" s="32" t="str">
        <x:v>DOC-046</x:v>
      </x:c>
      <x:c r="E640" s="32" t="str">
        <x:v>Đồng bộ gói nguồn cung và tìm theo khoảng cách</x:v>
      </x:c>
      <x:c r="F640" s="32" t="str">
        <x:v>Đã cập nhật</x:v>
      </x:c>
      <x:c r="G640" s="32" t="str">
        <x:v>Có</x:v>
      </x:c>
      <x:c r="H640" s="32" t="str">
        <x:v>Codex</x:v>
      </x:c>
      <x:c r="I640" s="33" t="n">
        <x:v>46301</x:v>
      </x:c>
      <x:c r="J640"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40" s="32"/>
      <x:c r="L640" s="32" t="str">
        <x:f>IF(F640="Không áp dụng",IF(AND(K640&lt;&gt;"",H640&lt;&gt;""),"Không áp dụng có lý do","Thiếu lý do/người kiểm"),IF(AND(B640&lt;&gt;"",D640&lt;&gt;"",F640="Đã cập nhật",G640="Có",H640&lt;&gt;"",ISNUMBER(I640),J640&lt;&gt;""),"Hoàn tất","Chưa hoàn tất"))</x:f>
        <x:v>Hoàn tất</x:v>
      </x:c>
    </x:row>
    <x:row r="641" ht="135" customHeight="1">
      <x:c r="A641" s="32" t="str">
        <x:v>CHG-P0-1</x:v>
      </x:c>
      <x:c r="B641" s="32" t="str">
        <x:v>P0-1</x:v>
      </x:c>
      <x:c r="C641" s="32" t="str">
        <x:v>F01; F02; F03; F04; F05; F17</x:v>
      </x:c>
      <x:c r="D641" s="32" t="str">
        <x:v>DOC-047</x:v>
      </x:c>
      <x:c r="E641" s="32" t="str">
        <x:v>Đồng bộ gói nguồn cung và tìm theo khoảng cách</x:v>
      </x:c>
      <x:c r="F641" s="32" t="str">
        <x:v>Đã cập nhật</x:v>
      </x:c>
      <x:c r="G641" s="32" t="str">
        <x:v>Có</x:v>
      </x:c>
      <x:c r="H641" s="32" t="str">
        <x:v>Codex</x:v>
      </x:c>
      <x:c r="I641" s="33" t="n">
        <x:v>46301</x:v>
      </x:c>
      <x:c r="J641"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41" s="32"/>
      <x:c r="L641" s="32" t="str">
        <x:f>IF(F641="Không áp dụng",IF(AND(K641&lt;&gt;"",H641&lt;&gt;""),"Không áp dụng có lý do","Thiếu lý do/người kiểm"),IF(AND(B641&lt;&gt;"",D641&lt;&gt;"",F641="Đã cập nhật",G641="Có",H641&lt;&gt;"",ISNUMBER(I641),J641&lt;&gt;""),"Hoàn tất","Chưa hoàn tất"))</x:f>
        <x:v>Hoàn tất</x:v>
      </x:c>
    </x:row>
    <x:row r="642" ht="135" customHeight="1">
      <x:c r="A642" s="32" t="str">
        <x:v>CHG-P0-1</x:v>
      </x:c>
      <x:c r="B642" s="32" t="str">
        <x:v>P0-1</x:v>
      </x:c>
      <x:c r="C642" s="32" t="str">
        <x:v>F01; F02; F03; F04; F05; F17</x:v>
      </x:c>
      <x:c r="D642" s="32" t="str">
        <x:v>DOC-050</x:v>
      </x:c>
      <x:c r="E642" s="32" t="str">
        <x:v>Đồng bộ gói nguồn cung và tìm theo khoảng cách</x:v>
      </x:c>
      <x:c r="F642" s="32" t="str">
        <x:v>Đã cập nhật</x:v>
      </x:c>
      <x:c r="G642" s="32" t="str">
        <x:v>Có</x:v>
      </x:c>
      <x:c r="H642" s="32" t="str">
        <x:v>Codex</x:v>
      </x:c>
      <x:c r="I642" s="33" t="n">
        <x:v>46301</x:v>
      </x:c>
      <x:c r="J642"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42" s="32"/>
      <x:c r="L642" s="32" t="str">
        <x:f>IF(F642="Không áp dụng",IF(AND(K642&lt;&gt;"",H642&lt;&gt;""),"Không áp dụng có lý do","Thiếu lý do/người kiểm"),IF(AND(B642&lt;&gt;"",D642&lt;&gt;"",F642="Đã cập nhật",G642="Có",H642&lt;&gt;"",ISNUMBER(I642),J642&lt;&gt;""),"Hoàn tất","Chưa hoàn tất"))</x:f>
        <x:v>Hoàn tất</x:v>
      </x:c>
    </x:row>
    <x:row r="643" ht="135" customHeight="1">
      <x:c r="A643" s="32" t="str">
        <x:v>CHG-P0-1</x:v>
      </x:c>
      <x:c r="B643" s="32" t="str">
        <x:v>P0-1</x:v>
      </x:c>
      <x:c r="C643" s="32" t="str">
        <x:v>F01; F02; F03; F04; F05; F17</x:v>
      </x:c>
      <x:c r="D643" s="32" t="str">
        <x:v>DOC-056</x:v>
      </x:c>
      <x:c r="E643" s="32" t="str">
        <x:v>Đồng bộ gói nguồn cung và tìm theo khoảng cách</x:v>
      </x:c>
      <x:c r="F643" s="32" t="str">
        <x:v>Đã cập nhật</x:v>
      </x:c>
      <x:c r="G643" s="32" t="str">
        <x:v>Có</x:v>
      </x:c>
      <x:c r="H643" s="32" t="str">
        <x:v>Codex</x:v>
      </x:c>
      <x:c r="I643" s="33" t="n">
        <x:v>46301</x:v>
      </x:c>
      <x:c r="J643"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43" s="32"/>
      <x:c r="L643" s="32" t="str">
        <x:f>IF(F643="Không áp dụng",IF(AND(K643&lt;&gt;"",H643&lt;&gt;""),"Không áp dụng có lý do","Thiếu lý do/người kiểm"),IF(AND(B643&lt;&gt;"",D643&lt;&gt;"",F643="Đã cập nhật",G643="Có",H643&lt;&gt;"",ISNUMBER(I643),J643&lt;&gt;""),"Hoàn tất","Chưa hoàn tất"))</x:f>
        <x:v>Hoàn tất</x:v>
      </x:c>
    </x:row>
    <x:row r="644" ht="135" customHeight="1">
      <x:c r="A644" s="32" t="str">
        <x:v>CHG-P0-1</x:v>
      </x:c>
      <x:c r="B644" s="32" t="str">
        <x:v>P0-1</x:v>
      </x:c>
      <x:c r="C644" s="32" t="str">
        <x:v>F01; F02; F03; F04; F05; F17</x:v>
      </x:c>
      <x:c r="D644" s="32" t="str">
        <x:v>DOC-057</x:v>
      </x:c>
      <x:c r="E644" s="32" t="str">
        <x:v>Đồng bộ gói nguồn cung và tìm theo khoảng cách</x:v>
      </x:c>
      <x:c r="F644" s="32" t="str">
        <x:v>Đã cập nhật</x:v>
      </x:c>
      <x:c r="G644" s="32" t="str">
        <x:v>Có</x:v>
      </x:c>
      <x:c r="H644" s="32" t="str">
        <x:v>Codex</x:v>
      </x:c>
      <x:c r="I644" s="33" t="n">
        <x:v>46301</x:v>
      </x:c>
      <x:c r="J644"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44" s="32"/>
      <x:c r="L644" s="32" t="str">
        <x:f>IF(F644="Không áp dụng",IF(AND(K644&lt;&gt;"",H644&lt;&gt;""),"Không áp dụng có lý do","Thiếu lý do/người kiểm"),IF(AND(B644&lt;&gt;"",D644&lt;&gt;"",F644="Đã cập nhật",G644="Có",H644&lt;&gt;"",ISNUMBER(I644),J644&lt;&gt;""),"Hoàn tất","Chưa hoàn tất"))</x:f>
        <x:v>Hoàn tất</x:v>
      </x:c>
    </x:row>
    <x:row r="645" ht="135" customHeight="1">
      <x:c r="A645" s="32" t="str">
        <x:v>CHG-P0-1</x:v>
      </x:c>
      <x:c r="B645" s="32" t="str">
        <x:v>P0-1</x:v>
      </x:c>
      <x:c r="C645" s="32" t="str">
        <x:v>F01; F02; F03; F04; F05; F17</x:v>
      </x:c>
      <x:c r="D645" s="32" t="str">
        <x:v>DOC-058</x:v>
      </x:c>
      <x:c r="E645" s="32" t="str">
        <x:v>Đồng bộ gói nguồn cung và tìm theo khoảng cách</x:v>
      </x:c>
      <x:c r="F645" s="32" t="str">
        <x:v>Đã cập nhật</x:v>
      </x:c>
      <x:c r="G645" s="32" t="str">
        <x:v>Có</x:v>
      </x:c>
      <x:c r="H645" s="32" t="str">
        <x:v>Codex</x:v>
      </x:c>
      <x:c r="I645" s="33" t="n">
        <x:v>46301</x:v>
      </x:c>
      <x:c r="J645" s="32" t="str">
        <x:v>P0-1 đã duyệt và đồng bộ đúng phạm vi. 16 raw Drive giữ ID, tải lại so sánh từng byte với local đạt; PRD/SRS/UX bổ sung P0-1 đọc lại đạt, FR D6:D8/D11:D13 đọc lại đúng và giữ Arial11/wrap/top. Nguồn, mirror và ZIP v0.1.6/P0-1; full spec không đồng nghĩa full code. Báo cáo/DEMO credentials chỉ local/repo theo phạm vi. OTP/map/production/tiền thật chưa mở.</x:v>
      </x:c>
      <x:c r="K645" s="32"/>
      <x:c r="L645" s="32" t="str">
        <x:f>IF(F645="Không áp dụng",IF(AND(K645&lt;&gt;"",H645&lt;&gt;""),"Không áp dụng có lý do","Thiếu lý do/người kiểm"),IF(AND(B645&lt;&gt;"",D645&lt;&gt;"",F645="Đã cập nhật",G645="Có",H645&lt;&gt;"",ISNUMBER(I645),J645&lt;&gt;""),"Hoàn tất","Chưa hoàn tất"))</x:f>
        <x:v>Hoàn tất</x:v>
      </x:c>
    </x:row>
    <x:row r="646" ht="135" customHeight="1">
      <x:c r="A646" s="32" t="str">
        <x:v>CHG-P0-1</x:v>
      </x:c>
      <x:c r="B646" s="32" t="str">
        <x:v>P0-1</x:v>
      </x:c>
      <x:c r="C646" s="32" t="str">
        <x:v>F01; F02; F03; F04; F05; F17</x:v>
      </x:c>
      <x:c r="D646" s="32" t="str">
        <x:v>DOC-001</x:v>
      </x:c>
      <x:c r="E646" s="32" t="str">
        <x:v>Đồng bộ gói nguồn cung và tìm theo khoảng cách</x:v>
      </x:c>
      <x:c r="F646" s="32" t="str">
        <x:v>Không áp dụng</x:v>
      </x:c>
      <x:c r="G646" s="32" t="str">
        <x:v>Có</x:v>
      </x:c>
      <x:c r="H646" s="32" t="str">
        <x:v>Codex</x:v>
      </x:c>
      <x:c r="I646" s="33" t="n">
        <x:v>46301</x:v>
      </x:c>
      <x:c r="J646" s="32" t="str">
        <x:v>Đối chiếu Anh huong và nguồn hiện hành; P0-1 không đổi nội dung của tài liệu này.</x:v>
      </x:c>
      <x:c r="K646" s="32" t="str">
        <x:v>Giữ mục tiêu BRD, kiến trúc tổng thể, thứ tự backlog đầy đủ, tài chính/realtime ngoài P0-1. Các wireframe/Figma/Penpot/prototype cũ giữ làm lịch sử minh họa, không là app/backend thật; spec hiện hành được cập nhật trong UX và technical-design. DOC-055 quảng cáo/voucher tiếp tục ngoài phase đầu. Tồn đọng khác không đổi.</x:v>
      </x:c>
      <x:c r="L646" s="32" t="str">
        <x:f>IF(F646="Không áp dụng",IF(AND(K646&lt;&gt;"",H646&lt;&gt;""),"Không áp dụng có lý do","Thiếu lý do/người kiểm"),IF(AND(B646&lt;&gt;"",D646&lt;&gt;"",F646="Đã cập nhật",G646="Có",H646&lt;&gt;"",ISNUMBER(I646),J646&lt;&gt;""),"Hoàn tất","Chưa hoàn tất"))</x:f>
        <x:v>Không áp dụng có lý do</x:v>
      </x:c>
    </x:row>
    <x:row r="647" ht="135" customHeight="1">
      <x:c r="A647" s="32" t="str">
        <x:v>CHG-P0-1</x:v>
      </x:c>
      <x:c r="B647" s="32" t="str">
        <x:v>P0-1</x:v>
      </x:c>
      <x:c r="C647" s="32" t="str">
        <x:v>F01; F02; F03; F04; F05; F17</x:v>
      </x:c>
      <x:c r="D647" s="32" t="str">
        <x:v>DOC-003</x:v>
      </x:c>
      <x:c r="E647" s="32" t="str">
        <x:v>Đồng bộ gói nguồn cung và tìm theo khoảng cách</x:v>
      </x:c>
      <x:c r="F647" s="32" t="str">
        <x:v>Không áp dụng</x:v>
      </x:c>
      <x:c r="G647" s="32" t="str">
        <x:v>Có</x:v>
      </x:c>
      <x:c r="H647" s="32" t="str">
        <x:v>Codex</x:v>
      </x:c>
      <x:c r="I647" s="33" t="n">
        <x:v>46301</x:v>
      </x:c>
      <x:c r="J647" s="32" t="str">
        <x:v>Đối chiếu Anh huong và nguồn hiện hành; P0-1 không đổi nội dung của tài liệu này.</x:v>
      </x:c>
      <x:c r="K647" s="32" t="str">
        <x:v>Giữ mục tiêu BRD, kiến trúc tổng thể, thứ tự backlog đầy đủ, tài chính/realtime ngoài P0-1. Các wireframe/Figma/Penpot/prototype cũ giữ làm lịch sử minh họa, không là app/backend thật; spec hiện hành được cập nhật trong UX và technical-design. DOC-055 quảng cáo/voucher tiếp tục ngoài phase đầu. Tồn đọng khác không đổi.</x:v>
      </x:c>
      <x:c r="L647" s="32" t="str">
        <x:f>IF(F647="Không áp dụng",IF(AND(K647&lt;&gt;"",H647&lt;&gt;""),"Không áp dụng có lý do","Thiếu lý do/người kiểm"),IF(AND(B647&lt;&gt;"",D647&lt;&gt;"",F647="Đã cập nhật",G647="Có",H647&lt;&gt;"",ISNUMBER(I647),J647&lt;&gt;""),"Hoàn tất","Chưa hoàn tất"))</x:f>
        <x:v>Không áp dụng có lý do</x:v>
      </x:c>
    </x:row>
    <x:row r="648" ht="135" customHeight="1">
      <x:c r="A648" s="32" t="str">
        <x:v>CHG-P0-1</x:v>
      </x:c>
      <x:c r="B648" s="32" t="str">
        <x:v>P0-1</x:v>
      </x:c>
      <x:c r="C648" s="32" t="str">
        <x:v>F01; F02; F03; F04; F05; F17</x:v>
      </x:c>
      <x:c r="D648" s="32" t="str">
        <x:v>DOC-008</x:v>
      </x:c>
      <x:c r="E648" s="32" t="str">
        <x:v>Đồng bộ gói nguồn cung và tìm theo khoảng cách</x:v>
      </x:c>
      <x:c r="F648" s="32" t="str">
        <x:v>Không áp dụng</x:v>
      </x:c>
      <x:c r="G648" s="32" t="str">
        <x:v>Có</x:v>
      </x:c>
      <x:c r="H648" s="32" t="str">
        <x:v>Codex</x:v>
      </x:c>
      <x:c r="I648" s="33" t="n">
        <x:v>46301</x:v>
      </x:c>
      <x:c r="J648" s="32" t="str">
        <x:v>Đối chiếu Anh huong và nguồn hiện hành; P0-1 không đổi nội dung của tài liệu này.</x:v>
      </x:c>
      <x:c r="K648" s="32" t="str">
        <x:v>Giữ mục tiêu BRD, kiến trúc tổng thể, thứ tự backlog đầy đủ, tài chính/realtime ngoài P0-1. Các wireframe/Figma/Penpot/prototype cũ giữ làm lịch sử minh họa, không là app/backend thật; spec hiện hành được cập nhật trong UX và technical-design. DOC-055 quảng cáo/voucher tiếp tục ngoài phase đầu. Tồn đọng khác không đổi.</x:v>
      </x:c>
      <x:c r="L648" s="32" t="str">
        <x:f>IF(F648="Không áp dụng",IF(AND(K648&lt;&gt;"",H648&lt;&gt;""),"Không áp dụng có lý do","Thiếu lý do/người kiểm"),IF(AND(B648&lt;&gt;"",D648&lt;&gt;"",F648="Đã cập nhật",G648="Có",H648&lt;&gt;"",ISNUMBER(I648),J648&lt;&gt;""),"Hoàn tất","Chưa hoàn tất"))</x:f>
        <x:v>Không áp dụng có lý do</x:v>
      </x:c>
    </x:row>
    <x:row r="649" ht="135" customHeight="1">
      <x:c r="A649" s="32" t="str">
        <x:v>CHG-P0-1</x:v>
      </x:c>
      <x:c r="B649" s="32" t="str">
        <x:v>P0-1</x:v>
      </x:c>
      <x:c r="C649" s="32" t="str">
        <x:v>F01; F02; F03; F04; F05; F17</x:v>
      </x:c>
      <x:c r="D649" s="32" t="str">
        <x:v>DOC-025</x:v>
      </x:c>
      <x:c r="E649" s="32" t="str">
        <x:v>Đồng bộ gói nguồn cung và tìm theo khoảng cách</x:v>
      </x:c>
      <x:c r="F649" s="32" t="str">
        <x:v>Không áp dụng</x:v>
      </x:c>
      <x:c r="G649" s="32" t="str">
        <x:v>Có</x:v>
      </x:c>
      <x:c r="H649" s="32" t="str">
        <x:v>Codex</x:v>
      </x:c>
      <x:c r="I649" s="33" t="n">
        <x:v>46301</x:v>
      </x:c>
      <x:c r="J649" s="32" t="str">
        <x:v>Đối chiếu Anh huong và nguồn hiện hành; P0-1 không đổi nội dung của tài liệu này.</x:v>
      </x:c>
      <x:c r="K649" s="32" t="str">
        <x:v>Giữ mục tiêu BRD, kiến trúc tổng thể, thứ tự backlog đầy đủ, tài chính/realtime ngoài P0-1. Các wireframe/Figma/Penpot/prototype cũ giữ làm lịch sử minh họa, không là app/backend thật; spec hiện hành được cập nhật trong UX và technical-design. DOC-055 quảng cáo/voucher tiếp tục ngoài phase đầu. Tồn đọng khác không đổi.</x:v>
      </x:c>
      <x:c r="L649" s="32" t="str">
        <x:f>IF(F649="Không áp dụng",IF(AND(K649&lt;&gt;"",H649&lt;&gt;""),"Không áp dụng có lý do","Thiếu lý do/người kiểm"),IF(AND(B649&lt;&gt;"",D649&lt;&gt;"",F649="Đã cập nhật",G649="Có",H649&lt;&gt;"",ISNUMBER(I649),J649&lt;&gt;""),"Hoàn tất","Chưa hoàn tất"))</x:f>
        <x:v>Không áp dụng có lý do</x:v>
      </x:c>
    </x:row>
    <x:row r="650" ht="135" customHeight="1">
      <x:c r="A650" s="32" t="str">
        <x:v>CHG-P0-1</x:v>
      </x:c>
      <x:c r="B650" s="32" t="str">
        <x:v>P0-1</x:v>
      </x:c>
      <x:c r="C650" s="32" t="str">
        <x:v>F01; F02; F03; F04; F05; F17</x:v>
      </x:c>
      <x:c r="D650" s="32" t="str">
        <x:v>DOC-028</x:v>
      </x:c>
      <x:c r="E650" s="32" t="str">
        <x:v>Đồng bộ gói nguồn cung và tìm theo khoảng cách</x:v>
      </x:c>
      <x:c r="F650" s="32" t="str">
        <x:v>Không áp dụng</x:v>
      </x:c>
      <x:c r="G650" s="32" t="str">
        <x:v>Có</x:v>
      </x:c>
      <x:c r="H650" s="32" t="str">
        <x:v>Codex</x:v>
      </x:c>
      <x:c r="I650" s="33" t="n">
        <x:v>46301</x:v>
      </x:c>
      <x:c r="J650" s="32" t="str">
        <x:v>Đối chiếu Anh huong và nguồn hiện hành; P0-1 không đổi nội dung của tài liệu này.</x:v>
      </x:c>
      <x:c r="K650" s="32" t="str">
        <x:v>Giữ mục tiêu BRD, kiến trúc tổng thể, thứ tự backlog đầy đủ, tài chính/realtime ngoài P0-1. Các wireframe/Figma/Penpot/prototype cũ giữ làm lịch sử minh họa, không là app/backend thật; spec hiện hành được cập nhật trong UX và technical-design. DOC-055 quảng cáo/voucher tiếp tục ngoài phase đầu. Tồn đọng khác không đổi.</x:v>
      </x:c>
      <x:c r="L650" s="32" t="str">
        <x:f>IF(F650="Không áp dụng",IF(AND(K650&lt;&gt;"",H650&lt;&gt;""),"Không áp dụng có lý do","Thiếu lý do/người kiểm"),IF(AND(B650&lt;&gt;"",D650&lt;&gt;"",F650="Đã cập nhật",G650="Có",H650&lt;&gt;"",ISNUMBER(I650),J650&lt;&gt;""),"Hoàn tất","Chưa hoàn tất"))</x:f>
        <x:v>Không áp dụng có lý do</x:v>
      </x:c>
    </x:row>
    <x:row r="651" ht="135" customHeight="1">
      <x:c r="A651" s="32" t="str">
        <x:v>CHG-P0-1</x:v>
      </x:c>
      <x:c r="B651" s="32" t="str">
        <x:v>P0-1</x:v>
      </x:c>
      <x:c r="C651" s="32" t="str">
        <x:v>F01; F02; F03; F04; F05; F17</x:v>
      </x:c>
      <x:c r="D651" s="32" t="str">
        <x:v>DOC-030</x:v>
      </x:c>
      <x:c r="E651" s="32" t="str">
        <x:v>Đồng bộ gói nguồn cung và tìm theo khoảng cách</x:v>
      </x:c>
      <x:c r="F651" s="32" t="str">
        <x:v>Không áp dụng</x:v>
      </x:c>
      <x:c r="G651" s="32" t="str">
        <x:v>Có</x:v>
      </x:c>
      <x:c r="H651" s="32" t="str">
        <x:v>Codex</x:v>
      </x:c>
      <x:c r="I651" s="33" t="n">
        <x:v>46301</x:v>
      </x:c>
      <x:c r="J651" s="32" t="str">
        <x:v>Đối chiếu Anh huong và nguồn hiện hành; P0-1 không đổi nội dung của tài liệu này.</x:v>
      </x:c>
      <x:c r="K651" s="32" t="str">
        <x:v>Giữ mục tiêu BRD, kiến trúc tổng thể, thứ tự backlog đầy đủ, tài chính/realtime ngoài P0-1. Các wireframe/Figma/Penpot/prototype cũ giữ làm lịch sử minh họa, không là app/backend thật; spec hiện hành được cập nhật trong UX và technical-design. DOC-055 quảng cáo/voucher tiếp tục ngoài phase đầu. Tồn đọng khác không đổi.</x:v>
      </x:c>
      <x:c r="L651" s="32" t="str">
        <x:f>IF(F651="Không áp dụng",IF(AND(K651&lt;&gt;"",H651&lt;&gt;""),"Không áp dụng có lý do","Thiếu lý do/người kiểm"),IF(AND(B651&lt;&gt;"",D651&lt;&gt;"",F651="Đã cập nhật",G651="Có",H651&lt;&gt;"",ISNUMBER(I651),J651&lt;&gt;""),"Hoàn tất","Chưa hoàn tất"))</x:f>
        <x:v>Không áp dụng có lý do</x:v>
      </x:c>
    </x:row>
    <x:row r="652" ht="135" customHeight="1">
      <x:c r="A652" s="32" t="str">
        <x:v>CHG-P0-1</x:v>
      </x:c>
      <x:c r="B652" s="32" t="str">
        <x:v>P0-1</x:v>
      </x:c>
      <x:c r="C652" s="32" t="str">
        <x:v>F01; F02; F03; F04; F05; F17</x:v>
      </x:c>
      <x:c r="D652" s="32" t="str">
        <x:v>DOC-031</x:v>
      </x:c>
      <x:c r="E652" s="32" t="str">
        <x:v>Đồng bộ gói nguồn cung và tìm theo khoảng cách</x:v>
      </x:c>
      <x:c r="F652" s="32" t="str">
        <x:v>Không áp dụng</x:v>
      </x:c>
      <x:c r="G652" s="32" t="str">
        <x:v>Có</x:v>
      </x:c>
      <x:c r="H652" s="32" t="str">
        <x:v>Codex</x:v>
      </x:c>
      <x:c r="I652" s="33" t="n">
        <x:v>46301</x:v>
      </x:c>
      <x:c r="J652" s="32" t="str">
        <x:v>Đối chiếu Anh huong và nguồn hiện hành; P0-1 không đổi nội dung của tài liệu này.</x:v>
      </x:c>
      <x:c r="K652" s="32" t="str">
        <x:v>Giữ mục tiêu BRD, kiến trúc tổng thể, thứ tự backlog đầy đủ, tài chính/realtime ngoài P0-1. Các wireframe/Figma/Penpot/prototype cũ giữ làm lịch sử minh họa, không là app/backend thật; spec hiện hành được cập nhật trong UX và technical-design. DOC-055 quảng cáo/voucher tiếp tục ngoài phase đầu. Tồn đọng khác không đổi.</x:v>
      </x:c>
      <x:c r="L652" s="32" t="str">
        <x:f>IF(F652="Không áp dụng",IF(AND(K652&lt;&gt;"",H652&lt;&gt;""),"Không áp dụng có lý do","Thiếu lý do/người kiểm"),IF(AND(B652&lt;&gt;"",D652&lt;&gt;"",F652="Đã cập nhật",G652="Có",H652&lt;&gt;"",ISNUMBER(I652),J652&lt;&gt;""),"Hoàn tất","Chưa hoàn tất"))</x:f>
        <x:v>Không áp dụng có lý do</x:v>
      </x:c>
    </x:row>
    <x:row r="653" ht="135" customHeight="1">
      <x:c r="A653" s="32" t="str">
        <x:v>CHG-P0-1</x:v>
      </x:c>
      <x:c r="B653" s="32" t="str">
        <x:v>P0-1</x:v>
      </x:c>
      <x:c r="C653" s="32" t="str">
        <x:v>F01; F02; F03; F04; F05; F17</x:v>
      </x:c>
      <x:c r="D653" s="32" t="str">
        <x:v>DOC-044</x:v>
      </x:c>
      <x:c r="E653" s="32" t="str">
        <x:v>Đồng bộ gói nguồn cung và tìm theo khoảng cách</x:v>
      </x:c>
      <x:c r="F653" s="32" t="str">
        <x:v>Không áp dụng</x:v>
      </x:c>
      <x:c r="G653" s="32" t="str">
        <x:v>Có</x:v>
      </x:c>
      <x:c r="H653" s="32" t="str">
        <x:v>Codex</x:v>
      </x:c>
      <x:c r="I653" s="33" t="n">
        <x:v>46301</x:v>
      </x:c>
      <x:c r="J653" s="32" t="str">
        <x:v>Đối chiếu Anh huong và nguồn hiện hành; P0-1 không đổi nội dung của tài liệu này.</x:v>
      </x:c>
      <x:c r="K653" s="32" t="str">
        <x:v>Giữ mục tiêu BRD, kiến trúc tổng thể, thứ tự backlog đầy đủ, tài chính/realtime ngoài P0-1. Các wireframe/Figma/Penpot/prototype cũ giữ làm lịch sử minh họa, không là app/backend thật; spec hiện hành được cập nhật trong UX và technical-design. DOC-055 quảng cáo/voucher tiếp tục ngoài phase đầu. Tồn đọng khác không đổi.</x:v>
      </x:c>
      <x:c r="L653" s="32" t="str">
        <x:f>IF(F653="Không áp dụng",IF(AND(K653&lt;&gt;"",H653&lt;&gt;""),"Không áp dụng có lý do","Thiếu lý do/người kiểm"),IF(AND(B653&lt;&gt;"",D653&lt;&gt;"",F653="Đã cập nhật",G653="Có",H653&lt;&gt;"",ISNUMBER(I653),J653&lt;&gt;""),"Hoàn tất","Chưa hoàn tất"))</x:f>
        <x:v>Không áp dụng có lý do</x:v>
      </x:c>
    </x:row>
    <x:row r="654" ht="135" customHeight="1">
      <x:c r="A654" s="32" t="str">
        <x:v>CHG-P0-1</x:v>
      </x:c>
      <x:c r="B654" s="32" t="str">
        <x:v>P0-1</x:v>
      </x:c>
      <x:c r="C654" s="32" t="str">
        <x:v>F01; F02; F03; F04; F05; F17</x:v>
      </x:c>
      <x:c r="D654" s="32" t="str">
        <x:v>DOC-048</x:v>
      </x:c>
      <x:c r="E654" s="32" t="str">
        <x:v>Đồng bộ gói nguồn cung và tìm theo khoảng cách</x:v>
      </x:c>
      <x:c r="F654" s="32" t="str">
        <x:v>Không áp dụng</x:v>
      </x:c>
      <x:c r="G654" s="32" t="str">
        <x:v>Có</x:v>
      </x:c>
      <x:c r="H654" s="32" t="str">
        <x:v>Codex</x:v>
      </x:c>
      <x:c r="I654" s="33" t="n">
        <x:v>46301</x:v>
      </x:c>
      <x:c r="J654" s="32" t="str">
        <x:v>Đối chiếu Anh huong và nguồn hiện hành; P0-1 không đổi nội dung của tài liệu này.</x:v>
      </x:c>
      <x:c r="K654" s="32" t="str">
        <x:v>Giữ mục tiêu BRD, kiến trúc tổng thể, thứ tự backlog đầy đủ, tài chính/realtime ngoài P0-1. Các wireframe/Figma/Penpot/prototype cũ giữ làm lịch sử minh họa, không là app/backend thật; spec hiện hành được cập nhật trong UX và technical-design. DOC-055 quảng cáo/voucher tiếp tục ngoài phase đầu. Tồn đọng khác không đổi.</x:v>
      </x:c>
      <x:c r="L654" s="32" t="str">
        <x:f>IF(F654="Không áp dụng",IF(AND(K654&lt;&gt;"",H654&lt;&gt;""),"Không áp dụng có lý do","Thiếu lý do/người kiểm"),IF(AND(B654&lt;&gt;"",D654&lt;&gt;"",F654="Đã cập nhật",G654="Có",H654&lt;&gt;"",ISNUMBER(I654),J654&lt;&gt;""),"Hoàn tất","Chưa hoàn tất"))</x:f>
        <x:v>Không áp dụng có lý do</x:v>
      </x:c>
    </x:row>
    <x:row r="655" ht="135" customHeight="1">
      <x:c r="A655" s="32" t="str">
        <x:v>CHG-P0-1</x:v>
      </x:c>
      <x:c r="B655" s="32" t="str">
        <x:v>P0-1</x:v>
      </x:c>
      <x:c r="C655" s="32" t="str">
        <x:v>F01; F02; F03; F04; F05; F17</x:v>
      </x:c>
      <x:c r="D655" s="32" t="str">
        <x:v>DOC-049</x:v>
      </x:c>
      <x:c r="E655" s="32" t="str">
        <x:v>Đồng bộ gói nguồn cung và tìm theo khoảng cách</x:v>
      </x:c>
      <x:c r="F655" s="32" t="str">
        <x:v>Không áp dụng</x:v>
      </x:c>
      <x:c r="G655" s="32" t="str">
        <x:v>Có</x:v>
      </x:c>
      <x:c r="H655" s="32" t="str">
        <x:v>Codex</x:v>
      </x:c>
      <x:c r="I655" s="33" t="n">
        <x:v>46301</x:v>
      </x:c>
      <x:c r="J655" s="32" t="str">
        <x:v>Đối chiếu Anh huong và nguồn hiện hành; P0-1 không đổi nội dung của tài liệu này.</x:v>
      </x:c>
      <x:c r="K655" s="32" t="str">
        <x:v>Giữ mục tiêu BRD, kiến trúc tổng thể, thứ tự backlog đầy đủ, tài chính/realtime ngoài P0-1. Các wireframe/Figma/Penpot/prototype cũ giữ làm lịch sử minh họa, không là app/backend thật; spec hiện hành được cập nhật trong UX và technical-design. DOC-055 quảng cáo/voucher tiếp tục ngoài phase đầu. Tồn đọng khác không đổi.</x:v>
      </x:c>
      <x:c r="L655" s="32" t="str">
        <x:f>IF(F655="Không áp dụng",IF(AND(K655&lt;&gt;"",H655&lt;&gt;""),"Không áp dụng có lý do","Thiếu lý do/người kiểm"),IF(AND(B655&lt;&gt;"",D655&lt;&gt;"",F655="Đã cập nhật",G655="Có",H655&lt;&gt;"",ISNUMBER(I655),J655&lt;&gt;""),"Hoàn tất","Chưa hoàn tất"))</x:f>
        <x:v>Không áp dụng có lý do</x:v>
      </x:c>
    </x:row>
    <x:row r="656" ht="135" customHeight="1">
      <x:c r="A656" s="32" t="str">
        <x:v>CHG-P0-1</x:v>
      </x:c>
      <x:c r="B656" s="32" t="str">
        <x:v>P0-1</x:v>
      </x:c>
      <x:c r="C656" s="32" t="str">
        <x:v>F01; F02; F03; F04; F05; F17</x:v>
      </x:c>
      <x:c r="D656" s="32" t="str">
        <x:v>DOC-051</x:v>
      </x:c>
      <x:c r="E656" s="32" t="str">
        <x:v>Đồng bộ gói nguồn cung và tìm theo khoảng cách</x:v>
      </x:c>
      <x:c r="F656" s="32" t="str">
        <x:v>Không áp dụng</x:v>
      </x:c>
      <x:c r="G656" s="32" t="str">
        <x:v>Có</x:v>
      </x:c>
      <x:c r="H656" s="32" t="str">
        <x:v>Codex</x:v>
      </x:c>
      <x:c r="I656" s="33" t="n">
        <x:v>46301</x:v>
      </x:c>
      <x:c r="J656" s="32" t="str">
        <x:v>Đối chiếu Anh huong và nguồn hiện hành; P0-1 không đổi nội dung của tài liệu này.</x:v>
      </x:c>
      <x:c r="K656" s="32" t="str">
        <x:v>Giữ mục tiêu BRD, kiến trúc tổng thể, thứ tự backlog đầy đủ, tài chính/realtime ngoài P0-1. Các wireframe/Figma/Penpot/prototype cũ giữ làm lịch sử minh họa, không là app/backend thật; spec hiện hành được cập nhật trong UX và technical-design. DOC-055 quảng cáo/voucher tiếp tục ngoài phase đầu. Tồn đọng khác không đổi.</x:v>
      </x:c>
      <x:c r="L656" s="32" t="str">
        <x:f>IF(F656="Không áp dụng",IF(AND(K656&lt;&gt;"",H656&lt;&gt;""),"Không áp dụng có lý do","Thiếu lý do/người kiểm"),IF(AND(B656&lt;&gt;"",D656&lt;&gt;"",F656="Đã cập nhật",G656="Có",H656&lt;&gt;"",ISNUMBER(I656),J656&lt;&gt;""),"Hoàn tất","Chưa hoàn tất"))</x:f>
        <x:v>Không áp dụng có lý do</x:v>
      </x:c>
    </x:row>
    <x:row r="657" ht="135" customHeight="1">
      <x:c r="A657" s="32" t="str">
        <x:v>CHG-P0-1</x:v>
      </x:c>
      <x:c r="B657" s="32" t="str">
        <x:v>P0-1</x:v>
      </x:c>
      <x:c r="C657" s="32" t="str">
        <x:v>F01; F02; F03; F04; F05; F17</x:v>
      </x:c>
      <x:c r="D657" s="32" t="str">
        <x:v>DOC-052</x:v>
      </x:c>
      <x:c r="E657" s="32" t="str">
        <x:v>Đồng bộ gói nguồn cung và tìm theo khoảng cách</x:v>
      </x:c>
      <x:c r="F657" s="32" t="str">
        <x:v>Không áp dụng</x:v>
      </x:c>
      <x:c r="G657" s="32" t="str">
        <x:v>Có</x:v>
      </x:c>
      <x:c r="H657" s="32" t="str">
        <x:v>Codex</x:v>
      </x:c>
      <x:c r="I657" s="33" t="n">
        <x:v>46301</x:v>
      </x:c>
      <x:c r="J657" s="32" t="str">
        <x:v>Đối chiếu Anh huong và nguồn hiện hành; P0-1 không đổi nội dung của tài liệu này.</x:v>
      </x:c>
      <x:c r="K657" s="32" t="str">
        <x:v>Giữ mục tiêu BRD, kiến trúc tổng thể, thứ tự backlog đầy đủ, tài chính/realtime ngoài P0-1. Các wireframe/Figma/Penpot/prototype cũ giữ làm lịch sử minh họa, không là app/backend thật; spec hiện hành được cập nhật trong UX và technical-design. DOC-055 quảng cáo/voucher tiếp tục ngoài phase đầu. Tồn đọng khác không đổi.</x:v>
      </x:c>
      <x:c r="L657" s="32" t="str">
        <x:f>IF(F657="Không áp dụng",IF(AND(K657&lt;&gt;"",H657&lt;&gt;""),"Không áp dụng có lý do","Thiếu lý do/người kiểm"),IF(AND(B657&lt;&gt;"",D657&lt;&gt;"",F657="Đã cập nhật",G657="Có",H657&lt;&gt;"",ISNUMBER(I657),J657&lt;&gt;""),"Hoàn tất","Chưa hoàn tất"))</x:f>
        <x:v>Không áp dụng có lý do</x:v>
      </x:c>
    </x:row>
    <x:row r="658" ht="135" customHeight="1">
      <x:c r="A658" s="32" t="str">
        <x:v>CHG-P0-1</x:v>
      </x:c>
      <x:c r="B658" s="32" t="str">
        <x:v>P0-1</x:v>
      </x:c>
      <x:c r="C658" s="32" t="str">
        <x:v>F01; F02; F03; F04; F05; F17</x:v>
      </x:c>
      <x:c r="D658" s="32" t="str">
        <x:v>DOC-053</x:v>
      </x:c>
      <x:c r="E658" s="32" t="str">
        <x:v>Đồng bộ gói nguồn cung và tìm theo khoảng cách</x:v>
      </x:c>
      <x:c r="F658" s="32" t="str">
        <x:v>Không áp dụng</x:v>
      </x:c>
      <x:c r="G658" s="32" t="str">
        <x:v>Có</x:v>
      </x:c>
      <x:c r="H658" s="32" t="str">
        <x:v>Codex</x:v>
      </x:c>
      <x:c r="I658" s="33" t="n">
        <x:v>46301</x:v>
      </x:c>
      <x:c r="J658" s="32" t="str">
        <x:v>Đối chiếu Anh huong và nguồn hiện hành; P0-1 không đổi nội dung của tài liệu này.</x:v>
      </x:c>
      <x:c r="K658" s="32" t="str">
        <x:v>Giữ mục tiêu BRD, kiến trúc tổng thể, thứ tự backlog đầy đủ, tài chính/realtime ngoài P0-1. Các wireframe/Figma/Penpot/prototype cũ giữ làm lịch sử minh họa, không là app/backend thật; spec hiện hành được cập nhật trong UX và technical-design. DOC-055 quảng cáo/voucher tiếp tục ngoài phase đầu. Tồn đọng khác không đổi.</x:v>
      </x:c>
      <x:c r="L658" s="32" t="str">
        <x:f>IF(F658="Không áp dụng",IF(AND(K658&lt;&gt;"",H658&lt;&gt;""),"Không áp dụng có lý do","Thiếu lý do/người kiểm"),IF(AND(B658&lt;&gt;"",D658&lt;&gt;"",F658="Đã cập nhật",G658="Có",H658&lt;&gt;"",ISNUMBER(I658),J658&lt;&gt;""),"Hoàn tất","Chưa hoàn tất"))</x:f>
        <x:v>Không áp dụng có lý do</x:v>
      </x:c>
    </x:row>
    <x:row r="659" ht="135" customHeight="1">
      <x:c r="A659" s="32" t="str">
        <x:v>CHG-P0-1</x:v>
      </x:c>
      <x:c r="B659" s="32" t="str">
        <x:v>P0-1</x:v>
      </x:c>
      <x:c r="C659" s="32" t="str">
        <x:v>F01; F02; F03; F04; F05; F17</x:v>
      </x:c>
      <x:c r="D659" s="32" t="str">
        <x:v>DOC-055</x:v>
      </x:c>
      <x:c r="E659" s="32" t="str">
        <x:v>Đồng bộ gói nguồn cung và tìm theo khoảng cách</x:v>
      </x:c>
      <x:c r="F659" s="32" t="str">
        <x:v>Không áp dụng</x:v>
      </x:c>
      <x:c r="G659" s="32" t="str">
        <x:v>Có</x:v>
      </x:c>
      <x:c r="H659" s="32" t="str">
        <x:v>Codex</x:v>
      </x:c>
      <x:c r="I659" s="33" t="n">
        <x:v>46301</x:v>
      </x:c>
      <x:c r="J659" s="32" t="str">
        <x:v>Đối chiếu Anh huong và nguồn hiện hành; P0-1 không đổi nội dung của tài liệu này.</x:v>
      </x:c>
      <x:c r="K659" s="32" t="str">
        <x:v>Giữ mục tiêu BRD, kiến trúc tổng thể, thứ tự backlog đầy đủ, tài chính/realtime ngoài P0-1. Các wireframe/Figma/Penpot/prototype cũ giữ làm lịch sử minh họa, không là app/backend thật; spec hiện hành được cập nhật trong UX và technical-design. DOC-055 quảng cáo/voucher tiếp tục ngoài phase đầu. Tồn đọng khác không đổi.</x:v>
      </x:c>
      <x:c r="L659" s="32" t="str">
        <x:f>IF(F659="Không áp dụng",IF(AND(K659&lt;&gt;"",H659&lt;&gt;""),"Không áp dụng có lý do","Thiếu lý do/người kiểm"),IF(AND(B659&lt;&gt;"",D659&lt;&gt;"",F659="Đã cập nhật",G659="Có",H659&lt;&gt;"",ISNUMBER(I659),J659&lt;&gt;""),"Hoàn tất","Chưa hoàn tất"))</x:f>
        <x:v>Không áp dụng có lý do</x:v>
      </x:c>
    </x:row>
    <x:row r="660" ht="135" customHeight="1">
      <x:c r="A660" s="32" t="str">
        <x:v>CHG-P0-1</x:v>
      </x:c>
      <x:c r="B660" s="32" t="str">
        <x:v>P0-1</x:v>
      </x:c>
      <x:c r="C660" s="32" t="str">
        <x:v>F01; F02; F03; F04; F05; F17</x:v>
      </x:c>
      <x:c r="D660" s="32" t="str">
        <x:v>DOC-061</x:v>
      </x:c>
      <x:c r="E660" s="32" t="str">
        <x:v>Đồng bộ gói nguồn cung và tìm theo khoảng cách</x:v>
      </x:c>
      <x:c r="F660" s="32" t="str">
        <x:v>Không áp dụng</x:v>
      </x:c>
      <x:c r="G660" s="32" t="str">
        <x:v>Có</x:v>
      </x:c>
      <x:c r="H660" s="32" t="str">
        <x:v>Codex</x:v>
      </x:c>
      <x:c r="I660" s="33" t="n">
        <x:v>46301</x:v>
      </x:c>
      <x:c r="J660" s="32" t="str">
        <x:v>Đối chiếu Anh huong và nguồn hiện hành; P0-1 không đổi nội dung của tài liệu này.</x:v>
      </x:c>
      <x:c r="K660" s="32" t="str">
        <x:v>Giữ mục tiêu BRD, kiến trúc tổng thể, thứ tự backlog đầy đủ, tài chính/realtime ngoài P0-1. Các wireframe/Figma/Penpot/prototype cũ giữ làm lịch sử minh họa, không là app/backend thật; spec hiện hành được cập nhật trong UX và technical-design. DOC-055 quảng cáo/voucher tiếp tục ngoài phase đầu. Tồn đọng khác không đổi.</x:v>
      </x:c>
      <x:c r="L660" s="32" t="str">
        <x:f>IF(F660="Không áp dụng",IF(AND(K660&lt;&gt;"",H660&lt;&gt;""),"Không áp dụng có lý do","Thiếu lý do/người kiểm"),IF(AND(B660&lt;&gt;"",D660&lt;&gt;"",F660="Đã cập nhật",G660="Có",H660&lt;&gt;"",ISNUMBER(I660),J660&lt;&gt;""),"Hoàn tất","Chưa hoàn tất"))</x:f>
        <x:v>Không áp dụng có lý do</x:v>
      </x:c>
    </x:row>
    <x:row r="661" ht="135" customHeight="1">
      <x:c r="A661" s="32" t="str">
        <x:v>CHG-P0-1</x:v>
      </x:c>
      <x:c r="B661" s="32" t="str">
        <x:v>P0-1</x:v>
      </x:c>
      <x:c r="C661" s="32" t="str">
        <x:v>F01; F02; F03; F04; F05; F17</x:v>
      </x:c>
      <x:c r="D661" s="32" t="str">
        <x:v>DOC-062</x:v>
      </x:c>
      <x:c r="E661" s="32" t="str">
        <x:v>Đồng bộ gói nguồn cung và tìm theo khoảng cách</x:v>
      </x:c>
      <x:c r="F661" s="32" t="str">
        <x:v>Không áp dụng</x:v>
      </x:c>
      <x:c r="G661" s="32" t="str">
        <x:v>Có</x:v>
      </x:c>
      <x:c r="H661" s="32" t="str">
        <x:v>Codex</x:v>
      </x:c>
      <x:c r="I661" s="33" t="n">
        <x:v>46301</x:v>
      </x:c>
      <x:c r="J661" s="32" t="str">
        <x:v>Đối chiếu Anh huong và nguồn hiện hành; P0-1 không đổi nội dung của tài liệu này.</x:v>
      </x:c>
      <x:c r="K661" s="32" t="str">
        <x:v>Giữ mục tiêu BRD, kiến trúc tổng thể, thứ tự backlog đầy đủ, tài chính/realtime ngoài P0-1. Các wireframe/Figma/Penpot/prototype cũ giữ làm lịch sử minh họa, không là app/backend thật; spec hiện hành được cập nhật trong UX và technical-design. DOC-055 quảng cáo/voucher tiếp tục ngoài phase đầu. Tồn đọng khác không đổi.</x:v>
      </x:c>
      <x:c r="L661" s="32" t="str">
        <x:f>IF(F661="Không áp dụng",IF(AND(K661&lt;&gt;"",H661&lt;&gt;""),"Không áp dụng có lý do","Thiếu lý do/người kiểm"),IF(AND(B661&lt;&gt;"",D661&lt;&gt;"",F661="Đã cập nhật",G661="Có",H661&lt;&gt;"",ISNUMBER(I661),J661&lt;&gt;""),"Hoàn tất","Chưa hoàn tất"))</x:f>
        <x:v>Không áp dụng có lý do</x:v>
      </x:c>
    </x:row>
    <x:row r="662" ht="135" customHeight="1">
      <x:c r="A662" s="32" t="str">
        <x:v>CHG-P0-1</x:v>
      </x:c>
      <x:c r="B662" s="32" t="str">
        <x:v>P0-1</x:v>
      </x:c>
      <x:c r="C662" s="32" t="str">
        <x:v>F01; F02; F03; F04; F05; F17</x:v>
      </x:c>
      <x:c r="D662" s="32" t="str">
        <x:v>PLAN-006</x:v>
      </x:c>
      <x:c r="E662" s="32" t="str">
        <x:v>Đồng bộ gói nguồn cung và tìm theo khoảng cách</x:v>
      </x:c>
      <x:c r="F662" s="32" t="str">
        <x:v>Không áp dụng</x:v>
      </x:c>
      <x:c r="G662" s="32" t="str">
        <x:v>Có</x:v>
      </x:c>
      <x:c r="H662" s="32" t="str">
        <x:v>Codex</x:v>
      </x:c>
      <x:c r="I662" s="33" t="n">
        <x:v>46301</x:v>
      </x:c>
      <x:c r="J662" s="32" t="str">
        <x:v>Đối chiếu Anh huong và nguồn hiện hành; P0-1 không đổi nội dung của tài liệu này.</x:v>
      </x:c>
      <x:c r="K662" s="32" t="str">
        <x:v>Giữ mục tiêu BRD, kiến trúc tổng thể, thứ tự backlog đầy đủ, tài chính/realtime ngoài P0-1. Các wireframe/Figma/Penpot/prototype cũ giữ làm lịch sử minh họa, không là app/backend thật; spec hiện hành được cập nhật trong UX và technical-design. DOC-055 quảng cáo/voucher tiếp tục ngoài phase đầu. Tồn đọng khác không đổi.</x:v>
      </x:c>
      <x:c r="L662" s="32" t="str">
        <x:f>IF(F662="Không áp dụng",IF(AND(K662&lt;&gt;"",H662&lt;&gt;""),"Không áp dụng có lý do","Thiếu lý do/người kiểm"),IF(AND(B662&lt;&gt;"",D662&lt;&gt;"",F662="Đã cập nhật",G662="Có",H662&lt;&gt;"",ISNUMBER(I662),J662&lt;&gt;""),"Hoàn tất","Chưa hoàn tất"))</x:f>
        <x:v>Không áp dụng có lý do</x:v>
      </x:c>
    </x:row>
    <x:row r="663" ht="135" customHeight="1">
      <x:c r="A663" s="32" t="str">
        <x:v>CHG-P0-1</x:v>
      </x:c>
      <x:c r="B663" s="32" t="str">
        <x:v>P0-1</x:v>
      </x:c>
      <x:c r="C663" s="32" t="str">
        <x:v>F01; F02; F03; F04; F05; F17</x:v>
      </x:c>
      <x:c r="D663" s="32" t="str">
        <x:v>PLAN-008</x:v>
      </x:c>
      <x:c r="E663" s="32" t="str">
        <x:v>Đồng bộ gói nguồn cung và tìm theo khoảng cách</x:v>
      </x:c>
      <x:c r="F663" s="32" t="str">
        <x:v>Không áp dụng</x:v>
      </x:c>
      <x:c r="G663" s="32" t="str">
        <x:v>Có</x:v>
      </x:c>
      <x:c r="H663" s="32" t="str">
        <x:v>Codex</x:v>
      </x:c>
      <x:c r="I663" s="33" t="n">
        <x:v>46301</x:v>
      </x:c>
      <x:c r="J663" s="32" t="str">
        <x:v>Đối chiếu Anh huong và nguồn hiện hành; P0-1 không đổi nội dung của tài liệu này.</x:v>
      </x:c>
      <x:c r="K663" s="32" t="str">
        <x:v>Giữ mục tiêu BRD, kiến trúc tổng thể, thứ tự backlog đầy đủ, tài chính/realtime ngoài P0-1. Các wireframe/Figma/Penpot/prototype cũ giữ làm lịch sử minh họa, không là app/backend thật; spec hiện hành được cập nhật trong UX và technical-design. DOC-055 quảng cáo/voucher tiếp tục ngoài phase đầu. Tồn đọng khác không đổi.</x:v>
      </x:c>
      <x:c r="L663" s="32" t="str">
        <x:f>IF(F663="Không áp dụng",IF(AND(K663&lt;&gt;"",H663&lt;&gt;""),"Không áp dụng có lý do","Thiếu lý do/người kiểm"),IF(AND(B663&lt;&gt;"",D663&lt;&gt;"",F663="Đã cập nhật",G663="Có",H663&lt;&gt;"",ISNUMBER(I663),J663&lt;&gt;""),"Hoàn tất","Chưa hoàn tất"))</x:f>
        <x:v>Không áp dụng có lý do</x:v>
      </x:c>
    </x:row>
    <x:row r="664" ht="145" customHeight="1">
      <x:c r="A664" s="32" t="str">
        <x:v>CHG-MAP-01</x:v>
      </x:c>
      <x:c r="B664" s="32" t="str">
        <x:v>MAP-01</x:v>
      </x:c>
      <x:c r="C664" s="32" t="str">
        <x:v>F01; F03; F04; F05; F20</x:v>
      </x:c>
      <x:c r="D664" s="32" t="str">
        <x:v>DOC-002</x:v>
      </x:c>
      <x:c r="E664" s="32" t="str">
        <x:v>Chọn địa điểm bằng địa chỉ và bản đồ</x:v>
      </x:c>
      <x:c r="F664" s="32" t="str">
        <x:v>Đã cập nhật</x:v>
      </x:c>
      <x:c r="G664" s="32" t="str">
        <x:v>Có</x:v>
      </x:c>
      <x:c r="H664" s="32" t="str">
        <x:v>Codex</x:v>
      </x:c>
      <x:c r="I664" s="33" t="n">
        <x:v>46302</x:v>
      </x:c>
      <x:c r="J664" s="32" t="str">
        <x:v>API v0.1.7 / MAP-01; local và mirror/ZIP hiện hành đã đối chiếu. Drive cùng ID: Docs/FR đọc lại; raw text có MAP-01; OpenAPI và 2 ZIP tải lại khớp byte. Codex 07/10/2026.</x:v>
      </x:c>
      <x:c r="K664" s="32" t="str"/>
      <x:c r="L664" s="32" t="str">
        <x:v>Hoàn tất</x:v>
      </x:c>
    </x:row>
    <x:row r="665" ht="145" customHeight="1">
      <x:c r="A665" s="32" t="str">
        <x:v>CHG-MAP-01</x:v>
      </x:c>
      <x:c r="B665" s="32" t="str">
        <x:v>MAP-01</x:v>
      </x:c>
      <x:c r="C665" s="32" t="str">
        <x:v>F01; F03; F04; F05; F20</x:v>
      </x:c>
      <x:c r="D665" s="32" t="str">
        <x:v>DOC-003</x:v>
      </x:c>
      <x:c r="E665" s="32" t="str">
        <x:v>Chọn địa điểm bằng địa chỉ và bản đồ</x:v>
      </x:c>
      <x:c r="F665" s="32" t="str">
        <x:v>Không áp dụng</x:v>
      </x:c>
      <x:c r="G665" s="32" t="str">
        <x:v>Có</x:v>
      </x:c>
      <x:c r="H665" s="32" t="str">
        <x:v>Codex</x:v>
      </x:c>
      <x:c r="I665" s="33" t="n">
        <x:v>46302</x:v>
      </x:c>
      <x:c r="J665" s="32" t="str">
        <x:v>Đối chiếu Anh huong và cross-search với MAP-01; xem lý do không áp dụng.</x:v>
      </x:c>
      <x:c r="K665" s="32" t="str">
        <x:v>Không đổi mục tiêu BRD, DB/ERD, quyền/trạng thái lưu, realtime/tài chính, ranking và backlog còn lại. Wireframe/prototype cũ giữ lịch sử; UX/API hiện hành đã bổ sung MAP-01. Không mở PROMO-02 hoặc OTP.</x:v>
      </x:c>
      <x:c r="L665" s="32" t="str">
        <x:v>Không áp dụng có lý do</x:v>
      </x:c>
    </x:row>
    <x:row r="666" ht="145" customHeight="1">
      <x:c r="A666" s="32" t="str">
        <x:v>CHG-MAP-01</x:v>
      </x:c>
      <x:c r="B666" s="32" t="str">
        <x:v>MAP-01</x:v>
      </x:c>
      <x:c r="C666" s="32" t="str">
        <x:v>F01; F03; F04; F05; F20</x:v>
      </x:c>
      <x:c r="D666" s="32" t="str">
        <x:v>DOC-004</x:v>
      </x:c>
      <x:c r="E666" s="32" t="str">
        <x:v>Chọn địa điểm bằng địa chỉ và bản đồ</x:v>
      </x:c>
      <x:c r="F666" s="32" t="str">
        <x:v>Đã cập nhật</x:v>
      </x:c>
      <x:c r="G666" s="32" t="str">
        <x:v>Có</x:v>
      </x:c>
      <x:c r="H666" s="32" t="str">
        <x:v>Codex</x:v>
      </x:c>
      <x:c r="I666" s="33" t="n">
        <x:v>46302</x:v>
      </x:c>
      <x:c r="J666" s="32" t="str">
        <x:v>API v0.1.7 / MAP-01; local và mirror/ZIP hiện hành đã đối chiếu. Drive cùng ID: Docs/FR đọc lại; raw text có MAP-01; OpenAPI và 2 ZIP tải lại khớp byte. Codex 07/10/2026.</x:v>
      </x:c>
      <x:c r="K666" s="32" t="str"/>
      <x:c r="L666" s="32" t="str">
        <x:v>Hoàn tất</x:v>
      </x:c>
    </x:row>
    <x:row r="667" ht="145" customHeight="1">
      <x:c r="A667" s="32" t="str">
        <x:v>CHG-MAP-01</x:v>
      </x:c>
      <x:c r="B667" s="32" t="str">
        <x:v>MAP-01</x:v>
      </x:c>
      <x:c r="C667" s="32" t="str">
        <x:v>F01; F03; F04; F05; F20</x:v>
      </x:c>
      <x:c r="D667" s="32" t="str">
        <x:v>DOC-005</x:v>
      </x:c>
      <x:c r="E667" s="32" t="str">
        <x:v>Chọn địa điểm bằng địa chỉ và bản đồ</x:v>
      </x:c>
      <x:c r="F667" s="32" t="str">
        <x:v>Đã cập nhật</x:v>
      </x:c>
      <x:c r="G667" s="32" t="str">
        <x:v>Có</x:v>
      </x:c>
      <x:c r="H667" s="32" t="str">
        <x:v>Codex</x:v>
      </x:c>
      <x:c r="I667" s="33" t="n">
        <x:v>46302</x:v>
      </x:c>
      <x:c r="J667" s="32" t="str">
        <x:v>API v0.1.7 / MAP-01; local và mirror/ZIP hiện hành đã đối chiếu. Drive cùng ID: Docs/FR đọc lại; raw text có MAP-01; OpenAPI và 2 ZIP tải lại khớp byte. Codex 07/10/2026.</x:v>
      </x:c>
      <x:c r="K667" s="32" t="str"/>
      <x:c r="L667" s="32" t="str">
        <x:v>Hoàn tất</x:v>
      </x:c>
    </x:row>
    <x:row r="668" ht="145" customHeight="1">
      <x:c r="A668" s="32" t="str">
        <x:v>CHG-MAP-01</x:v>
      </x:c>
      <x:c r="B668" s="32" t="str">
        <x:v>MAP-01</x:v>
      </x:c>
      <x:c r="C668" s="32" t="str">
        <x:v>F01; F03; F04; F05; F20</x:v>
      </x:c>
      <x:c r="D668" s="32" t="str">
        <x:v>DOC-006</x:v>
      </x:c>
      <x:c r="E668" s="32" t="str">
        <x:v>Chọn địa điểm bằng địa chỉ và bản đồ</x:v>
      </x:c>
      <x:c r="F668" s="32" t="str">
        <x:v>Đã cập nhật</x:v>
      </x:c>
      <x:c r="G668" s="32" t="str">
        <x:v>Có</x:v>
      </x:c>
      <x:c r="H668" s="32" t="str">
        <x:v>Codex</x:v>
      </x:c>
      <x:c r="I668" s="33" t="n">
        <x:v>46302</x:v>
      </x:c>
      <x:c r="J668" s="32" t="str">
        <x:v>API v0.1.7 / MAP-01; local và mirror/ZIP hiện hành đã đối chiếu. Drive cùng ID: Docs/FR đọc lại; raw text có MAP-01; OpenAPI và 2 ZIP tải lại khớp byte. Codex 07/10/2026.</x:v>
      </x:c>
      <x:c r="K668" s="32" t="str"/>
      <x:c r="L668" s="32" t="str">
        <x:v>Hoàn tất</x:v>
      </x:c>
    </x:row>
    <x:row r="669" ht="145" customHeight="1">
      <x:c r="A669" s="32" t="str">
        <x:v>CHG-MAP-01</x:v>
      </x:c>
      <x:c r="B669" s="32" t="str">
        <x:v>MAP-01</x:v>
      </x:c>
      <x:c r="C669" s="32" t="str">
        <x:v>F01; F03; F04; F05; F20</x:v>
      </x:c>
      <x:c r="D669" s="32" t="str">
        <x:v>DOC-007</x:v>
      </x:c>
      <x:c r="E669" s="32" t="str">
        <x:v>Chọn địa điểm bằng địa chỉ và bản đồ</x:v>
      </x:c>
      <x:c r="F669" s="32" t="str">
        <x:v>Đã cập nhật</x:v>
      </x:c>
      <x:c r="G669" s="32" t="str">
        <x:v>Có</x:v>
      </x:c>
      <x:c r="H669" s="32" t="str">
        <x:v>Codex</x:v>
      </x:c>
      <x:c r="I669" s="33" t="n">
        <x:v>46302</x:v>
      </x:c>
      <x:c r="J669" s="32" t="str">
        <x:v>API v0.1.7 / MAP-01; local và mirror/ZIP hiện hành đã đối chiếu. Drive cùng ID: Docs/FR đọc lại; raw text có MAP-01; OpenAPI và 2 ZIP tải lại khớp byte. Codex 07/10/2026.</x:v>
      </x:c>
      <x:c r="K669" s="32" t="str"/>
      <x:c r="L669" s="32" t="str">
        <x:v>Hoàn tất</x:v>
      </x:c>
    </x:row>
    <x:row r="670" ht="145" customHeight="1">
      <x:c r="A670" s="32" t="str">
        <x:v>CHG-MAP-01</x:v>
      </x:c>
      <x:c r="B670" s="32" t="str">
        <x:v>MAP-01</x:v>
      </x:c>
      <x:c r="C670" s="32" t="str">
        <x:v>F01; F03; F04; F05; F20</x:v>
      </x:c>
      <x:c r="D670" s="32" t="str">
        <x:v>DOC-008</x:v>
      </x:c>
      <x:c r="E670" s="32" t="str">
        <x:v>Chọn địa điểm bằng địa chỉ và bản đồ</x:v>
      </x:c>
      <x:c r="F670" s="32" t="str">
        <x:v>Không áp dụng</x:v>
      </x:c>
      <x:c r="G670" s="32" t="str">
        <x:v>Có</x:v>
      </x:c>
      <x:c r="H670" s="32" t="str">
        <x:v>Codex</x:v>
      </x:c>
      <x:c r="I670" s="33" t="n">
        <x:v>46302</x:v>
      </x:c>
      <x:c r="J670" s="32" t="str">
        <x:v>Đối chiếu Anh huong và cross-search với MAP-01; xem lý do không áp dụng.</x:v>
      </x:c>
      <x:c r="K670" s="32" t="str">
        <x:v>Không đổi mục tiêu BRD, DB/ERD, quyền/trạng thái lưu, realtime/tài chính, ranking và backlog còn lại. Wireframe/prototype cũ giữ lịch sử; UX/API hiện hành đã bổ sung MAP-01. Không mở PROMO-02 hoặc OTP.</x:v>
      </x:c>
      <x:c r="L670" s="32" t="str">
        <x:v>Không áp dụng có lý do</x:v>
      </x:c>
    </x:row>
    <x:row r="671" ht="145" customHeight="1">
      <x:c r="A671" s="32" t="str">
        <x:v>CHG-MAP-01</x:v>
      </x:c>
      <x:c r="B671" s="32" t="str">
        <x:v>MAP-01</x:v>
      </x:c>
      <x:c r="C671" s="32" t="str">
        <x:v>F01; F03; F04; F05; F20</x:v>
      </x:c>
      <x:c r="D671" s="32" t="str">
        <x:v>DOC-012</x:v>
      </x:c>
      <x:c r="E671" s="32" t="str">
        <x:v>Chọn địa điểm bằng địa chỉ và bản đồ</x:v>
      </x:c>
      <x:c r="F671" s="32" t="str">
        <x:v>Đã cập nhật</x:v>
      </x:c>
      <x:c r="G671" s="32" t="str">
        <x:v>Có</x:v>
      </x:c>
      <x:c r="H671" s="32" t="str">
        <x:v>Codex</x:v>
      </x:c>
      <x:c r="I671" s="33" t="n">
        <x:v>46302</x:v>
      </x:c>
      <x:c r="J671" s="32" t="str">
        <x:v>API v0.1.7 / MAP-01; local và mirror/ZIP hiện hành đã đối chiếu. Drive cùng ID: Docs/FR đọc lại; raw text có MAP-01; OpenAPI và 2 ZIP tải lại khớp byte. Codex 07/10/2026.</x:v>
      </x:c>
      <x:c r="K671" s="32" t="str"/>
      <x:c r="L671" s="32" t="str">
        <x:v>Hoàn tất</x:v>
      </x:c>
    </x:row>
    <x:row r="672" ht="145" customHeight="1">
      <x:c r="A672" s="32" t="str">
        <x:v>CHG-MAP-01</x:v>
      </x:c>
      <x:c r="B672" s="32" t="str">
        <x:v>MAP-01</x:v>
      </x:c>
      <x:c r="C672" s="32" t="str">
        <x:v>F01; F03; F04; F05; F20</x:v>
      </x:c>
      <x:c r="D672" s="32" t="str">
        <x:v>DOC-013</x:v>
      </x:c>
      <x:c r="E672" s="32" t="str">
        <x:v>Chọn địa điểm bằng địa chỉ và bản đồ</x:v>
      </x:c>
      <x:c r="F672" s="32" t="str">
        <x:v>Đã cập nhật</x:v>
      </x:c>
      <x:c r="G672" s="32" t="str">
        <x:v>Có</x:v>
      </x:c>
      <x:c r="H672" s="32" t="str">
        <x:v>Codex</x:v>
      </x:c>
      <x:c r="I672" s="33" t="n">
        <x:v>46302</x:v>
      </x:c>
      <x:c r="J672" s="32" t="str">
        <x:v>API v0.1.7 / MAP-01; local và mirror/ZIP hiện hành đã đối chiếu. Drive cùng ID: Docs/FR đọc lại; raw text có MAP-01; OpenAPI và 2 ZIP tải lại khớp byte. Codex 07/10/2026.</x:v>
      </x:c>
      <x:c r="K672" s="32" t="str"/>
      <x:c r="L672" s="32" t="str">
        <x:v>Hoàn tất</x:v>
      </x:c>
    </x:row>
    <x:row r="673" ht="145" customHeight="1">
      <x:c r="A673" s="32" t="str">
        <x:v>CHG-MAP-01</x:v>
      </x:c>
      <x:c r="B673" s="32" t="str">
        <x:v>MAP-01</x:v>
      </x:c>
      <x:c r="C673" s="32" t="str">
        <x:v>F01; F03; F04; F05; F20</x:v>
      </x:c>
      <x:c r="D673" s="32" t="str">
        <x:v>DOC-014</x:v>
      </x:c>
      <x:c r="E673" s="32" t="str">
        <x:v>Chọn địa điểm bằng địa chỉ và bản đồ</x:v>
      </x:c>
      <x:c r="F673" s="32" t="str">
        <x:v>Đã cập nhật</x:v>
      </x:c>
      <x:c r="G673" s="32" t="str">
        <x:v>Có</x:v>
      </x:c>
      <x:c r="H673" s="32" t="str">
        <x:v>Codex</x:v>
      </x:c>
      <x:c r="I673" s="33" t="n">
        <x:v>46302</x:v>
      </x:c>
      <x:c r="J673" s="32" t="str">
        <x:v>API v0.1.7 / MAP-01; local và mirror/ZIP hiện hành đã đối chiếu. Drive cùng ID: Docs/FR đọc lại; raw text có MAP-01; OpenAPI và 2 ZIP tải lại khớp byte. Codex 07/10/2026.</x:v>
      </x:c>
      <x:c r="K673" s="32" t="str"/>
      <x:c r="L673" s="32" t="str">
        <x:v>Hoàn tất</x:v>
      </x:c>
    </x:row>
    <x:row r="674" ht="145" customHeight="1">
      <x:c r="A674" s="32" t="str">
        <x:v>CHG-MAP-01</x:v>
      </x:c>
      <x:c r="B674" s="32" t="str">
        <x:v>MAP-01</x:v>
      </x:c>
      <x:c r="C674" s="32" t="str">
        <x:v>F01; F03; F04; F05; F20</x:v>
      </x:c>
      <x:c r="D674" s="32" t="str">
        <x:v>DOC-015</x:v>
      </x:c>
      <x:c r="E674" s="32" t="str">
        <x:v>Chọn địa điểm bằng địa chỉ và bản đồ</x:v>
      </x:c>
      <x:c r="F674" s="32" t="str">
        <x:v>Đã cập nhật</x:v>
      </x:c>
      <x:c r="G674" s="32" t="str">
        <x:v>Có</x:v>
      </x:c>
      <x:c r="H674" s="32" t="str">
        <x:v>Codex</x:v>
      </x:c>
      <x:c r="I674" s="33" t="n">
        <x:v>46302</x:v>
      </x:c>
      <x:c r="J674" s="32" t="str">
        <x:v>API v0.1.7 / MAP-01; local và mirror/ZIP hiện hành đã đối chiếu. Drive cùng ID: Docs/FR đọc lại; raw text có MAP-01; OpenAPI và 2 ZIP tải lại khớp byte. Codex 07/10/2026.</x:v>
      </x:c>
      <x:c r="K674" s="32" t="str"/>
      <x:c r="L674" s="32" t="str">
        <x:v>Hoàn tất</x:v>
      </x:c>
    </x:row>
    <x:row r="675" ht="145" customHeight="1">
      <x:c r="A675" s="32" t="str">
        <x:v>CHG-MAP-01</x:v>
      </x:c>
      <x:c r="B675" s="32" t="str">
        <x:v>MAP-01</x:v>
      </x:c>
      <x:c r="C675" s="32" t="str">
        <x:v>F01; F03; F04; F05; F20</x:v>
      </x:c>
      <x:c r="D675" s="32" t="str">
        <x:v>DOC-016</x:v>
      </x:c>
      <x:c r="E675" s="32" t="str">
        <x:v>Chọn địa điểm bằng địa chỉ và bản đồ</x:v>
      </x:c>
      <x:c r="F675" s="32" t="str">
        <x:v>Đã cập nhật</x:v>
      </x:c>
      <x:c r="G675" s="32" t="str">
        <x:v>Có</x:v>
      </x:c>
      <x:c r="H675" s="32" t="str">
        <x:v>Codex</x:v>
      </x:c>
      <x:c r="I675" s="33" t="n">
        <x:v>46302</x:v>
      </x:c>
      <x:c r="J675" s="32" t="str">
        <x:v>API v0.1.7 / MAP-01; local và mirror/ZIP hiện hành đã đối chiếu. Drive cùng ID: Docs/FR đọc lại; raw text có MAP-01; OpenAPI và 2 ZIP tải lại khớp byte. Codex 07/10/2026.</x:v>
      </x:c>
      <x:c r="K675" s="32" t="str"/>
      <x:c r="L675" s="32" t="str">
        <x:v>Hoàn tất</x:v>
      </x:c>
    </x:row>
    <x:row r="676" ht="145" customHeight="1">
      <x:c r="A676" s="32" t="str">
        <x:v>CHG-MAP-01</x:v>
      </x:c>
      <x:c r="B676" s="32" t="str">
        <x:v>MAP-01</x:v>
      </x:c>
      <x:c r="C676" s="32" t="str">
        <x:v>F01; F03; F04; F05; F20</x:v>
      </x:c>
      <x:c r="D676" s="32" t="str">
        <x:v>DOC-017</x:v>
      </x:c>
      <x:c r="E676" s="32" t="str">
        <x:v>Chọn địa điểm bằng địa chỉ và bản đồ</x:v>
      </x:c>
      <x:c r="F676" s="32" t="str">
        <x:v>Đã cập nhật</x:v>
      </x:c>
      <x:c r="G676" s="32" t="str">
        <x:v>Có</x:v>
      </x:c>
      <x:c r="H676" s="32" t="str">
        <x:v>Codex</x:v>
      </x:c>
      <x:c r="I676" s="33" t="n">
        <x:v>46302</x:v>
      </x:c>
      <x:c r="J676" s="32" t="str">
        <x:v>API v0.1.7 / MAP-01; local và mirror/ZIP hiện hành đã đối chiếu. Drive cùng ID: Docs/FR đọc lại; raw text có MAP-01; OpenAPI và 2 ZIP tải lại khớp byte. Codex 07/10/2026.</x:v>
      </x:c>
      <x:c r="K676" s="32" t="str"/>
      <x:c r="L676" s="32" t="str">
        <x:v>Hoàn tất</x:v>
      </x:c>
    </x:row>
    <x:row r="677" ht="145" customHeight="1">
      <x:c r="A677" s="32" t="str">
        <x:v>CHG-MAP-01</x:v>
      </x:c>
      <x:c r="B677" s="32" t="str">
        <x:v>MAP-01</x:v>
      </x:c>
      <x:c r="C677" s="32" t="str">
        <x:v>F01; F03; F04; F05; F20</x:v>
      </x:c>
      <x:c r="D677" s="32" t="str">
        <x:v>DOC-018</x:v>
      </x:c>
      <x:c r="E677" s="32" t="str">
        <x:v>Chọn địa điểm bằng địa chỉ và bản đồ</x:v>
      </x:c>
      <x:c r="F677" s="32" t="str">
        <x:v>Đã cập nhật</x:v>
      </x:c>
      <x:c r="G677" s="32" t="str">
        <x:v>Có</x:v>
      </x:c>
      <x:c r="H677" s="32" t="str">
        <x:v>Codex</x:v>
      </x:c>
      <x:c r="I677" s="33" t="n">
        <x:v>46302</x:v>
      </x:c>
      <x:c r="J677" s="32" t="str">
        <x:v>API v0.1.7 / MAP-01; local và mirror/ZIP hiện hành đã đối chiếu. Drive cùng ID: Docs/FR đọc lại; raw text có MAP-01; OpenAPI và 2 ZIP tải lại khớp byte. Codex 07/10/2026.</x:v>
      </x:c>
      <x:c r="K677" s="32" t="str"/>
      <x:c r="L677" s="32" t="str">
        <x:v>Hoàn tất</x:v>
      </x:c>
    </x:row>
    <x:row r="678" ht="145" customHeight="1">
      <x:c r="A678" s="32" t="str">
        <x:v>CHG-MAP-01</x:v>
      </x:c>
      <x:c r="B678" s="32" t="str">
        <x:v>MAP-01</x:v>
      </x:c>
      <x:c r="C678" s="32" t="str">
        <x:v>F01; F03; F04; F05; F20</x:v>
      </x:c>
      <x:c r="D678" s="32" t="str">
        <x:v>DOC-025</x:v>
      </x:c>
      <x:c r="E678" s="32" t="str">
        <x:v>Chọn địa điểm bằng địa chỉ và bản đồ</x:v>
      </x:c>
      <x:c r="F678" s="32" t="str">
        <x:v>Không áp dụng</x:v>
      </x:c>
      <x:c r="G678" s="32" t="str">
        <x:v>Có</x:v>
      </x:c>
      <x:c r="H678" s="32" t="str">
        <x:v>Codex</x:v>
      </x:c>
      <x:c r="I678" s="33" t="n">
        <x:v>46302</x:v>
      </x:c>
      <x:c r="J678" s="32" t="str">
        <x:v>Đối chiếu Anh huong và cross-search với MAP-01; xem lý do không áp dụng.</x:v>
      </x:c>
      <x:c r="K678" s="32" t="str">
        <x:v>Không đổi mục tiêu BRD, DB/ERD, quyền/trạng thái lưu, realtime/tài chính, ranking và backlog còn lại. Wireframe/prototype cũ giữ lịch sử; UX/API hiện hành đã bổ sung MAP-01. Không mở PROMO-02 hoặc OTP.</x:v>
      </x:c>
      <x:c r="L678" s="32" t="str">
        <x:v>Không áp dụng có lý do</x:v>
      </x:c>
    </x:row>
    <x:row r="679" ht="145" customHeight="1">
      <x:c r="A679" s="32" t="str">
        <x:v>CHG-MAP-01</x:v>
      </x:c>
      <x:c r="B679" s="32" t="str">
        <x:v>MAP-01</x:v>
      </x:c>
      <x:c r="C679" s="32" t="str">
        <x:v>F01; F03; F04; F05; F20</x:v>
      </x:c>
      <x:c r="D679" s="32" t="str">
        <x:v>DOC-026</x:v>
      </x:c>
      <x:c r="E679" s="32" t="str">
        <x:v>Chọn địa điểm bằng địa chỉ và bản đồ</x:v>
      </x:c>
      <x:c r="F679" s="32" t="str">
        <x:v>Không áp dụng</x:v>
      </x:c>
      <x:c r="G679" s="32" t="str">
        <x:v>Có</x:v>
      </x:c>
      <x:c r="H679" s="32" t="str">
        <x:v>Codex</x:v>
      </x:c>
      <x:c r="I679" s="33" t="n">
        <x:v>46302</x:v>
      </x:c>
      <x:c r="J679" s="32" t="str">
        <x:v>Đối chiếu Anh huong và cross-search với MAP-01; xem lý do không áp dụng.</x:v>
      </x:c>
      <x:c r="K679" s="32" t="str">
        <x:v>Không đổi mục tiêu BRD, DB/ERD, quyền/trạng thái lưu, realtime/tài chính, ranking và backlog còn lại. Wireframe/prototype cũ giữ lịch sử; UX/API hiện hành đã bổ sung MAP-01. Không mở PROMO-02 hoặc OTP.</x:v>
      </x:c>
      <x:c r="L679" s="32" t="str">
        <x:v>Không áp dụng có lý do</x:v>
      </x:c>
    </x:row>
    <x:row r="680" ht="145" customHeight="1">
      <x:c r="A680" s="32" t="str">
        <x:v>CHG-MAP-01</x:v>
      </x:c>
      <x:c r="B680" s="32" t="str">
        <x:v>MAP-01</x:v>
      </x:c>
      <x:c r="C680" s="32" t="str">
        <x:v>F01; F03; F04; F05; F20</x:v>
      </x:c>
      <x:c r="D680" s="32" t="str">
        <x:v>DOC-027</x:v>
      </x:c>
      <x:c r="E680" s="32" t="str">
        <x:v>Chọn địa điểm bằng địa chỉ và bản đồ</x:v>
      </x:c>
      <x:c r="F680" s="32" t="str">
        <x:v>Không áp dụng</x:v>
      </x:c>
      <x:c r="G680" s="32" t="str">
        <x:v>Có</x:v>
      </x:c>
      <x:c r="H680" s="32" t="str">
        <x:v>Codex</x:v>
      </x:c>
      <x:c r="I680" s="33" t="n">
        <x:v>46302</x:v>
      </x:c>
      <x:c r="J680" s="32" t="str">
        <x:v>Đối chiếu Anh huong và cross-search với MAP-01; xem lý do không áp dụng.</x:v>
      </x:c>
      <x:c r="K680" s="32" t="str">
        <x:v>Không đổi mục tiêu BRD, DB/ERD, quyền/trạng thái lưu, realtime/tài chính, ranking và backlog còn lại. Wireframe/prototype cũ giữ lịch sử; UX/API hiện hành đã bổ sung MAP-01. Không mở PROMO-02 hoặc OTP.</x:v>
      </x:c>
      <x:c r="L680" s="32" t="str">
        <x:v>Không áp dụng có lý do</x:v>
      </x:c>
    </x:row>
    <x:row r="681" ht="145" customHeight="1">
      <x:c r="A681" s="32" t="str">
        <x:v>CHG-MAP-01</x:v>
      </x:c>
      <x:c r="B681" s="32" t="str">
        <x:v>MAP-01</x:v>
      </x:c>
      <x:c r="C681" s="32" t="str">
        <x:v>F01; F03; F04; F05; F20</x:v>
      </x:c>
      <x:c r="D681" s="32" t="str">
        <x:v>DOC-028</x:v>
      </x:c>
      <x:c r="E681" s="32" t="str">
        <x:v>Chọn địa điểm bằng địa chỉ và bản đồ</x:v>
      </x:c>
      <x:c r="F681" s="32" t="str">
        <x:v>Không áp dụng</x:v>
      </x:c>
      <x:c r="G681" s="32" t="str">
        <x:v>Có</x:v>
      </x:c>
      <x:c r="H681" s="32" t="str">
        <x:v>Codex</x:v>
      </x:c>
      <x:c r="I681" s="33" t="n">
        <x:v>46302</x:v>
      </x:c>
      <x:c r="J681" s="32" t="str">
        <x:v>Đối chiếu Anh huong và cross-search với MAP-01; xem lý do không áp dụng.</x:v>
      </x:c>
      <x:c r="K681" s="32" t="str">
        <x:v>Không đổi mục tiêu BRD, DB/ERD, quyền/trạng thái lưu, realtime/tài chính, ranking và backlog còn lại. Wireframe/prototype cũ giữ lịch sử; UX/API hiện hành đã bổ sung MAP-01. Không mở PROMO-02 hoặc OTP.</x:v>
      </x:c>
      <x:c r="L681" s="32" t="str">
        <x:v>Không áp dụng có lý do</x:v>
      </x:c>
    </x:row>
    <x:row r="682" ht="145" customHeight="1">
      <x:c r="A682" s="32" t="str">
        <x:v>CHG-MAP-01</x:v>
      </x:c>
      <x:c r="B682" s="32" t="str">
        <x:v>MAP-01</x:v>
      </x:c>
      <x:c r="C682" s="32" t="str">
        <x:v>F01; F03; F04; F05; F20</x:v>
      </x:c>
      <x:c r="D682" s="32" t="str">
        <x:v>DOC-029</x:v>
      </x:c>
      <x:c r="E682" s="32" t="str">
        <x:v>Chọn địa điểm bằng địa chỉ và bản đồ</x:v>
      </x:c>
      <x:c r="F682" s="32" t="str">
        <x:v>Không áp dụng</x:v>
      </x:c>
      <x:c r="G682" s="32" t="str">
        <x:v>Có</x:v>
      </x:c>
      <x:c r="H682" s="32" t="str">
        <x:v>Codex</x:v>
      </x:c>
      <x:c r="I682" s="33" t="n">
        <x:v>46302</x:v>
      </x:c>
      <x:c r="J682" s="32" t="str">
        <x:v>Đối chiếu Anh huong và cross-search với MAP-01; xem lý do không áp dụng.</x:v>
      </x:c>
      <x:c r="K682" s="32" t="str">
        <x:v>Không đổi mục tiêu BRD, DB/ERD, quyền/trạng thái lưu, realtime/tài chính, ranking và backlog còn lại. Wireframe/prototype cũ giữ lịch sử; UX/API hiện hành đã bổ sung MAP-01. Không mở PROMO-02 hoặc OTP.</x:v>
      </x:c>
      <x:c r="L682" s="32" t="str">
        <x:v>Không áp dụng có lý do</x:v>
      </x:c>
    </x:row>
    <x:row r="683" ht="145" customHeight="1">
      <x:c r="A683" s="32" t="str">
        <x:v>CHG-MAP-01</x:v>
      </x:c>
      <x:c r="B683" s="32" t="str">
        <x:v>MAP-01</x:v>
      </x:c>
      <x:c r="C683" s="32" t="str">
        <x:v>F01; F03; F04; F05; F20</x:v>
      </x:c>
      <x:c r="D683" s="32" t="str">
        <x:v>DOC-030</x:v>
      </x:c>
      <x:c r="E683" s="32" t="str">
        <x:v>Chọn địa điểm bằng địa chỉ và bản đồ</x:v>
      </x:c>
      <x:c r="F683" s="32" t="str">
        <x:v>Đã cập nhật</x:v>
      </x:c>
      <x:c r="G683" s="32" t="str">
        <x:v>Có</x:v>
      </x:c>
      <x:c r="H683" s="32" t="str">
        <x:v>Codex</x:v>
      </x:c>
      <x:c r="I683" s="33" t="n">
        <x:v>46302</x:v>
      </x:c>
      <x:c r="J683" s="32" t="str">
        <x:v>API v0.1.7 / MAP-01; local và mirror/ZIP hiện hành đã đối chiếu. Drive cùng ID: Docs/FR đọc lại; raw text có MAP-01; OpenAPI và 2 ZIP tải lại khớp byte. Codex 07/10/2026.</x:v>
      </x:c>
      <x:c r="K683" s="32" t="str"/>
      <x:c r="L683" s="32" t="str">
        <x:v>Hoàn tất</x:v>
      </x:c>
    </x:row>
    <x:row r="684" ht="145" customHeight="1">
      <x:c r="A684" s="32" t="str">
        <x:v>CHG-MAP-01</x:v>
      </x:c>
      <x:c r="B684" s="32" t="str">
        <x:v>MAP-01</x:v>
      </x:c>
      <x:c r="C684" s="32" t="str">
        <x:v>F01; F03; F04; F05; F20</x:v>
      </x:c>
      <x:c r="D684" s="32" t="str">
        <x:v>DOC-031</x:v>
      </x:c>
      <x:c r="E684" s="32" t="str">
        <x:v>Chọn địa điểm bằng địa chỉ và bản đồ</x:v>
      </x:c>
      <x:c r="F684" s="32" t="str">
        <x:v>Đã cập nhật</x:v>
      </x:c>
      <x:c r="G684" s="32" t="str">
        <x:v>Có</x:v>
      </x:c>
      <x:c r="H684" s="32" t="str">
        <x:v>Codex</x:v>
      </x:c>
      <x:c r="I684" s="33" t="n">
        <x:v>46302</x:v>
      </x:c>
      <x:c r="J684" s="32" t="str">
        <x:v>API v0.1.7 / MAP-01; local và mirror/ZIP hiện hành đã đối chiếu. Drive cùng ID: Docs/FR đọc lại; raw text có MAP-01; OpenAPI và 2 ZIP tải lại khớp byte. Codex 07/10/2026.</x:v>
      </x:c>
      <x:c r="K684" s="32" t="str"/>
      <x:c r="L684" s="32" t="str">
        <x:v>Hoàn tất</x:v>
      </x:c>
    </x:row>
    <x:row r="685" ht="145" customHeight="1">
      <x:c r="A685" s="32" t="str">
        <x:v>CHG-MAP-01</x:v>
      </x:c>
      <x:c r="B685" s="32" t="str">
        <x:v>MAP-01</x:v>
      </x:c>
      <x:c r="C685" s="32" t="str">
        <x:v>F01; F03; F04; F05; F20</x:v>
      </x:c>
      <x:c r="D685" s="32" t="str">
        <x:v>DOC-033</x:v>
      </x:c>
      <x:c r="E685" s="32" t="str">
        <x:v>Chọn địa điểm bằng địa chỉ và bản đồ</x:v>
      </x:c>
      <x:c r="F685" s="32" t="str">
        <x:v>Không áp dụng</x:v>
      </x:c>
      <x:c r="G685" s="32" t="str">
        <x:v>Có</x:v>
      </x:c>
      <x:c r="H685" s="32" t="str">
        <x:v>Codex</x:v>
      </x:c>
      <x:c r="I685" s="33" t="n">
        <x:v>46302</x:v>
      </x:c>
      <x:c r="J685" s="32" t="str">
        <x:v>Đối chiếu Anh huong và cross-search với MAP-01; xem lý do không áp dụng.</x:v>
      </x:c>
      <x:c r="K685" s="32" t="str">
        <x:v>Không đổi mục tiêu BRD, DB/ERD, quyền/trạng thái lưu, realtime/tài chính, ranking và backlog còn lại. Wireframe/prototype cũ giữ lịch sử; UX/API hiện hành đã bổ sung MAP-01. Không mở PROMO-02 hoặc OTP.</x:v>
      </x:c>
      <x:c r="L685" s="32" t="str">
        <x:v>Không áp dụng có lý do</x:v>
      </x:c>
    </x:row>
    <x:row r="686" ht="145" customHeight="1">
      <x:c r="A686" s="32" t="str">
        <x:v>CHG-MAP-01</x:v>
      </x:c>
      <x:c r="B686" s="32" t="str">
        <x:v>MAP-01</x:v>
      </x:c>
      <x:c r="C686" s="32" t="str">
        <x:v>F01; F03; F04; F05; F20</x:v>
      </x:c>
      <x:c r="D686" s="32" t="str">
        <x:v>DOC-037</x:v>
      </x:c>
      <x:c r="E686" s="32" t="str">
        <x:v>Chọn địa điểm bằng địa chỉ và bản đồ</x:v>
      </x:c>
      <x:c r="F686" s="32" t="str">
        <x:v>Đã cập nhật</x:v>
      </x:c>
      <x:c r="G686" s="32" t="str">
        <x:v>Có</x:v>
      </x:c>
      <x:c r="H686" s="32" t="str">
        <x:v>Codex</x:v>
      </x:c>
      <x:c r="I686" s="33" t="n">
        <x:v>46302</x:v>
      </x:c>
      <x:c r="J686" s="32" t="str">
        <x:v>API v0.1.7 / MAP-01; local và mirror/ZIP hiện hành đã đối chiếu. Drive cùng ID: Docs/FR đọc lại; raw text có MAP-01; OpenAPI và 2 ZIP tải lại khớp byte. Codex 07/10/2026.</x:v>
      </x:c>
      <x:c r="K686" s="32" t="str"/>
      <x:c r="L686" s="32" t="str">
        <x:v>Hoàn tất</x:v>
      </x:c>
    </x:row>
    <x:row r="687" ht="145" customHeight="1">
      <x:c r="A687" s="32" t="str">
        <x:v>CHG-MAP-01</x:v>
      </x:c>
      <x:c r="B687" s="32" t="str">
        <x:v>MAP-01</x:v>
      </x:c>
      <x:c r="C687" s="32" t="str">
        <x:v>F01; F03; F04; F05; F20</x:v>
      </x:c>
      <x:c r="D687" s="32" t="str">
        <x:v>DOC-038</x:v>
      </x:c>
      <x:c r="E687" s="32" t="str">
        <x:v>Chọn địa điểm bằng địa chỉ và bản đồ</x:v>
      </x:c>
      <x:c r="F687" s="32" t="str">
        <x:v>Không áp dụng</x:v>
      </x:c>
      <x:c r="G687" s="32" t="str">
        <x:v>Có</x:v>
      </x:c>
      <x:c r="H687" s="32" t="str">
        <x:v>Codex</x:v>
      </x:c>
      <x:c r="I687" s="33" t="n">
        <x:v>46302</x:v>
      </x:c>
      <x:c r="J687" s="32" t="str">
        <x:v>Đối chiếu Anh huong và cross-search với MAP-01; xem lý do không áp dụng.</x:v>
      </x:c>
      <x:c r="K687" s="32" t="str">
        <x:v>Không đổi mục tiêu BRD, DB/ERD, quyền/trạng thái lưu, realtime/tài chính, ranking và backlog còn lại. Wireframe/prototype cũ giữ lịch sử; UX/API hiện hành đã bổ sung MAP-01. Không mở PROMO-02 hoặc OTP.</x:v>
      </x:c>
      <x:c r="L687" s="32" t="str">
        <x:v>Không áp dụng có lý do</x:v>
      </x:c>
    </x:row>
    <x:row r="688" ht="145" customHeight="1">
      <x:c r="A688" s="32" t="str">
        <x:v>CHG-MAP-01</x:v>
      </x:c>
      <x:c r="B688" s="32" t="str">
        <x:v>MAP-01</x:v>
      </x:c>
      <x:c r="C688" s="32" t="str">
        <x:v>F01; F03; F04; F05; F20</x:v>
      </x:c>
      <x:c r="D688" s="32" t="str">
        <x:v>DOC-039</x:v>
      </x:c>
      <x:c r="E688" s="32" t="str">
        <x:v>Chọn địa điểm bằng địa chỉ và bản đồ</x:v>
      </x:c>
      <x:c r="F688" s="32" t="str">
        <x:v>Đã cập nhật</x:v>
      </x:c>
      <x:c r="G688" s="32" t="str">
        <x:v>Có</x:v>
      </x:c>
      <x:c r="H688" s="32" t="str">
        <x:v>Codex</x:v>
      </x:c>
      <x:c r="I688" s="33" t="n">
        <x:v>46302</x:v>
      </x:c>
      <x:c r="J688" s="32" t="str">
        <x:v>API v0.1.7 / MAP-01; local và mirror/ZIP hiện hành đã đối chiếu. Drive cùng ID: Docs/FR đọc lại; raw text có MAP-01; OpenAPI và 2 ZIP tải lại khớp byte. Codex 07/10/2026.</x:v>
      </x:c>
      <x:c r="K688" s="32" t="str"/>
      <x:c r="L688" s="32" t="str">
        <x:v>Hoàn tất</x:v>
      </x:c>
    </x:row>
    <x:row r="689" ht="145" customHeight="1">
      <x:c r="A689" s="32" t="str">
        <x:v>CHG-MAP-01</x:v>
      </x:c>
      <x:c r="B689" s="32" t="str">
        <x:v>MAP-01</x:v>
      </x:c>
      <x:c r="C689" s="32" t="str">
        <x:v>F01; F03; F04; F05; F20</x:v>
      </x:c>
      <x:c r="D689" s="32" t="str">
        <x:v>DOC-040</x:v>
      </x:c>
      <x:c r="E689" s="32" t="str">
        <x:v>Chọn địa điểm bằng địa chỉ và bản đồ</x:v>
      </x:c>
      <x:c r="F689" s="32" t="str">
        <x:v>Đã cập nhật</x:v>
      </x:c>
      <x:c r="G689" s="32" t="str">
        <x:v>Có</x:v>
      </x:c>
      <x:c r="H689" s="32" t="str">
        <x:v>Codex</x:v>
      </x:c>
      <x:c r="I689" s="33" t="n">
        <x:v>46302</x:v>
      </x:c>
      <x:c r="J689" s="32" t="str">
        <x:v>API v0.1.7 / MAP-01; local và mirror/ZIP hiện hành đã đối chiếu. Drive cùng ID: Docs/FR đọc lại; raw text có MAP-01; OpenAPI và 2 ZIP tải lại khớp byte. Codex 07/10/2026.</x:v>
      </x:c>
      <x:c r="K689" s="32" t="str"/>
      <x:c r="L689" s="32" t="str">
        <x:v>Hoàn tất</x:v>
      </x:c>
    </x:row>
    <x:row r="690" ht="145" customHeight="1">
      <x:c r="A690" s="32" t="str">
        <x:v>CHG-MAP-01</x:v>
      </x:c>
      <x:c r="B690" s="32" t="str">
        <x:v>MAP-01</x:v>
      </x:c>
      <x:c r="C690" s="32" t="str">
        <x:v>F01; F03; F04; F05; F20</x:v>
      </x:c>
      <x:c r="D690" s="32" t="str">
        <x:v>DOC-041</x:v>
      </x:c>
      <x:c r="E690" s="32" t="str">
        <x:v>Chọn địa điểm bằng địa chỉ và bản đồ</x:v>
      </x:c>
      <x:c r="F690" s="32" t="str">
        <x:v>Đã cập nhật</x:v>
      </x:c>
      <x:c r="G690" s="32" t="str">
        <x:v>Có</x:v>
      </x:c>
      <x:c r="H690" s="32" t="str">
        <x:v>Codex</x:v>
      </x:c>
      <x:c r="I690" s="33" t="n">
        <x:v>46302</x:v>
      </x:c>
      <x:c r="J690" s="32" t="str">
        <x:v>API v0.1.7 / MAP-01; local và mirror/ZIP hiện hành đã đối chiếu. Drive cùng ID: Docs/FR đọc lại; raw text có MAP-01; OpenAPI và 2 ZIP tải lại khớp byte. Codex 07/10/2026.</x:v>
      </x:c>
      <x:c r="K690" s="32" t="str"/>
      <x:c r="L690" s="32" t="str">
        <x:v>Hoàn tất</x:v>
      </x:c>
    </x:row>
    <x:row r="691" ht="145" customHeight="1">
      <x:c r="A691" s="32" t="str">
        <x:v>CHG-MAP-01</x:v>
      </x:c>
      <x:c r="B691" s="32" t="str">
        <x:v>MAP-01</x:v>
      </x:c>
      <x:c r="C691" s="32" t="str">
        <x:v>F01; F03; F04; F05; F20</x:v>
      </x:c>
      <x:c r="D691" s="32" t="str">
        <x:v>DOC-042</x:v>
      </x:c>
      <x:c r="E691" s="32" t="str">
        <x:v>Chọn địa điểm bằng địa chỉ và bản đồ</x:v>
      </x:c>
      <x:c r="F691" s="32" t="str">
        <x:v>Không áp dụng</x:v>
      </x:c>
      <x:c r="G691" s="32" t="str">
        <x:v>Có</x:v>
      </x:c>
      <x:c r="H691" s="32" t="str">
        <x:v>Codex</x:v>
      </x:c>
      <x:c r="I691" s="33" t="n">
        <x:v>46302</x:v>
      </x:c>
      <x:c r="J691" s="32" t="str">
        <x:v>Đối chiếu Anh huong và cross-search với MAP-01; xem lý do không áp dụng.</x:v>
      </x:c>
      <x:c r="K691" s="32" t="str">
        <x:v>Không đổi mục tiêu BRD, DB/ERD, quyền/trạng thái lưu, realtime/tài chính, ranking và backlog còn lại. Wireframe/prototype cũ giữ lịch sử; UX/API hiện hành đã bổ sung MAP-01. Không mở PROMO-02 hoặc OTP.</x:v>
      </x:c>
      <x:c r="L691" s="32" t="str">
        <x:v>Không áp dụng có lý do</x:v>
      </x:c>
    </x:row>
    <x:row r="692" ht="145" customHeight="1">
      <x:c r="A692" s="32" t="str">
        <x:v>CHG-MAP-01</x:v>
      </x:c>
      <x:c r="B692" s="32" t="str">
        <x:v>MAP-01</x:v>
      </x:c>
      <x:c r="C692" s="32" t="str">
        <x:v>F01; F03; F04; F05; F20</x:v>
      </x:c>
      <x:c r="D692" s="32" t="str">
        <x:v>DOC-043</x:v>
      </x:c>
      <x:c r="E692" s="32" t="str">
        <x:v>Chọn địa điểm bằng địa chỉ và bản đồ</x:v>
      </x:c>
      <x:c r="F692" s="32" t="str">
        <x:v>Đã cập nhật</x:v>
      </x:c>
      <x:c r="G692" s="32" t="str">
        <x:v>Có</x:v>
      </x:c>
      <x:c r="H692" s="32" t="str">
        <x:v>Codex</x:v>
      </x:c>
      <x:c r="I692" s="33" t="n">
        <x:v>46302</x:v>
      </x:c>
      <x:c r="J692" s="32" t="str">
        <x:v>API v0.1.7 / MAP-01; local và mirror/ZIP hiện hành đã đối chiếu. Drive cùng ID: Docs/FR đọc lại; raw text có MAP-01; OpenAPI và 2 ZIP tải lại khớp byte. Codex 07/10/2026.</x:v>
      </x:c>
      <x:c r="K692" s="32" t="str"/>
      <x:c r="L692" s="32" t="str">
        <x:v>Hoàn tất</x:v>
      </x:c>
    </x:row>
    <x:row r="693" ht="145" customHeight="1">
      <x:c r="A693" s="32" t="str">
        <x:v>CHG-MAP-01</x:v>
      </x:c>
      <x:c r="B693" s="32" t="str">
        <x:v>MAP-01</x:v>
      </x:c>
      <x:c r="C693" s="32" t="str">
        <x:v>F01; F03; F04; F05; F20</x:v>
      </x:c>
      <x:c r="D693" s="32" t="str">
        <x:v>DOC-044</x:v>
      </x:c>
      <x:c r="E693" s="32" t="str">
        <x:v>Chọn địa điểm bằng địa chỉ và bản đồ</x:v>
      </x:c>
      <x:c r="F693" s="32" t="str">
        <x:v>Không áp dụng</x:v>
      </x:c>
      <x:c r="G693" s="32" t="str">
        <x:v>Có</x:v>
      </x:c>
      <x:c r="H693" s="32" t="str">
        <x:v>Codex</x:v>
      </x:c>
      <x:c r="I693" s="33" t="n">
        <x:v>46302</x:v>
      </x:c>
      <x:c r="J693" s="32" t="str">
        <x:v>Đối chiếu Anh huong và cross-search với MAP-01; xem lý do không áp dụng.</x:v>
      </x:c>
      <x:c r="K693" s="32" t="str">
        <x:v>Không đổi mục tiêu BRD, DB/ERD, quyền/trạng thái lưu, realtime/tài chính, ranking và backlog còn lại. Wireframe/prototype cũ giữ lịch sử; UX/API hiện hành đã bổ sung MAP-01. Không mở PROMO-02 hoặc OTP.</x:v>
      </x:c>
      <x:c r="L693" s="32" t="str">
        <x:v>Không áp dụng có lý do</x:v>
      </x:c>
    </x:row>
    <x:row r="694" ht="145" customHeight="1">
      <x:c r="A694" s="32" t="str">
        <x:v>CHG-MAP-01</x:v>
      </x:c>
      <x:c r="B694" s="32" t="str">
        <x:v>MAP-01</x:v>
      </x:c>
      <x:c r="C694" s="32" t="str">
        <x:v>F01; F03; F04; F05; F20</x:v>
      </x:c>
      <x:c r="D694" s="32" t="str">
        <x:v>DOC-045</x:v>
      </x:c>
      <x:c r="E694" s="32" t="str">
        <x:v>Chọn địa điểm bằng địa chỉ và bản đồ</x:v>
      </x:c>
      <x:c r="F694" s="32" t="str">
        <x:v>Đã cập nhật</x:v>
      </x:c>
      <x:c r="G694" s="32" t="str">
        <x:v>Có</x:v>
      </x:c>
      <x:c r="H694" s="32" t="str">
        <x:v>Codex</x:v>
      </x:c>
      <x:c r="I694" s="33" t="n">
        <x:v>46302</x:v>
      </x:c>
      <x:c r="J694" s="32" t="str">
        <x:v>API v0.1.7 / MAP-01; local và mirror/ZIP hiện hành đã đối chiếu. Drive cùng ID: Docs/FR đọc lại; raw text có MAP-01; OpenAPI và 2 ZIP tải lại khớp byte. Codex 07/10/2026.</x:v>
      </x:c>
      <x:c r="K694" s="32" t="str"/>
      <x:c r="L694" s="32" t="str">
        <x:v>Hoàn tất</x:v>
      </x:c>
    </x:row>
    <x:row r="695" ht="145" customHeight="1">
      <x:c r="A695" s="32" t="str">
        <x:v>CHG-MAP-01</x:v>
      </x:c>
      <x:c r="B695" s="32" t="str">
        <x:v>MAP-01</x:v>
      </x:c>
      <x:c r="C695" s="32" t="str">
        <x:v>F01; F03; F04; F05; F20</x:v>
      </x:c>
      <x:c r="D695" s="32" t="str">
        <x:v>DOC-046</x:v>
      </x:c>
      <x:c r="E695" s="32" t="str">
        <x:v>Chọn địa điểm bằng địa chỉ và bản đồ</x:v>
      </x:c>
      <x:c r="F695" s="32" t="str">
        <x:v>Đã cập nhật</x:v>
      </x:c>
      <x:c r="G695" s="32" t="str">
        <x:v>Có</x:v>
      </x:c>
      <x:c r="H695" s="32" t="str">
        <x:v>Codex</x:v>
      </x:c>
      <x:c r="I695" s="33" t="n">
        <x:v>46302</x:v>
      </x:c>
      <x:c r="J695" s="32" t="str">
        <x:v>API v0.1.7 / MAP-01; local và mirror/ZIP hiện hành đã đối chiếu. Drive cùng ID: Docs/FR đọc lại; raw text có MAP-01; OpenAPI và 2 ZIP tải lại khớp byte. Codex 07/10/2026.</x:v>
      </x:c>
      <x:c r="K695" s="32" t="str"/>
      <x:c r="L695" s="32" t="str">
        <x:v>Hoàn tất</x:v>
      </x:c>
    </x:row>
    <x:row r="696" ht="145" customHeight="1">
      <x:c r="A696" s="32" t="str">
        <x:v>CHG-MAP-01</x:v>
      </x:c>
      <x:c r="B696" s="32" t="str">
        <x:v>MAP-01</x:v>
      </x:c>
      <x:c r="C696" s="32" t="str">
        <x:v>F01; F03; F04; F05; F20</x:v>
      </x:c>
      <x:c r="D696" s="32" t="str">
        <x:v>DOC-047</x:v>
      </x:c>
      <x:c r="E696" s="32" t="str">
        <x:v>Chọn địa điểm bằng địa chỉ và bản đồ</x:v>
      </x:c>
      <x:c r="F696" s="32" t="str">
        <x:v>Đã cập nhật</x:v>
      </x:c>
      <x:c r="G696" s="32" t="str">
        <x:v>Có</x:v>
      </x:c>
      <x:c r="H696" s="32" t="str">
        <x:v>Codex</x:v>
      </x:c>
      <x:c r="I696" s="33" t="n">
        <x:v>46302</x:v>
      </x:c>
      <x:c r="J696" s="32" t="str">
        <x:v>API v0.1.7 / MAP-01; local và mirror/ZIP hiện hành đã đối chiếu. Drive cùng ID: Docs/FR đọc lại; raw text có MAP-01; OpenAPI và 2 ZIP tải lại khớp byte. Codex 07/10/2026.</x:v>
      </x:c>
      <x:c r="K696" s="32" t="str"/>
      <x:c r="L696" s="32" t="str">
        <x:v>Hoàn tất</x:v>
      </x:c>
    </x:row>
    <x:row r="697" ht="145" customHeight="1">
      <x:c r="A697" s="32" t="str">
        <x:v>CHG-MAP-01</x:v>
      </x:c>
      <x:c r="B697" s="32" t="str">
        <x:v>MAP-01</x:v>
      </x:c>
      <x:c r="C697" s="32" t="str">
        <x:v>F01; F03; F04; F05; F20</x:v>
      </x:c>
      <x:c r="D697" s="32" t="str">
        <x:v>DOC-048</x:v>
      </x:c>
      <x:c r="E697" s="32" t="str">
        <x:v>Chọn địa điểm bằng địa chỉ và bản đồ</x:v>
      </x:c>
      <x:c r="F697" s="32" t="str">
        <x:v>Không áp dụng</x:v>
      </x:c>
      <x:c r="G697" s="32" t="str">
        <x:v>Có</x:v>
      </x:c>
      <x:c r="H697" s="32" t="str">
        <x:v>Codex</x:v>
      </x:c>
      <x:c r="I697" s="33" t="n">
        <x:v>46302</x:v>
      </x:c>
      <x:c r="J697" s="32" t="str">
        <x:v>Đối chiếu Anh huong và cross-search với MAP-01; xem lý do không áp dụng.</x:v>
      </x:c>
      <x:c r="K697" s="32" t="str">
        <x:v>Không đổi mục tiêu BRD, DB/ERD, quyền/trạng thái lưu, realtime/tài chính, ranking và backlog còn lại. Wireframe/prototype cũ giữ lịch sử; UX/API hiện hành đã bổ sung MAP-01. Không mở PROMO-02 hoặc OTP.</x:v>
      </x:c>
      <x:c r="L697" s="32" t="str">
        <x:v>Không áp dụng có lý do</x:v>
      </x:c>
    </x:row>
    <x:row r="698" ht="145" customHeight="1">
      <x:c r="A698" s="32" t="str">
        <x:v>CHG-MAP-01</x:v>
      </x:c>
      <x:c r="B698" s="32" t="str">
        <x:v>MAP-01</x:v>
      </x:c>
      <x:c r="C698" s="32" t="str">
        <x:v>F01; F03; F04; F05; F20</x:v>
      </x:c>
      <x:c r="D698" s="32" t="str">
        <x:v>DOC-049</x:v>
      </x:c>
      <x:c r="E698" s="32" t="str">
        <x:v>Chọn địa điểm bằng địa chỉ và bản đồ</x:v>
      </x:c>
      <x:c r="F698" s="32" t="str">
        <x:v>Không áp dụng</x:v>
      </x:c>
      <x:c r="G698" s="32" t="str">
        <x:v>Có</x:v>
      </x:c>
      <x:c r="H698" s="32" t="str">
        <x:v>Codex</x:v>
      </x:c>
      <x:c r="I698" s="33" t="n">
        <x:v>46302</x:v>
      </x:c>
      <x:c r="J698" s="32" t="str">
        <x:v>Đối chiếu Anh huong và cross-search với MAP-01; xem lý do không áp dụng.</x:v>
      </x:c>
      <x:c r="K698" s="32" t="str">
        <x:v>Không đổi mục tiêu BRD, DB/ERD, quyền/trạng thái lưu, realtime/tài chính, ranking và backlog còn lại. Wireframe/prototype cũ giữ lịch sử; UX/API hiện hành đã bổ sung MAP-01. Không mở PROMO-02 hoặc OTP.</x:v>
      </x:c>
      <x:c r="L698" s="32" t="str">
        <x:v>Không áp dụng có lý do</x:v>
      </x:c>
    </x:row>
    <x:row r="699" ht="145" customHeight="1">
      <x:c r="A699" s="32" t="str">
        <x:v>CHG-MAP-01</x:v>
      </x:c>
      <x:c r="B699" s="32" t="str">
        <x:v>MAP-01</x:v>
      </x:c>
      <x:c r="C699" s="32" t="str">
        <x:v>F01; F03; F04; F05; F20</x:v>
      </x:c>
      <x:c r="D699" s="32" t="str">
        <x:v>DOC-050</x:v>
      </x:c>
      <x:c r="E699" s="32" t="str">
        <x:v>Chọn địa điểm bằng địa chỉ và bản đồ</x:v>
      </x:c>
      <x:c r="F699" s="32" t="str">
        <x:v>Không áp dụng</x:v>
      </x:c>
      <x:c r="G699" s="32" t="str">
        <x:v>Có</x:v>
      </x:c>
      <x:c r="H699" s="32" t="str">
        <x:v>Codex</x:v>
      </x:c>
      <x:c r="I699" s="33" t="n">
        <x:v>46302</x:v>
      </x:c>
      <x:c r="J699" s="32" t="str">
        <x:v>Đối chiếu Anh huong và cross-search với MAP-01; xem lý do không áp dụng.</x:v>
      </x:c>
      <x:c r="K699" s="32" t="str">
        <x:v>Không đổi mục tiêu BRD, DB/ERD, quyền/trạng thái lưu, realtime/tài chính, ranking và backlog còn lại. Wireframe/prototype cũ giữ lịch sử; UX/API hiện hành đã bổ sung MAP-01. Không mở PROMO-02 hoặc OTP.</x:v>
      </x:c>
      <x:c r="L699" s="32" t="str">
        <x:v>Không áp dụng có lý do</x:v>
      </x:c>
    </x:row>
    <x:row r="700" ht="145" customHeight="1">
      <x:c r="A700" s="32" t="str">
        <x:v>CHG-MAP-01</x:v>
      </x:c>
      <x:c r="B700" s="32" t="str">
        <x:v>MAP-01</x:v>
      </x:c>
      <x:c r="C700" s="32" t="str">
        <x:v>F01; F03; F04; F05; F20</x:v>
      </x:c>
      <x:c r="D700" s="32" t="str">
        <x:v>DOC-051</x:v>
      </x:c>
      <x:c r="E700" s="32" t="str">
        <x:v>Chọn địa điểm bằng địa chỉ và bản đồ</x:v>
      </x:c>
      <x:c r="F700" s="32" t="str">
        <x:v>Không áp dụng</x:v>
      </x:c>
      <x:c r="G700" s="32" t="str">
        <x:v>Có</x:v>
      </x:c>
      <x:c r="H700" s="32" t="str">
        <x:v>Codex</x:v>
      </x:c>
      <x:c r="I700" s="33" t="n">
        <x:v>46302</x:v>
      </x:c>
      <x:c r="J700" s="32" t="str">
        <x:v>Đối chiếu Anh huong và cross-search với MAP-01; xem lý do không áp dụng.</x:v>
      </x:c>
      <x:c r="K700" s="32" t="str">
        <x:v>Không đổi mục tiêu BRD, DB/ERD, quyền/trạng thái lưu, realtime/tài chính, ranking và backlog còn lại. Wireframe/prototype cũ giữ lịch sử; UX/API hiện hành đã bổ sung MAP-01. Không mở PROMO-02 hoặc OTP.</x:v>
      </x:c>
      <x:c r="L700" s="32" t="str">
        <x:v>Không áp dụng có lý do</x:v>
      </x:c>
    </x:row>
    <x:row r="701" ht="145" customHeight="1">
      <x:c r="A701" s="32" t="str">
        <x:v>CHG-MAP-01</x:v>
      </x:c>
      <x:c r="B701" s="32" t="str">
        <x:v>MAP-01</x:v>
      </x:c>
      <x:c r="C701" s="32" t="str">
        <x:v>F01; F03; F04; F05; F20</x:v>
      </x:c>
      <x:c r="D701" s="32" t="str">
        <x:v>DOC-052</x:v>
      </x:c>
      <x:c r="E701" s="32" t="str">
        <x:v>Chọn địa điểm bằng địa chỉ và bản đồ</x:v>
      </x:c>
      <x:c r="F701" s="32" t="str">
        <x:v>Không áp dụng</x:v>
      </x:c>
      <x:c r="G701" s="32" t="str">
        <x:v>Có</x:v>
      </x:c>
      <x:c r="H701" s="32" t="str">
        <x:v>Codex</x:v>
      </x:c>
      <x:c r="I701" s="33" t="n">
        <x:v>46302</x:v>
      </x:c>
      <x:c r="J701" s="32" t="str">
        <x:v>Đối chiếu Anh huong và cross-search với MAP-01; xem lý do không áp dụng.</x:v>
      </x:c>
      <x:c r="K701" s="32" t="str">
        <x:v>Không đổi mục tiêu BRD, DB/ERD, quyền/trạng thái lưu, realtime/tài chính, ranking và backlog còn lại. Wireframe/prototype cũ giữ lịch sử; UX/API hiện hành đã bổ sung MAP-01. Không mở PROMO-02 hoặc OTP.</x:v>
      </x:c>
      <x:c r="L701" s="32" t="str">
        <x:v>Không áp dụng có lý do</x:v>
      </x:c>
    </x:row>
    <x:row r="702" ht="145" customHeight="1">
      <x:c r="A702" s="32" t="str">
        <x:v>CHG-MAP-01</x:v>
      </x:c>
      <x:c r="B702" s="32" t="str">
        <x:v>MAP-01</x:v>
      </x:c>
      <x:c r="C702" s="32" t="str">
        <x:v>F01; F03; F04; F05; F20</x:v>
      </x:c>
      <x:c r="D702" s="32" t="str">
        <x:v>DOC-053</x:v>
      </x:c>
      <x:c r="E702" s="32" t="str">
        <x:v>Chọn địa điểm bằng địa chỉ và bản đồ</x:v>
      </x:c>
      <x:c r="F702" s="32" t="str">
        <x:v>Không áp dụng</x:v>
      </x:c>
      <x:c r="G702" s="32" t="str">
        <x:v>Có</x:v>
      </x:c>
      <x:c r="H702" s="32" t="str">
        <x:v>Codex</x:v>
      </x:c>
      <x:c r="I702" s="33" t="n">
        <x:v>46302</x:v>
      </x:c>
      <x:c r="J702" s="32" t="str">
        <x:v>Đối chiếu Anh huong và cross-search với MAP-01; xem lý do không áp dụng.</x:v>
      </x:c>
      <x:c r="K702" s="32" t="str">
        <x:v>Không đổi mục tiêu BRD, DB/ERD, quyền/trạng thái lưu, realtime/tài chính, ranking và backlog còn lại. Wireframe/prototype cũ giữ lịch sử; UX/API hiện hành đã bổ sung MAP-01. Không mở PROMO-02 hoặc OTP.</x:v>
      </x:c>
      <x:c r="L702" s="32" t="str">
        <x:v>Không áp dụng có lý do</x:v>
      </x:c>
    </x:row>
    <x:row r="703" ht="145" customHeight="1">
      <x:c r="A703" s="32" t="str">
        <x:v>CHG-MAP-01</x:v>
      </x:c>
      <x:c r="B703" s="32" t="str">
        <x:v>MAP-01</x:v>
      </x:c>
      <x:c r="C703" s="32" t="str">
        <x:v>F01; F03; F04; F05; F20</x:v>
      </x:c>
      <x:c r="D703" s="32" t="str">
        <x:v>DOC-055</x:v>
      </x:c>
      <x:c r="E703" s="32" t="str">
        <x:v>Chọn địa điểm bằng địa chỉ và bản đồ</x:v>
      </x:c>
      <x:c r="F703" s="32" t="str">
        <x:v>Không áp dụng</x:v>
      </x:c>
      <x:c r="G703" s="32" t="str">
        <x:v>Có</x:v>
      </x:c>
      <x:c r="H703" s="32" t="str">
        <x:v>Codex</x:v>
      </x:c>
      <x:c r="I703" s="33" t="n">
        <x:v>46302</x:v>
      </x:c>
      <x:c r="J703" s="32" t="str">
        <x:v>Đối chiếu Anh huong và cross-search với MAP-01; xem lý do không áp dụng.</x:v>
      </x:c>
      <x:c r="K703" s="32" t="str">
        <x:v>Không đổi mục tiêu BRD, DB/ERD, quyền/trạng thái lưu, realtime/tài chính, ranking và backlog còn lại. Wireframe/prototype cũ giữ lịch sử; UX/API hiện hành đã bổ sung MAP-01. Không mở PROMO-02 hoặc OTP.</x:v>
      </x:c>
      <x:c r="L703" s="32" t="str">
        <x:v>Không áp dụng có lý do</x:v>
      </x:c>
    </x:row>
    <x:row r="704" ht="145" customHeight="1">
      <x:c r="A704" s="32" t="str">
        <x:v>CHG-MAP-01</x:v>
      </x:c>
      <x:c r="B704" s="32" t="str">
        <x:v>MAP-01</x:v>
      </x:c>
      <x:c r="C704" s="32" t="str">
        <x:v>F01; F03; F04; F05; F20</x:v>
      </x:c>
      <x:c r="D704" s="32" t="str">
        <x:v>DOC-057</x:v>
      </x:c>
      <x:c r="E704" s="32" t="str">
        <x:v>Chọn địa điểm bằng địa chỉ và bản đồ</x:v>
      </x:c>
      <x:c r="F704" s="32" t="str">
        <x:v>Không áp dụng</x:v>
      </x:c>
      <x:c r="G704" s="32" t="str">
        <x:v>Có</x:v>
      </x:c>
      <x:c r="H704" s="32" t="str">
        <x:v>Codex</x:v>
      </x:c>
      <x:c r="I704" s="33" t="n">
        <x:v>46302</x:v>
      </x:c>
      <x:c r="J704" s="32" t="str">
        <x:v>Đối chiếu Anh huong và cross-search với MAP-01; xem lý do không áp dụng.</x:v>
      </x:c>
      <x:c r="K704" s="32" t="str">
        <x:v>Không đổi mục tiêu BRD, DB/ERD, quyền/trạng thái lưu, realtime/tài chính, ranking và backlog còn lại. Wireframe/prototype cũ giữ lịch sử; UX/API hiện hành đã bổ sung MAP-01. Không mở PROMO-02 hoặc OTP.</x:v>
      </x:c>
      <x:c r="L704" s="32" t="str">
        <x:v>Không áp dụng có lý do</x:v>
      </x:c>
    </x:row>
    <x:row r="705" ht="145" customHeight="1">
      <x:c r="A705" s="32" t="str">
        <x:v>CHG-MAP-01</x:v>
      </x:c>
      <x:c r="B705" s="32" t="str">
        <x:v>MAP-01</x:v>
      </x:c>
      <x:c r="C705" s="32" t="str">
        <x:v>F01; F03; F04; F05; F20</x:v>
      </x:c>
      <x:c r="D705" s="32" t="str">
        <x:v>DOC-058</x:v>
      </x:c>
      <x:c r="E705" s="32" t="str">
        <x:v>Chọn địa điểm bằng địa chỉ và bản đồ</x:v>
      </x:c>
      <x:c r="F705" s="32" t="str">
        <x:v>Không áp dụng</x:v>
      </x:c>
      <x:c r="G705" s="32" t="str">
        <x:v>Có</x:v>
      </x:c>
      <x:c r="H705" s="32" t="str">
        <x:v>Codex</x:v>
      </x:c>
      <x:c r="I705" s="33" t="n">
        <x:v>46302</x:v>
      </x:c>
      <x:c r="J705" s="32" t="str">
        <x:v>Đối chiếu Anh huong và cross-search với MAP-01; xem lý do không áp dụng.</x:v>
      </x:c>
      <x:c r="K705" s="32" t="str">
        <x:v>Không đổi mục tiêu BRD, DB/ERD, quyền/trạng thái lưu, realtime/tài chính, ranking và backlog còn lại. Wireframe/prototype cũ giữ lịch sử; UX/API hiện hành đã bổ sung MAP-01. Không mở PROMO-02 hoặc OTP.</x:v>
      </x:c>
      <x:c r="L705" s="32" t="str">
        <x:v>Không áp dụng có lý do</x:v>
      </x:c>
    </x:row>
    <x:row r="706" ht="145" customHeight="1">
      <x:c r="A706" s="32" t="str">
        <x:v>CHG-MAP-01</x:v>
      </x:c>
      <x:c r="B706" s="32" t="str">
        <x:v>MAP-01</x:v>
      </x:c>
      <x:c r="C706" s="32" t="str">
        <x:v>F01; F03; F04; F05; F20</x:v>
      </x:c>
      <x:c r="D706" s="32" t="str">
        <x:v>DOC-061</x:v>
      </x:c>
      <x:c r="E706" s="32" t="str">
        <x:v>Chọn địa điểm bằng địa chỉ và bản đồ</x:v>
      </x:c>
      <x:c r="F706" s="32" t="str">
        <x:v>Không áp dụng</x:v>
      </x:c>
      <x:c r="G706" s="32" t="str">
        <x:v>Có</x:v>
      </x:c>
      <x:c r="H706" s="32" t="str">
        <x:v>Codex</x:v>
      </x:c>
      <x:c r="I706" s="33" t="n">
        <x:v>46302</x:v>
      </x:c>
      <x:c r="J706" s="32" t="str">
        <x:v>Đối chiếu Anh huong và cross-search với MAP-01; xem lý do không áp dụng.</x:v>
      </x:c>
      <x:c r="K706" s="32" t="str">
        <x:v>Không đổi mục tiêu BRD, DB/ERD, quyền/trạng thái lưu, realtime/tài chính, ranking và backlog còn lại. Wireframe/prototype cũ giữ lịch sử; UX/API hiện hành đã bổ sung MAP-01. Không mở PROMO-02 hoặc OTP.</x:v>
      </x:c>
      <x:c r="L706" s="32" t="str">
        <x:v>Không áp dụng có lý do</x:v>
      </x:c>
    </x:row>
    <x:row r="707" ht="145" customHeight="1">
      <x:c r="A707" s="32" t="str">
        <x:v>CHG-MAP-01</x:v>
      </x:c>
      <x:c r="B707" s="32" t="str">
        <x:v>MAP-01</x:v>
      </x:c>
      <x:c r="C707" s="32" t="str">
        <x:v>F01; F03; F04; F05; F20</x:v>
      </x:c>
      <x:c r="D707" s="32" t="str">
        <x:v>DOC-062</x:v>
      </x:c>
      <x:c r="E707" s="32" t="str">
        <x:v>Chọn địa điểm bằng địa chỉ và bản đồ</x:v>
      </x:c>
      <x:c r="F707" s="32" t="str">
        <x:v>Không áp dụng</x:v>
      </x:c>
      <x:c r="G707" s="32" t="str">
        <x:v>Có</x:v>
      </x:c>
      <x:c r="H707" s="32" t="str">
        <x:v>Codex</x:v>
      </x:c>
      <x:c r="I707" s="33" t="n">
        <x:v>46302</x:v>
      </x:c>
      <x:c r="J707" s="32" t="str">
        <x:v>Đối chiếu Anh huong và cross-search với MAP-01; xem lý do không áp dụng.</x:v>
      </x:c>
      <x:c r="K707" s="32" t="str">
        <x:v>Không đổi mục tiêu BRD, DB/ERD, quyền/trạng thái lưu, realtime/tài chính, ranking và backlog còn lại. Wireframe/prototype cũ giữ lịch sử; UX/API hiện hành đã bổ sung MAP-01. Không mở PROMO-02 hoặc OTP.</x:v>
      </x:c>
      <x:c r="L707" s="32" t="str">
        <x:v>Không áp dụng có lý do</x:v>
      </x:c>
    </x:row>
    <x:row r="708" ht="145" customHeight="1">
      <x:c r="A708" s="32" t="str">
        <x:v>CHG-MAP-01</x:v>
      </x:c>
      <x:c r="B708" s="32" t="str">
        <x:v>MAP-01</x:v>
      </x:c>
      <x:c r="C708" s="32" t="str">
        <x:v>F01; F03; F04; F05; F20</x:v>
      </x:c>
      <x:c r="D708" s="32" t="str">
        <x:v>DOC-063</x:v>
      </x:c>
      <x:c r="E708" s="32" t="str">
        <x:v>Chọn địa điểm bằng địa chỉ và bản đồ</x:v>
      </x:c>
      <x:c r="F708" s="32" t="str">
        <x:v>Không áp dụng</x:v>
      </x:c>
      <x:c r="G708" s="32" t="str">
        <x:v>Có</x:v>
      </x:c>
      <x:c r="H708" s="32" t="str">
        <x:v>Codex</x:v>
      </x:c>
      <x:c r="I708" s="33" t="n">
        <x:v>46302</x:v>
      </x:c>
      <x:c r="J708" s="32" t="str">
        <x:v>Đối chiếu Anh huong và cross-search với MAP-01; xem lý do không áp dụng.</x:v>
      </x:c>
      <x:c r="K708" s="32" t="str">
        <x:v>Không đổi mục tiêu BRD, DB/ERD, quyền/trạng thái lưu, realtime/tài chính, ranking và backlog còn lại. Wireframe/prototype cũ giữ lịch sử; UX/API hiện hành đã bổ sung MAP-01. Không mở PROMO-02 hoặc OTP.</x:v>
      </x:c>
      <x:c r="L708" s="32" t="str">
        <x:v>Không áp dụng có lý do</x:v>
      </x:c>
    </x:row>
    <x:row r="709" ht="145" customHeight="1">
      <x:c r="A709" s="32" t="str">
        <x:v>CHG-MAP-01</x:v>
      </x:c>
      <x:c r="B709" s="32" t="str">
        <x:v>MAP-01</x:v>
      </x:c>
      <x:c r="C709" s="32" t="str">
        <x:v>F01; F03; F04; F05; F20</x:v>
      </x:c>
      <x:c r="D709" s="32" t="str">
        <x:v>DOC-082</x:v>
      </x:c>
      <x:c r="E709" s="32" t="str">
        <x:v>Chọn địa điểm bằng địa chỉ và bản đồ</x:v>
      </x:c>
      <x:c r="F709" s="32" t="str">
        <x:v>Đã cập nhật</x:v>
      </x:c>
      <x:c r="G709" s="32" t="str">
        <x:v>Có</x:v>
      </x:c>
      <x:c r="H709" s="32" t="str">
        <x:v>Codex</x:v>
      </x:c>
      <x:c r="I709" s="33" t="n">
        <x:v>46302</x:v>
      </x:c>
      <x:c r="J709" s="32" t="str">
        <x:v>Repo: MAP-01, B03-01 + ảnh + bộ 30 địa chỉ; không xuất ZIP/Drive theo DELIVERY-01.</x:v>
      </x:c>
      <x:c r="K709" s="32" t="str"/>
      <x:c r="L709" s="32" t="str">
        <x:v>Hoàn tất</x:v>
      </x:c>
    </x:row>
    <x:row r="710" ht="145" customHeight="1">
      <x:c r="A710" s="32" t="str">
        <x:v>CHG-MAP-01</x:v>
      </x:c>
      <x:c r="B710" s="32" t="str">
        <x:v>MAP-01</x:v>
      </x:c>
      <x:c r="C710" s="32" t="str">
        <x:v>F01; F03; F04; F05; F20</x:v>
      </x:c>
      <x:c r="D710" s="32" t="str">
        <x:v>DOC-083</x:v>
      </x:c>
      <x:c r="E710" s="32" t="str">
        <x:v>Chọn địa điểm bằng địa chỉ và bản đồ</x:v>
      </x:c>
      <x:c r="F710" s="32" t="str">
        <x:v>Đã cập nhật</x:v>
      </x:c>
      <x:c r="G710" s="32" t="str">
        <x:v>Có</x:v>
      </x:c>
      <x:c r="H710" s="32" t="str">
        <x:v>Codex</x:v>
      </x:c>
      <x:c r="I710" s="33" t="n">
        <x:v>46302</x:v>
      </x:c>
      <x:c r="J710" s="32" t="str">
        <x:v>Repo: MAP-01, B03-01 + ảnh + bộ 30 địa chỉ; không xuất ZIP/Drive theo DELIVERY-01.</x:v>
      </x:c>
      <x:c r="K710" s="32" t="str"/>
      <x:c r="L710" s="32" t="str">
        <x:v>Hoàn tất</x:v>
      </x:c>
    </x:row>
    <x:row r="711" ht="145" customHeight="1">
      <x:c r="A711" s="32" t="str">
        <x:v>CHG-MAP-01</x:v>
      </x:c>
      <x:c r="B711" s="32" t="str">
        <x:v>MAP-01</x:v>
      </x:c>
      <x:c r="C711" s="32" t="str">
        <x:v>F01; F03; F04; F05; F20</x:v>
      </x:c>
      <x:c r="D711" s="32" t="str">
        <x:v>DOC-085</x:v>
      </x:c>
      <x:c r="E711" s="32" t="str">
        <x:v>Chọn địa điểm bằng địa chỉ và bản đồ</x:v>
      </x:c>
      <x:c r="F711" s="32" t="str">
        <x:v>Đã cập nhật</x:v>
      </x:c>
      <x:c r="G711" s="32" t="str">
        <x:v>Có</x:v>
      </x:c>
      <x:c r="H711" s="32" t="str">
        <x:v>Codex</x:v>
      </x:c>
      <x:c r="I711" s="33" t="n">
        <x:v>46302</x:v>
      </x:c>
      <x:c r="J711" s="32" t="str">
        <x:v>Repo: MAP-01, B03-01 + ảnh + bộ 30 địa chỉ; không xuất ZIP/Drive theo DELIVERY-01.</x:v>
      </x:c>
      <x:c r="K711" s="32" t="str"/>
      <x:c r="L711" s="32" t="str">
        <x:v>Hoàn tất</x:v>
      </x:c>
    </x:row>
    <x:row r="712" ht="145" customHeight="1">
      <x:c r="A712" s="32" t="str">
        <x:v>CHG-MAP-01</x:v>
      </x:c>
      <x:c r="B712" s="32" t="str">
        <x:v>MAP-01</x:v>
      </x:c>
      <x:c r="C712" s="32" t="str">
        <x:v>F01; F03; F04; F05; F20</x:v>
      </x:c>
      <x:c r="D712" s="32" t="str">
        <x:v>DOC-088</x:v>
      </x:c>
      <x:c r="E712" s="32" t="str">
        <x:v>Chọn địa điểm bằng địa chỉ và bản đồ</x:v>
      </x:c>
      <x:c r="F712" s="32" t="str">
        <x:v>Không áp dụng</x:v>
      </x:c>
      <x:c r="G712" s="32" t="str">
        <x:v>Có</x:v>
      </x:c>
      <x:c r="H712" s="32" t="str">
        <x:v>Codex</x:v>
      </x:c>
      <x:c r="I712" s="33" t="n">
        <x:v>46302</x:v>
      </x:c>
      <x:c r="J712" s="32" t="str">
        <x:v>Đối chiếu Anh huong và cross-search với MAP-01; xem lý do không áp dụng.</x:v>
      </x:c>
      <x:c r="K712" s="32" t="str">
        <x:v>Không đổi mục tiêu BRD, DB/ERD, quyền/trạng thái lưu, realtime/tài chính, ranking và backlog còn lại. Wireframe/prototype cũ giữ lịch sử; UX/API hiện hành đã bổ sung MAP-01. Không mở PROMO-02 hoặc OTP.</x:v>
      </x:c>
      <x:c r="L712" s="32" t="str">
        <x:v>Không áp dụng có lý do</x:v>
      </x:c>
    </x:row>
    <x:row r="713" ht="145" customHeight="1">
      <x:c r="A713" s="32" t="str">
        <x:v>CHG-MAP-01</x:v>
      </x:c>
      <x:c r="B713" s="32" t="str">
        <x:v>MAP-01</x:v>
      </x:c>
      <x:c r="C713" s="32" t="str">
        <x:v>F01; F03; F04; F05; F20</x:v>
      </x:c>
      <x:c r="D713" s="32" t="str">
        <x:v>PLAN-001</x:v>
      </x:c>
      <x:c r="E713" s="32" t="str">
        <x:v>Chọn địa điểm bằng địa chỉ và bản đồ</x:v>
      </x:c>
      <x:c r="F713" s="32" t="str">
        <x:v>Đã cập nhật</x:v>
      </x:c>
      <x:c r="G713" s="32" t="str">
        <x:v>Có</x:v>
      </x:c>
      <x:c r="H713" s="32" t="str">
        <x:v>Codex</x:v>
      </x:c>
      <x:c r="I713" s="33" t="n">
        <x:v>46302</x:v>
      </x:c>
      <x:c r="J713" s="32" t="str">
        <x:v>API v0.1.7 / MAP-01; local và mirror/ZIP hiện hành đã đối chiếu. Drive cùng ID: Docs/FR đọc lại; raw text có MAP-01; OpenAPI và 2 ZIP tải lại khớp byte. Codex 07/10/2026.</x:v>
      </x:c>
      <x:c r="K713" s="32" t="str"/>
      <x:c r="L713" s="32" t="str">
        <x:v>Hoàn tất</x:v>
      </x:c>
    </x:row>
    <x:row r="714" ht="145" customHeight="1">
      <x:c r="A714" s="32" t="str">
        <x:v>CHG-MAP-01</x:v>
      </x:c>
      <x:c r="B714" s="32" t="str">
        <x:v>MAP-01</x:v>
      </x:c>
      <x:c r="C714" s="32" t="str">
        <x:v>F01; F03; F04; F05; F20</x:v>
      </x:c>
      <x:c r="D714" s="32" t="str">
        <x:v>PLAN-002</x:v>
      </x:c>
      <x:c r="E714" s="32" t="str">
        <x:v>Chọn địa điểm bằng địa chỉ và bản đồ</x:v>
      </x:c>
      <x:c r="F714" s="32" t="str">
        <x:v>Đã cập nhật</x:v>
      </x:c>
      <x:c r="G714" s="32" t="str">
        <x:v>Có</x:v>
      </x:c>
      <x:c r="H714" s="32" t="str">
        <x:v>Codex</x:v>
      </x:c>
      <x:c r="I714" s="33" t="n">
        <x:v>46302</x:v>
      </x:c>
      <x:c r="J714" s="32" t="str">
        <x:v>API v0.1.7 / MAP-01; local và mirror/ZIP hiện hành đã đối chiếu. Drive cùng ID: Docs/FR đọc lại; raw text có MAP-01; OpenAPI và 2 ZIP tải lại khớp byte. Codex 07/10/2026.</x:v>
      </x:c>
      <x:c r="K714" s="32" t="str"/>
      <x:c r="L714" s="32" t="str">
        <x:v>Hoàn tất</x:v>
      </x:c>
    </x:row>
    <x:row r="715" ht="145" customHeight="1">
      <x:c r="A715" s="32" t="str">
        <x:v>CHG-MAP-01</x:v>
      </x:c>
      <x:c r="B715" s="32" t="str">
        <x:v>MAP-01</x:v>
      </x:c>
      <x:c r="C715" s="32" t="str">
        <x:v>F01; F03; F04; F05; F20</x:v>
      </x:c>
      <x:c r="D715" s="32" t="str">
        <x:v>PLAN-003</x:v>
      </x:c>
      <x:c r="E715" s="32" t="str">
        <x:v>Chọn địa điểm bằng địa chỉ và bản đồ</x:v>
      </x:c>
      <x:c r="F715" s="32" t="str">
        <x:v>Đã cập nhật</x:v>
      </x:c>
      <x:c r="G715" s="32" t="str">
        <x:v>Có</x:v>
      </x:c>
      <x:c r="H715" s="32" t="str">
        <x:v>Codex</x:v>
      </x:c>
      <x:c r="I715" s="33" t="n">
        <x:v>46302</x:v>
      </x:c>
      <x:c r="J715" s="32" t="str">
        <x:v>API v0.1.7 / MAP-01; local và mirror/ZIP hiện hành đã đối chiếu. Drive cùng ID: Docs/FR đọc lại; raw text có MAP-01; OpenAPI và 2 ZIP tải lại khớp byte. Codex 07/10/2026.</x:v>
      </x:c>
      <x:c r="K715" s="32" t="str"/>
      <x:c r="L715" s="32" t="str">
        <x:v>Hoàn tất</x:v>
      </x:c>
    </x:row>
    <x:row r="716" ht="145" customHeight="1">
      <x:c r="A716" s="32" t="str">
        <x:v>CHG-MAP-01</x:v>
      </x:c>
      <x:c r="B716" s="32" t="str">
        <x:v>MAP-01</x:v>
      </x:c>
      <x:c r="C716" s="32" t="str">
        <x:v>F01; F03; F04; F05; F20</x:v>
      </x:c>
      <x:c r="D716" s="32" t="str">
        <x:v>PLAN-006</x:v>
      </x:c>
      <x:c r="E716" s="32" t="str">
        <x:v>Chọn địa điểm bằng địa chỉ và bản đồ</x:v>
      </x:c>
      <x:c r="F716" s="32" t="str">
        <x:v>Không áp dụng</x:v>
      </x:c>
      <x:c r="G716" s="32" t="str">
        <x:v>Có</x:v>
      </x:c>
      <x:c r="H716" s="32" t="str">
        <x:v>Codex</x:v>
      </x:c>
      <x:c r="I716" s="33" t="n">
        <x:v>46302</x:v>
      </x:c>
      <x:c r="J716" s="32" t="str">
        <x:v>Đối chiếu Anh huong và cross-search với MAP-01; xem lý do không áp dụng.</x:v>
      </x:c>
      <x:c r="K716" s="32" t="str">
        <x:v>Không đổi mục tiêu BRD, DB/ERD, quyền/trạng thái lưu, realtime/tài chính, ranking và backlog còn lại. Wireframe/prototype cũ giữ lịch sử; UX/API hiện hành đã bổ sung MAP-01. Không mở PROMO-02 hoặc OTP.</x:v>
      </x:c>
      <x:c r="L716" s="32" t="str">
        <x:v>Không áp dụng có lý do</x:v>
      </x:c>
    </x:row>
    <x:row r="717" ht="145" customHeight="1">
      <x:c r="A717" s="32" t="str">
        <x:v>CHG-MAP-01</x:v>
      </x:c>
      <x:c r="B717" s="32" t="str">
        <x:v>MAP-01</x:v>
      </x:c>
      <x:c r="C717" s="32" t="str">
        <x:v>F01; F03; F04; F05; F20</x:v>
      </x:c>
      <x:c r="D717" s="32" t="str">
        <x:v>PLAN-008</x:v>
      </x:c>
      <x:c r="E717" s="32" t="str">
        <x:v>Chọn địa điểm bằng địa chỉ và bản đồ</x:v>
      </x:c>
      <x:c r="F717" s="32" t="str">
        <x:v>Không áp dụng</x:v>
      </x:c>
      <x:c r="G717" s="32" t="str">
        <x:v>Có</x:v>
      </x:c>
      <x:c r="H717" s="32" t="str">
        <x:v>Codex</x:v>
      </x:c>
      <x:c r="I717" s="33" t="n">
        <x:v>46302</x:v>
      </x:c>
      <x:c r="J717" s="32" t="str">
        <x:v>Đối chiếu Anh huong và cross-search với MAP-01; xem lý do không áp dụng.</x:v>
      </x:c>
      <x:c r="K717" s="32" t="str">
        <x:v>Không đổi mục tiêu BRD, DB/ERD, quyền/trạng thái lưu, realtime/tài chính, ranking và backlog còn lại. Wireframe/prototype cũ giữ lịch sử; UX/API hiện hành đã bổ sung MAP-01. Không mở PROMO-02 hoặc OTP.</x:v>
      </x:c>
      <x:c r="L717" s="32" t="str">
        <x:v>Không áp dụng có lý do</x:v>
      </x:c>
    </x:row>
    <x:row r="718" ht="145" customHeight="1">
      <x:c r="A718" s="32" t="str">
        <x:v>CHG-MAP-02</x:v>
      </x:c>
      <x:c r="B718" s="32" t="str">
        <x:v>MAP-02</x:v>
      </x:c>
      <x:c r="C718" s="32" t="str">
        <x:v>F04; F05</x:v>
      </x:c>
      <x:c r="D718" s="32" t="str">
        <x:v>DOC-002</x:v>
      </x:c>
      <x:c r="E718" s="32" t="str">
        <x:v>Ghim địa điểm công khai trong kết quả tìm kiếm</x:v>
      </x:c>
      <x:c r="F718" s="32" t="str">
        <x:v>Đã cập nhật</x:v>
      </x:c>
      <x:c r="G718" s="32" t="str">
        <x:v>Có</x:v>
      </x:c>
      <x:c r="H718" s="32" t="str">
        <x:v>Codex</x:v>
      </x:c>
      <x:c r="I718" s="33" t="n">
        <x:v>46302</x:v>
      </x:c>
      <x:c r="J718" s="32" t="str">
        <x:v>API v0.1.8 / MAP-02; local và mirror/ZIP hiện hành đã đối chiếu. Drive cùng ID: Docs/FR đọc lại; raw text có MAP-02; OpenAPI và 2 ZIP tải lại khớp byte. Codex 07/10/2026.</x:v>
      </x:c>
      <x:c r="K718" s="32" t="str"/>
      <x:c r="L718" s="32" t="str">
        <x:v>Hoàn tất</x:v>
      </x:c>
    </x:row>
    <x:row r="719" ht="145" customHeight="1">
      <x:c r="A719" s="32" t="str">
        <x:v>CHG-MAP-02</x:v>
      </x:c>
      <x:c r="B719" s="32" t="str">
        <x:v>MAP-02</x:v>
      </x:c>
      <x:c r="C719" s="32" t="str">
        <x:v>F04; F05</x:v>
      </x:c>
      <x:c r="D719" s="32" t="str">
        <x:v>DOC-003</x:v>
      </x:c>
      <x:c r="E719" s="32" t="str">
        <x:v>Ghim địa điểm công khai trong kết quả tìm kiếm</x:v>
      </x:c>
      <x:c r="F719" s="32" t="str">
        <x:v>Không áp dụng</x:v>
      </x:c>
      <x:c r="G719" s="32" t="str">
        <x:v>Có</x:v>
      </x:c>
      <x:c r="H719" s="32" t="str">
        <x:v>Codex</x:v>
      </x:c>
      <x:c r="I719" s="33" t="n">
        <x:v>46302</x:v>
      </x:c>
      <x:c r="J719" s="32" t="str">
        <x:v>Đối chiếu Anh huong và cross-search với MAP-02; xem lý do không áp dụng.</x:v>
      </x:c>
      <x:c r="K719" s="32" t="str">
        <x:v>Không đổi mục tiêu BRD, DB/ERD, quyền/trạng thái lưu, realtime/tài chính, ranking và backlog còn lại. Wireframe/prototype cũ giữ lịch sử; UX/API hiện hành đã bổ sung MAP-02. Không mở PROMO-02 hoặc OTP.</x:v>
      </x:c>
      <x:c r="L719" s="32" t="str">
        <x:v>Không áp dụng có lý do</x:v>
      </x:c>
    </x:row>
    <x:row r="720" ht="145" customHeight="1">
      <x:c r="A720" s="32" t="str">
        <x:v>CHG-MAP-02</x:v>
      </x:c>
      <x:c r="B720" s="32" t="str">
        <x:v>MAP-02</x:v>
      </x:c>
      <x:c r="C720" s="32" t="str">
        <x:v>F04; F05</x:v>
      </x:c>
      <x:c r="D720" s="32" t="str">
        <x:v>DOC-004</x:v>
      </x:c>
      <x:c r="E720" s="32" t="str">
        <x:v>Ghim địa điểm công khai trong kết quả tìm kiếm</x:v>
      </x:c>
      <x:c r="F720" s="32" t="str">
        <x:v>Đã cập nhật</x:v>
      </x:c>
      <x:c r="G720" s="32" t="str">
        <x:v>Có</x:v>
      </x:c>
      <x:c r="H720" s="32" t="str">
        <x:v>Codex</x:v>
      </x:c>
      <x:c r="I720" s="33" t="n">
        <x:v>46302</x:v>
      </x:c>
      <x:c r="J720" s="32" t="str">
        <x:v>API v0.1.8 / MAP-02; local và mirror/ZIP hiện hành đã đối chiếu. Drive cùng ID: Docs/FR đọc lại; raw text có MAP-02; OpenAPI và 2 ZIP tải lại khớp byte. Codex 07/10/2026.</x:v>
      </x:c>
      <x:c r="K720" s="32" t="str"/>
      <x:c r="L720" s="32" t="str">
        <x:v>Hoàn tất</x:v>
      </x:c>
    </x:row>
    <x:row r="721" ht="145" customHeight="1">
      <x:c r="A721" s="32" t="str">
        <x:v>CHG-MAP-02</x:v>
      </x:c>
      <x:c r="B721" s="32" t="str">
        <x:v>MAP-02</x:v>
      </x:c>
      <x:c r="C721" s="32" t="str">
        <x:v>F04; F05</x:v>
      </x:c>
      <x:c r="D721" s="32" t="str">
        <x:v>DOC-005</x:v>
      </x:c>
      <x:c r="E721" s="32" t="str">
        <x:v>Ghim địa điểm công khai trong kết quả tìm kiếm</x:v>
      </x:c>
      <x:c r="F721" s="32" t="str">
        <x:v>Đã cập nhật</x:v>
      </x:c>
      <x:c r="G721" s="32" t="str">
        <x:v>Có</x:v>
      </x:c>
      <x:c r="H721" s="32" t="str">
        <x:v>Codex</x:v>
      </x:c>
      <x:c r="I721" s="33" t="n">
        <x:v>46302</x:v>
      </x:c>
      <x:c r="J721" s="32" t="str">
        <x:v>API v0.1.8 / MAP-02; local và mirror/ZIP hiện hành đã đối chiếu. Drive cùng ID: Docs/FR đọc lại; raw text có MAP-02; OpenAPI và 2 ZIP tải lại khớp byte. Codex 07/10/2026.</x:v>
      </x:c>
      <x:c r="K721" s="32" t="str"/>
      <x:c r="L721" s="32" t="str">
        <x:v>Hoàn tất</x:v>
      </x:c>
    </x:row>
    <x:row r="722" ht="145" customHeight="1">
      <x:c r="A722" s="32" t="str">
        <x:v>CHG-MAP-02</x:v>
      </x:c>
      <x:c r="B722" s="32" t="str">
        <x:v>MAP-02</x:v>
      </x:c>
      <x:c r="C722" s="32" t="str">
        <x:v>F04; F05</x:v>
      </x:c>
      <x:c r="D722" s="32" t="str">
        <x:v>DOC-006</x:v>
      </x:c>
      <x:c r="E722" s="32" t="str">
        <x:v>Ghim địa điểm công khai trong kết quả tìm kiếm</x:v>
      </x:c>
      <x:c r="F722" s="32" t="str">
        <x:v>Đã cập nhật</x:v>
      </x:c>
      <x:c r="G722" s="32" t="str">
        <x:v>Có</x:v>
      </x:c>
      <x:c r="H722" s="32" t="str">
        <x:v>Codex</x:v>
      </x:c>
      <x:c r="I722" s="33" t="n">
        <x:v>46302</x:v>
      </x:c>
      <x:c r="J722" s="32" t="str">
        <x:v>API v0.1.8 / MAP-02; local và mirror/ZIP hiện hành đã đối chiếu. Drive cùng ID: Docs/FR đọc lại; raw text có MAP-02; OpenAPI và 2 ZIP tải lại khớp byte. Codex 07/10/2026.</x:v>
      </x:c>
      <x:c r="K722" s="32" t="str"/>
      <x:c r="L722" s="32" t="str">
        <x:v>Hoàn tất</x:v>
      </x:c>
    </x:row>
    <x:row r="723" ht="145" customHeight="1">
      <x:c r="A723" s="32" t="str">
        <x:v>CHG-MAP-02</x:v>
      </x:c>
      <x:c r="B723" s="32" t="str">
        <x:v>MAP-02</x:v>
      </x:c>
      <x:c r="C723" s="32" t="str">
        <x:v>F04; F05</x:v>
      </x:c>
      <x:c r="D723" s="32" t="str">
        <x:v>DOC-007</x:v>
      </x:c>
      <x:c r="E723" s="32" t="str">
        <x:v>Ghim địa điểm công khai trong kết quả tìm kiếm</x:v>
      </x:c>
      <x:c r="F723" s="32" t="str">
        <x:v>Đã cập nhật</x:v>
      </x:c>
      <x:c r="G723" s="32" t="str">
        <x:v>Có</x:v>
      </x:c>
      <x:c r="H723" s="32" t="str">
        <x:v>Codex</x:v>
      </x:c>
      <x:c r="I723" s="33" t="n">
        <x:v>46302</x:v>
      </x:c>
      <x:c r="J723" s="32" t="str">
        <x:v>API v0.1.8 / MAP-02; local và mirror/ZIP hiện hành đã đối chiếu. Drive cùng ID: Docs/FR đọc lại; raw text có MAP-02; OpenAPI và 2 ZIP tải lại khớp byte. Codex 07/10/2026.</x:v>
      </x:c>
      <x:c r="K723" s="32" t="str"/>
      <x:c r="L723" s="32" t="str">
        <x:v>Hoàn tất</x:v>
      </x:c>
    </x:row>
    <x:row r="724" ht="145" customHeight="1">
      <x:c r="A724" s="32" t="str">
        <x:v>CHG-MAP-02</x:v>
      </x:c>
      <x:c r="B724" s="32" t="str">
        <x:v>MAP-02</x:v>
      </x:c>
      <x:c r="C724" s="32" t="str">
        <x:v>F04; F05</x:v>
      </x:c>
      <x:c r="D724" s="32" t="str">
        <x:v>DOC-008</x:v>
      </x:c>
      <x:c r="E724" s="32" t="str">
        <x:v>Ghim địa điểm công khai trong kết quả tìm kiếm</x:v>
      </x:c>
      <x:c r="F724" s="32" t="str">
        <x:v>Không áp dụng</x:v>
      </x:c>
      <x:c r="G724" s="32" t="str">
        <x:v>Có</x:v>
      </x:c>
      <x:c r="H724" s="32" t="str">
        <x:v>Codex</x:v>
      </x:c>
      <x:c r="I724" s="33" t="n">
        <x:v>46302</x:v>
      </x:c>
      <x:c r="J724" s="32" t="str">
        <x:v>Đối chiếu Anh huong và cross-search với MAP-02; xem lý do không áp dụng.</x:v>
      </x:c>
      <x:c r="K724" s="32" t="str">
        <x:v>Không đổi mục tiêu BRD, DB/ERD, quyền/trạng thái lưu, realtime/tài chính, ranking và backlog còn lại. Wireframe/prototype cũ giữ lịch sử; UX/API hiện hành đã bổ sung MAP-02. Không mở PROMO-02 hoặc OTP.</x:v>
      </x:c>
      <x:c r="L724" s="32" t="str">
        <x:v>Không áp dụng có lý do</x:v>
      </x:c>
    </x:row>
    <x:row r="725" ht="145" customHeight="1">
      <x:c r="A725" s="32" t="str">
        <x:v>CHG-MAP-02</x:v>
      </x:c>
      <x:c r="B725" s="32" t="str">
        <x:v>MAP-02</x:v>
      </x:c>
      <x:c r="C725" s="32" t="str">
        <x:v>F04; F05</x:v>
      </x:c>
      <x:c r="D725" s="32" t="str">
        <x:v>DOC-012</x:v>
      </x:c>
      <x:c r="E725" s="32" t="str">
        <x:v>Ghim địa điểm công khai trong kết quả tìm kiếm</x:v>
      </x:c>
      <x:c r="F725" s="32" t="str">
        <x:v>Đã cập nhật</x:v>
      </x:c>
      <x:c r="G725" s="32" t="str">
        <x:v>Có</x:v>
      </x:c>
      <x:c r="H725" s="32" t="str">
        <x:v>Codex</x:v>
      </x:c>
      <x:c r="I725" s="33" t="n">
        <x:v>46302</x:v>
      </x:c>
      <x:c r="J725" s="32" t="str">
        <x:v>API v0.1.8 / MAP-02; local và mirror/ZIP hiện hành đã đối chiếu. Drive cùng ID: Docs/FR đọc lại; raw text có MAP-02; OpenAPI và 2 ZIP tải lại khớp byte. Codex 07/10/2026.</x:v>
      </x:c>
      <x:c r="K725" s="32" t="str"/>
      <x:c r="L725" s="32" t="str">
        <x:v>Hoàn tất</x:v>
      </x:c>
    </x:row>
    <x:row r="726" ht="145" customHeight="1">
      <x:c r="A726" s="32" t="str">
        <x:v>CHG-MAP-02</x:v>
      </x:c>
      <x:c r="B726" s="32" t="str">
        <x:v>MAP-02</x:v>
      </x:c>
      <x:c r="C726" s="32" t="str">
        <x:v>F04; F05</x:v>
      </x:c>
      <x:c r="D726" s="32" t="str">
        <x:v>DOC-013</x:v>
      </x:c>
      <x:c r="E726" s="32" t="str">
        <x:v>Ghim địa điểm công khai trong kết quả tìm kiếm</x:v>
      </x:c>
      <x:c r="F726" s="32" t="str">
        <x:v>Đã cập nhật</x:v>
      </x:c>
      <x:c r="G726" s="32" t="str">
        <x:v>Có</x:v>
      </x:c>
      <x:c r="H726" s="32" t="str">
        <x:v>Codex</x:v>
      </x:c>
      <x:c r="I726" s="33" t="n">
        <x:v>46302</x:v>
      </x:c>
      <x:c r="J726" s="32" t="str">
        <x:v>API v0.1.8 / MAP-02; local và mirror/ZIP hiện hành đã đối chiếu. Drive cùng ID: Docs/FR đọc lại; raw text có MAP-02; OpenAPI và 2 ZIP tải lại khớp byte. Codex 07/10/2026.</x:v>
      </x:c>
      <x:c r="K726" s="32" t="str"/>
      <x:c r="L726" s="32" t="str">
        <x:v>Hoàn tất</x:v>
      </x:c>
    </x:row>
    <x:row r="727" ht="145" customHeight="1">
      <x:c r="A727" s="32" t="str">
        <x:v>CHG-MAP-02</x:v>
      </x:c>
      <x:c r="B727" s="32" t="str">
        <x:v>MAP-02</x:v>
      </x:c>
      <x:c r="C727" s="32" t="str">
        <x:v>F04; F05</x:v>
      </x:c>
      <x:c r="D727" s="32" t="str">
        <x:v>DOC-014</x:v>
      </x:c>
      <x:c r="E727" s="32" t="str">
        <x:v>Ghim địa điểm công khai trong kết quả tìm kiếm</x:v>
      </x:c>
      <x:c r="F727" s="32" t="str">
        <x:v>Đã cập nhật</x:v>
      </x:c>
      <x:c r="G727" s="32" t="str">
        <x:v>Có</x:v>
      </x:c>
      <x:c r="H727" s="32" t="str">
        <x:v>Codex</x:v>
      </x:c>
      <x:c r="I727" s="33" t="n">
        <x:v>46302</x:v>
      </x:c>
      <x:c r="J727" s="32" t="str">
        <x:v>API v0.1.8 / MAP-02; local và mirror/ZIP hiện hành đã đối chiếu. Drive cùng ID: Docs/FR đọc lại; raw text có MAP-02; OpenAPI và 2 ZIP tải lại khớp byte. Codex 07/10/2026.</x:v>
      </x:c>
      <x:c r="K727" s="32" t="str"/>
      <x:c r="L727" s="32" t="str">
        <x:v>Hoàn tất</x:v>
      </x:c>
    </x:row>
    <x:row r="728" ht="145" customHeight="1">
      <x:c r="A728" s="32" t="str">
        <x:v>CHG-MAP-02</x:v>
      </x:c>
      <x:c r="B728" s="32" t="str">
        <x:v>MAP-02</x:v>
      </x:c>
      <x:c r="C728" s="32" t="str">
        <x:v>F04; F05</x:v>
      </x:c>
      <x:c r="D728" s="32" t="str">
        <x:v>DOC-015</x:v>
      </x:c>
      <x:c r="E728" s="32" t="str">
        <x:v>Ghim địa điểm công khai trong kết quả tìm kiếm</x:v>
      </x:c>
      <x:c r="F728" s="32" t="str">
        <x:v>Đã cập nhật</x:v>
      </x:c>
      <x:c r="G728" s="32" t="str">
        <x:v>Có</x:v>
      </x:c>
      <x:c r="H728" s="32" t="str">
        <x:v>Codex</x:v>
      </x:c>
      <x:c r="I728" s="33" t="n">
        <x:v>46302</x:v>
      </x:c>
      <x:c r="J728" s="32" t="str">
        <x:v>API v0.1.8 / MAP-02; local và mirror/ZIP hiện hành đã đối chiếu. Drive cùng ID: Docs/FR đọc lại; raw text có MAP-02; OpenAPI và 2 ZIP tải lại khớp byte. Codex 07/10/2026.</x:v>
      </x:c>
      <x:c r="K728" s="32" t="str"/>
      <x:c r="L728" s="32" t="str">
        <x:v>Hoàn tất</x:v>
      </x:c>
    </x:row>
    <x:row r="729" ht="145" customHeight="1">
      <x:c r="A729" s="32" t="str">
        <x:v>CHG-MAP-02</x:v>
      </x:c>
      <x:c r="B729" s="32" t="str">
        <x:v>MAP-02</x:v>
      </x:c>
      <x:c r="C729" s="32" t="str">
        <x:v>F04; F05</x:v>
      </x:c>
      <x:c r="D729" s="32" t="str">
        <x:v>DOC-016</x:v>
      </x:c>
      <x:c r="E729" s="32" t="str">
        <x:v>Ghim địa điểm công khai trong kết quả tìm kiếm</x:v>
      </x:c>
      <x:c r="F729" s="32" t="str">
        <x:v>Đã cập nhật</x:v>
      </x:c>
      <x:c r="G729" s="32" t="str">
        <x:v>Có</x:v>
      </x:c>
      <x:c r="H729" s="32" t="str">
        <x:v>Codex</x:v>
      </x:c>
      <x:c r="I729" s="33" t="n">
        <x:v>46302</x:v>
      </x:c>
      <x:c r="J729" s="32" t="str">
        <x:v>API v0.1.8 / MAP-02; local và mirror/ZIP hiện hành đã đối chiếu. Drive cùng ID: Docs/FR đọc lại; raw text có MAP-02; OpenAPI và 2 ZIP tải lại khớp byte. Codex 07/10/2026.</x:v>
      </x:c>
      <x:c r="K729" s="32" t="str"/>
      <x:c r="L729" s="32" t="str">
        <x:v>Hoàn tất</x:v>
      </x:c>
    </x:row>
    <x:row r="730" ht="145" customHeight="1">
      <x:c r="A730" s="32" t="str">
        <x:v>CHG-MAP-02</x:v>
      </x:c>
      <x:c r="B730" s="32" t="str">
        <x:v>MAP-02</x:v>
      </x:c>
      <x:c r="C730" s="32" t="str">
        <x:v>F04; F05</x:v>
      </x:c>
      <x:c r="D730" s="32" t="str">
        <x:v>DOC-017</x:v>
      </x:c>
      <x:c r="E730" s="32" t="str">
        <x:v>Ghim địa điểm công khai trong kết quả tìm kiếm</x:v>
      </x:c>
      <x:c r="F730" s="32" t="str">
        <x:v>Không áp dụng</x:v>
      </x:c>
      <x:c r="G730" s="32" t="str">
        <x:v>Có</x:v>
      </x:c>
      <x:c r="H730" s="32" t="str">
        <x:v>Codex</x:v>
      </x:c>
      <x:c r="I730" s="33" t="n">
        <x:v>46302</x:v>
      </x:c>
      <x:c r="J730" s="32" t="str">
        <x:v>Đối chiếu Anh huong và cross-search với MAP-02; xem lý do không áp dụng.</x:v>
      </x:c>
      <x:c r="K730" s="32" t="str">
        <x:v>Giữ nguyên bản tên v0.1: auto-review từ chối ghi Drive vì khả năng là lịch sử. MAP-02 có trong nguồn architecture.json, HTML DOC-016 và ZIP DOC-018 hiện hành.</x:v>
      </x:c>
      <x:c r="L730" s="32" t="str">
        <x:v>Không áp dụng có lý do</x:v>
      </x:c>
    </x:row>
    <x:row r="731" ht="145" customHeight="1">
      <x:c r="A731" s="32" t="str">
        <x:v>CHG-MAP-02</x:v>
      </x:c>
      <x:c r="B731" s="32" t="str">
        <x:v>MAP-02</x:v>
      </x:c>
      <x:c r="C731" s="32" t="str">
        <x:v>F04; F05</x:v>
      </x:c>
      <x:c r="D731" s="32" t="str">
        <x:v>DOC-018</x:v>
      </x:c>
      <x:c r="E731" s="32" t="str">
        <x:v>Ghim địa điểm công khai trong kết quả tìm kiếm</x:v>
      </x:c>
      <x:c r="F731" s="32" t="str">
        <x:v>Đã cập nhật</x:v>
      </x:c>
      <x:c r="G731" s="32" t="str">
        <x:v>Có</x:v>
      </x:c>
      <x:c r="H731" s="32" t="str">
        <x:v>Codex</x:v>
      </x:c>
      <x:c r="I731" s="33" t="n">
        <x:v>46302</x:v>
      </x:c>
      <x:c r="J731" s="32" t="str">
        <x:v>API v0.1.8 / MAP-02; local và mirror/ZIP hiện hành đã đối chiếu. Drive cùng ID: Docs/FR đọc lại; raw text có MAP-02; OpenAPI và 2 ZIP tải lại khớp byte. Codex 07/10/2026.</x:v>
      </x:c>
      <x:c r="K731" s="32" t="str"/>
      <x:c r="L731" s="32" t="str">
        <x:v>Hoàn tất</x:v>
      </x:c>
    </x:row>
    <x:row r="732" ht="145" customHeight="1">
      <x:c r="A732" s="32" t="str">
        <x:v>CHG-MAP-02</x:v>
      </x:c>
      <x:c r="B732" s="32" t="str">
        <x:v>MAP-02</x:v>
      </x:c>
      <x:c r="C732" s="32" t="str">
        <x:v>F04; F05</x:v>
      </x:c>
      <x:c r="D732" s="32" t="str">
        <x:v>DOC-025</x:v>
      </x:c>
      <x:c r="E732" s="32" t="str">
        <x:v>Ghim địa điểm công khai trong kết quả tìm kiếm</x:v>
      </x:c>
      <x:c r="F732" s="32" t="str">
        <x:v>Không áp dụng</x:v>
      </x:c>
      <x:c r="G732" s="32" t="str">
        <x:v>Có</x:v>
      </x:c>
      <x:c r="H732" s="32" t="str">
        <x:v>Codex</x:v>
      </x:c>
      <x:c r="I732" s="33" t="n">
        <x:v>46302</x:v>
      </x:c>
      <x:c r="J732" s="32" t="str">
        <x:v>Đối chiếu Anh huong và cross-search với MAP-02; xem lý do không áp dụng.</x:v>
      </x:c>
      <x:c r="K732" s="32" t="str">
        <x:v>Không đổi mục tiêu BRD, DB/ERD, quyền/trạng thái lưu, realtime/tài chính, ranking và backlog còn lại. Wireframe/prototype cũ giữ lịch sử; UX/API hiện hành đã bổ sung MAP-02. Không mở PROMO-02 hoặc OTP.</x:v>
      </x:c>
      <x:c r="L732" s="32" t="str">
        <x:v>Không áp dụng có lý do</x:v>
      </x:c>
    </x:row>
    <x:row r="733" ht="145" customHeight="1">
      <x:c r="A733" s="32" t="str">
        <x:v>CHG-MAP-02</x:v>
      </x:c>
      <x:c r="B733" s="32" t="str">
        <x:v>MAP-02</x:v>
      </x:c>
      <x:c r="C733" s="32" t="str">
        <x:v>F04; F05</x:v>
      </x:c>
      <x:c r="D733" s="32" t="str">
        <x:v>DOC-026</x:v>
      </x:c>
      <x:c r="E733" s="32" t="str">
        <x:v>Ghim địa điểm công khai trong kết quả tìm kiếm</x:v>
      </x:c>
      <x:c r="F733" s="32" t="str">
        <x:v>Không áp dụng</x:v>
      </x:c>
      <x:c r="G733" s="32" t="str">
        <x:v>Có</x:v>
      </x:c>
      <x:c r="H733" s="32" t="str">
        <x:v>Codex</x:v>
      </x:c>
      <x:c r="I733" s="33" t="n">
        <x:v>46302</x:v>
      </x:c>
      <x:c r="J733" s="32" t="str">
        <x:v>Đối chiếu Anh huong và cross-search với MAP-02; xem lý do không áp dụng.</x:v>
      </x:c>
      <x:c r="K733" s="32" t="str">
        <x:v>Không đổi mục tiêu BRD, DB/ERD, quyền/trạng thái lưu, realtime/tài chính, ranking và backlog còn lại. Wireframe/prototype cũ giữ lịch sử; UX/API hiện hành đã bổ sung MAP-02. Không mở PROMO-02 hoặc OTP.</x:v>
      </x:c>
      <x:c r="L733" s="32" t="str">
        <x:v>Không áp dụng có lý do</x:v>
      </x:c>
    </x:row>
    <x:row r="734" ht="145" customHeight="1">
      <x:c r="A734" s="32" t="str">
        <x:v>CHG-MAP-02</x:v>
      </x:c>
      <x:c r="B734" s="32" t="str">
        <x:v>MAP-02</x:v>
      </x:c>
      <x:c r="C734" s="32" t="str">
        <x:v>F04; F05</x:v>
      </x:c>
      <x:c r="D734" s="32" t="str">
        <x:v>DOC-027</x:v>
      </x:c>
      <x:c r="E734" s="32" t="str">
        <x:v>Ghim địa điểm công khai trong kết quả tìm kiếm</x:v>
      </x:c>
      <x:c r="F734" s="32" t="str">
        <x:v>Không áp dụng</x:v>
      </x:c>
      <x:c r="G734" s="32" t="str">
        <x:v>Có</x:v>
      </x:c>
      <x:c r="H734" s="32" t="str">
        <x:v>Codex</x:v>
      </x:c>
      <x:c r="I734" s="33" t="n">
        <x:v>46302</x:v>
      </x:c>
      <x:c r="J734" s="32" t="str">
        <x:v>Đối chiếu Anh huong và cross-search với MAP-02; xem lý do không áp dụng.</x:v>
      </x:c>
      <x:c r="K734" s="32" t="str">
        <x:v>Không đổi mục tiêu BRD, DB/ERD, quyền/trạng thái lưu, realtime/tài chính, ranking và backlog còn lại. Wireframe/prototype cũ giữ lịch sử; UX/API hiện hành đã bổ sung MAP-02. Không mở PROMO-02 hoặc OTP.</x:v>
      </x:c>
      <x:c r="L734" s="32" t="str">
        <x:v>Không áp dụng có lý do</x:v>
      </x:c>
    </x:row>
    <x:row r="735" ht="145" customHeight="1">
      <x:c r="A735" s="32" t="str">
        <x:v>CHG-MAP-02</x:v>
      </x:c>
      <x:c r="B735" s="32" t="str">
        <x:v>MAP-02</x:v>
      </x:c>
      <x:c r="C735" s="32" t="str">
        <x:v>F04; F05</x:v>
      </x:c>
      <x:c r="D735" s="32" t="str">
        <x:v>DOC-028</x:v>
      </x:c>
      <x:c r="E735" s="32" t="str">
        <x:v>Ghim địa điểm công khai trong kết quả tìm kiếm</x:v>
      </x:c>
      <x:c r="F735" s="32" t="str">
        <x:v>Không áp dụng</x:v>
      </x:c>
      <x:c r="G735" s="32" t="str">
        <x:v>Có</x:v>
      </x:c>
      <x:c r="H735" s="32" t="str">
        <x:v>Codex</x:v>
      </x:c>
      <x:c r="I735" s="33" t="n">
        <x:v>46302</x:v>
      </x:c>
      <x:c r="J735" s="32" t="str">
        <x:v>Đối chiếu Anh huong và cross-search với MAP-02; xem lý do không áp dụng.</x:v>
      </x:c>
      <x:c r="K735" s="32" t="str">
        <x:v>Không đổi mục tiêu BRD, DB/ERD, quyền/trạng thái lưu, realtime/tài chính, ranking và backlog còn lại. Wireframe/prototype cũ giữ lịch sử; UX/API hiện hành đã bổ sung MAP-02. Không mở PROMO-02 hoặc OTP.</x:v>
      </x:c>
      <x:c r="L735" s="32" t="str">
        <x:v>Không áp dụng có lý do</x:v>
      </x:c>
    </x:row>
    <x:row r="736" ht="145" customHeight="1">
      <x:c r="A736" s="32" t="str">
        <x:v>CHG-MAP-02</x:v>
      </x:c>
      <x:c r="B736" s="32" t="str">
        <x:v>MAP-02</x:v>
      </x:c>
      <x:c r="C736" s="32" t="str">
        <x:v>F04; F05</x:v>
      </x:c>
      <x:c r="D736" s="32" t="str">
        <x:v>DOC-029</x:v>
      </x:c>
      <x:c r="E736" s="32" t="str">
        <x:v>Ghim địa điểm công khai trong kết quả tìm kiếm</x:v>
      </x:c>
      <x:c r="F736" s="32" t="str">
        <x:v>Không áp dụng</x:v>
      </x:c>
      <x:c r="G736" s="32" t="str">
        <x:v>Có</x:v>
      </x:c>
      <x:c r="H736" s="32" t="str">
        <x:v>Codex</x:v>
      </x:c>
      <x:c r="I736" s="33" t="n">
        <x:v>46302</x:v>
      </x:c>
      <x:c r="J736" s="32" t="str">
        <x:v>Đối chiếu Anh huong và cross-search với MAP-02; xem lý do không áp dụng.</x:v>
      </x:c>
      <x:c r="K736" s="32" t="str">
        <x:v>Không đổi mục tiêu BRD, DB/ERD, quyền/trạng thái lưu, realtime/tài chính, ranking và backlog còn lại. Wireframe/prototype cũ giữ lịch sử; UX/API hiện hành đã bổ sung MAP-02. Không mở PROMO-02 hoặc OTP.</x:v>
      </x:c>
      <x:c r="L736" s="32" t="str">
        <x:v>Không áp dụng có lý do</x:v>
      </x:c>
    </x:row>
    <x:row r="737" ht="145" customHeight="1">
      <x:c r="A737" s="32" t="str">
        <x:v>CHG-MAP-02</x:v>
      </x:c>
      <x:c r="B737" s="32" t="str">
        <x:v>MAP-02</x:v>
      </x:c>
      <x:c r="C737" s="32" t="str">
        <x:v>F04; F05</x:v>
      </x:c>
      <x:c r="D737" s="32" t="str">
        <x:v>DOC-030</x:v>
      </x:c>
      <x:c r="E737" s="32" t="str">
        <x:v>Ghim địa điểm công khai trong kết quả tìm kiếm</x:v>
      </x:c>
      <x:c r="F737" s="32" t="str">
        <x:v>Đã cập nhật</x:v>
      </x:c>
      <x:c r="G737" s="32" t="str">
        <x:v>Có</x:v>
      </x:c>
      <x:c r="H737" s="32" t="str">
        <x:v>Codex</x:v>
      </x:c>
      <x:c r="I737" s="33" t="n">
        <x:v>46302</x:v>
      </x:c>
      <x:c r="J737" s="32" t="str">
        <x:v>API v0.1.8 / MAP-02; local và mirror/ZIP hiện hành đã đối chiếu. Drive cùng ID: Docs/FR đọc lại; raw text có MAP-02; OpenAPI và 2 ZIP tải lại khớp byte. Codex 07/10/2026.</x:v>
      </x:c>
      <x:c r="K737" s="32" t="str"/>
      <x:c r="L737" s="32" t="str">
        <x:v>Hoàn tất</x:v>
      </x:c>
    </x:row>
    <x:row r="738" ht="145" customHeight="1">
      <x:c r="A738" s="32" t="str">
        <x:v>CHG-MAP-02</x:v>
      </x:c>
      <x:c r="B738" s="32" t="str">
        <x:v>MAP-02</x:v>
      </x:c>
      <x:c r="C738" s="32" t="str">
        <x:v>F04; F05</x:v>
      </x:c>
      <x:c r="D738" s="32" t="str">
        <x:v>DOC-031</x:v>
      </x:c>
      <x:c r="E738" s="32" t="str">
        <x:v>Ghim địa điểm công khai trong kết quả tìm kiếm</x:v>
      </x:c>
      <x:c r="F738" s="32" t="str">
        <x:v>Đã cập nhật</x:v>
      </x:c>
      <x:c r="G738" s="32" t="str">
        <x:v>Có</x:v>
      </x:c>
      <x:c r="H738" s="32" t="str">
        <x:v>Codex</x:v>
      </x:c>
      <x:c r="I738" s="33" t="n">
        <x:v>46302</x:v>
      </x:c>
      <x:c r="J738" s="32" t="str">
        <x:v>API v0.1.8 / MAP-02; local và mirror/ZIP hiện hành đã đối chiếu. Drive cùng ID: Docs/FR đọc lại; raw text có MAP-02; OpenAPI và 2 ZIP tải lại khớp byte. Codex 07/10/2026.</x:v>
      </x:c>
      <x:c r="K738" s="32" t="str"/>
      <x:c r="L738" s="32" t="str">
        <x:v>Hoàn tất</x:v>
      </x:c>
    </x:row>
    <x:row r="739" ht="145" customHeight="1">
      <x:c r="A739" s="32" t="str">
        <x:v>CHG-MAP-02</x:v>
      </x:c>
      <x:c r="B739" s="32" t="str">
        <x:v>MAP-02</x:v>
      </x:c>
      <x:c r="C739" s="32" t="str">
        <x:v>F04; F05</x:v>
      </x:c>
      <x:c r="D739" s="32" t="str">
        <x:v>DOC-033</x:v>
      </x:c>
      <x:c r="E739" s="32" t="str">
        <x:v>Ghim địa điểm công khai trong kết quả tìm kiếm</x:v>
      </x:c>
      <x:c r="F739" s="32" t="str">
        <x:v>Không áp dụng</x:v>
      </x:c>
      <x:c r="G739" s="32" t="str">
        <x:v>Có</x:v>
      </x:c>
      <x:c r="H739" s="32" t="str">
        <x:v>Codex</x:v>
      </x:c>
      <x:c r="I739" s="33" t="n">
        <x:v>46302</x:v>
      </x:c>
      <x:c r="J739" s="32" t="str">
        <x:v>Đối chiếu Anh huong và cross-search với MAP-02; xem lý do không áp dụng.</x:v>
      </x:c>
      <x:c r="K739" s="32" t="str">
        <x:v>Không đổi mục tiêu BRD, DB/ERD, quyền/trạng thái lưu, realtime/tài chính, ranking và backlog còn lại. Wireframe/prototype cũ giữ lịch sử; UX/API hiện hành đã bổ sung MAP-02. Không mở PROMO-02 hoặc OTP.</x:v>
      </x:c>
      <x:c r="L739" s="32" t="str">
        <x:v>Không áp dụng có lý do</x:v>
      </x:c>
    </x:row>
    <x:row r="740" ht="145" customHeight="1">
      <x:c r="A740" s="32" t="str">
        <x:v>CHG-MAP-02</x:v>
      </x:c>
      <x:c r="B740" s="32" t="str">
        <x:v>MAP-02</x:v>
      </x:c>
      <x:c r="C740" s="32" t="str">
        <x:v>F04; F05</x:v>
      </x:c>
      <x:c r="D740" s="32" t="str">
        <x:v>DOC-037</x:v>
      </x:c>
      <x:c r="E740" s="32" t="str">
        <x:v>Ghim địa điểm công khai trong kết quả tìm kiếm</x:v>
      </x:c>
      <x:c r="F740" s="32" t="str">
        <x:v>Đã cập nhật</x:v>
      </x:c>
      <x:c r="G740" s="32" t="str">
        <x:v>Có</x:v>
      </x:c>
      <x:c r="H740" s="32" t="str">
        <x:v>Codex</x:v>
      </x:c>
      <x:c r="I740" s="33" t="n">
        <x:v>46302</x:v>
      </x:c>
      <x:c r="J740" s="32" t="str">
        <x:v>API v0.1.8 / MAP-02; local và mirror/ZIP hiện hành đã đối chiếu. Drive cùng ID: Docs/FR đọc lại; raw text có MAP-02; OpenAPI và 2 ZIP tải lại khớp byte. Codex 07/10/2026.</x:v>
      </x:c>
      <x:c r="K740" s="32" t="str"/>
      <x:c r="L740" s="32" t="str">
        <x:v>Hoàn tất</x:v>
      </x:c>
    </x:row>
    <x:row r="741" ht="145" customHeight="1">
      <x:c r="A741" s="32" t="str">
        <x:v>CHG-MAP-02</x:v>
      </x:c>
      <x:c r="B741" s="32" t="str">
        <x:v>MAP-02</x:v>
      </x:c>
      <x:c r="C741" s="32" t="str">
        <x:v>F04; F05</x:v>
      </x:c>
      <x:c r="D741" s="32" t="str">
        <x:v>DOC-038</x:v>
      </x:c>
      <x:c r="E741" s="32" t="str">
        <x:v>Ghim địa điểm công khai trong kết quả tìm kiếm</x:v>
      </x:c>
      <x:c r="F741" s="32" t="str">
        <x:v>Không áp dụng</x:v>
      </x:c>
      <x:c r="G741" s="32" t="str">
        <x:v>Có</x:v>
      </x:c>
      <x:c r="H741" s="32" t="str">
        <x:v>Codex</x:v>
      </x:c>
      <x:c r="I741" s="33" t="n">
        <x:v>46302</x:v>
      </x:c>
      <x:c r="J741" s="32" t="str">
        <x:v>Đối chiếu Anh huong và cross-search với MAP-02; xem lý do không áp dụng.</x:v>
      </x:c>
      <x:c r="K741" s="32" t="str">
        <x:v>Không đổi mục tiêu BRD, DB/ERD, quyền/trạng thái lưu, realtime/tài chính, ranking và backlog còn lại. Wireframe/prototype cũ giữ lịch sử; UX/API hiện hành đã bổ sung MAP-02. Không mở PROMO-02 hoặc OTP.</x:v>
      </x:c>
      <x:c r="L741" s="32" t="str">
        <x:v>Không áp dụng có lý do</x:v>
      </x:c>
    </x:row>
    <x:row r="742" ht="145" customHeight="1">
      <x:c r="A742" s="32" t="str">
        <x:v>CHG-MAP-02</x:v>
      </x:c>
      <x:c r="B742" s="32" t="str">
        <x:v>MAP-02</x:v>
      </x:c>
      <x:c r="C742" s="32" t="str">
        <x:v>F04; F05</x:v>
      </x:c>
      <x:c r="D742" s="32" t="str">
        <x:v>DOC-039</x:v>
      </x:c>
      <x:c r="E742" s="32" t="str">
        <x:v>Ghim địa điểm công khai trong kết quả tìm kiếm</x:v>
      </x:c>
      <x:c r="F742" s="32" t="str">
        <x:v>Đã cập nhật</x:v>
      </x:c>
      <x:c r="G742" s="32" t="str">
        <x:v>Có</x:v>
      </x:c>
      <x:c r="H742" s="32" t="str">
        <x:v>Codex</x:v>
      </x:c>
      <x:c r="I742" s="33" t="n">
        <x:v>46302</x:v>
      </x:c>
      <x:c r="J742" s="32" t="str">
        <x:v>API v0.1.8 / MAP-02; local và mirror/ZIP hiện hành đã đối chiếu. Drive cùng ID: Docs/FR đọc lại; raw text có MAP-02; OpenAPI và 2 ZIP tải lại khớp byte. Codex 07/10/2026.</x:v>
      </x:c>
      <x:c r="K742" s="32" t="str"/>
      <x:c r="L742" s="32" t="str">
        <x:v>Hoàn tất</x:v>
      </x:c>
    </x:row>
    <x:row r="743" ht="145" customHeight="1">
      <x:c r="A743" s="32" t="str">
        <x:v>CHG-MAP-02</x:v>
      </x:c>
      <x:c r="B743" s="32" t="str">
        <x:v>MAP-02</x:v>
      </x:c>
      <x:c r="C743" s="32" t="str">
        <x:v>F04; F05</x:v>
      </x:c>
      <x:c r="D743" s="32" t="str">
        <x:v>DOC-040</x:v>
      </x:c>
      <x:c r="E743" s="32" t="str">
        <x:v>Ghim địa điểm công khai trong kết quả tìm kiếm</x:v>
      </x:c>
      <x:c r="F743" s="32" t="str">
        <x:v>Đã cập nhật</x:v>
      </x:c>
      <x:c r="G743" s="32" t="str">
        <x:v>Có</x:v>
      </x:c>
      <x:c r="H743" s="32" t="str">
        <x:v>Codex</x:v>
      </x:c>
      <x:c r="I743" s="33" t="n">
        <x:v>46302</x:v>
      </x:c>
      <x:c r="J743" s="32" t="str">
        <x:v>API v0.1.8 / MAP-02; local và mirror/ZIP hiện hành đã đối chiếu. Drive cùng ID: Docs/FR đọc lại; raw text có MAP-02; OpenAPI và 2 ZIP tải lại khớp byte. Codex 07/10/2026.</x:v>
      </x:c>
      <x:c r="K743" s="32" t="str"/>
      <x:c r="L743" s="32" t="str">
        <x:v>Hoàn tất</x:v>
      </x:c>
    </x:row>
    <x:row r="744" ht="145" customHeight="1">
      <x:c r="A744" s="32" t="str">
        <x:v>CHG-MAP-02</x:v>
      </x:c>
      <x:c r="B744" s="32" t="str">
        <x:v>MAP-02</x:v>
      </x:c>
      <x:c r="C744" s="32" t="str">
        <x:v>F04; F05</x:v>
      </x:c>
      <x:c r="D744" s="32" t="str">
        <x:v>DOC-041</x:v>
      </x:c>
      <x:c r="E744" s="32" t="str">
        <x:v>Ghim địa điểm công khai trong kết quả tìm kiếm</x:v>
      </x:c>
      <x:c r="F744" s="32" t="str">
        <x:v>Đã cập nhật</x:v>
      </x:c>
      <x:c r="G744" s="32" t="str">
        <x:v>Có</x:v>
      </x:c>
      <x:c r="H744" s="32" t="str">
        <x:v>Codex</x:v>
      </x:c>
      <x:c r="I744" s="33" t="n">
        <x:v>46302</x:v>
      </x:c>
      <x:c r="J744" s="32" t="str">
        <x:v>API v0.1.8 / MAP-02; local và mirror/ZIP hiện hành đã đối chiếu. Drive cùng ID: Docs/FR đọc lại; raw text có MAP-02; OpenAPI và 2 ZIP tải lại khớp byte. Codex 07/10/2026.</x:v>
      </x:c>
      <x:c r="K744" s="32" t="str"/>
      <x:c r="L744" s="32" t="str">
        <x:v>Hoàn tất</x:v>
      </x:c>
    </x:row>
    <x:row r="745" ht="145" customHeight="1">
      <x:c r="A745" s="32" t="str">
        <x:v>CHG-MAP-02</x:v>
      </x:c>
      <x:c r="B745" s="32" t="str">
        <x:v>MAP-02</x:v>
      </x:c>
      <x:c r="C745" s="32" t="str">
        <x:v>F04; F05</x:v>
      </x:c>
      <x:c r="D745" s="32" t="str">
        <x:v>DOC-042</x:v>
      </x:c>
      <x:c r="E745" s="32" t="str">
        <x:v>Ghim địa điểm công khai trong kết quả tìm kiếm</x:v>
      </x:c>
      <x:c r="F745" s="32" t="str">
        <x:v>Không áp dụng</x:v>
      </x:c>
      <x:c r="G745" s="32" t="str">
        <x:v>Có</x:v>
      </x:c>
      <x:c r="H745" s="32" t="str">
        <x:v>Codex</x:v>
      </x:c>
      <x:c r="I745" s="33" t="n">
        <x:v>46302</x:v>
      </x:c>
      <x:c r="J745" s="32" t="str">
        <x:v>Đối chiếu Anh huong và cross-search với MAP-02; xem lý do không áp dụng.</x:v>
      </x:c>
      <x:c r="K745" s="32" t="str">
        <x:v>Không đổi mục tiêu BRD, DB/ERD, quyền/trạng thái lưu, realtime/tài chính, ranking và backlog còn lại. Wireframe/prototype cũ giữ lịch sử; UX/API hiện hành đã bổ sung MAP-02. Không mở PROMO-02 hoặc OTP.</x:v>
      </x:c>
      <x:c r="L745" s="32" t="str">
        <x:v>Không áp dụng có lý do</x:v>
      </x:c>
    </x:row>
    <x:row r="746" ht="145" customHeight="1">
      <x:c r="A746" s="32" t="str">
        <x:v>CHG-MAP-02</x:v>
      </x:c>
      <x:c r="B746" s="32" t="str">
        <x:v>MAP-02</x:v>
      </x:c>
      <x:c r="C746" s="32" t="str">
        <x:v>F04; F05</x:v>
      </x:c>
      <x:c r="D746" s="32" t="str">
        <x:v>DOC-043</x:v>
      </x:c>
      <x:c r="E746" s="32" t="str">
        <x:v>Ghim địa điểm công khai trong kết quả tìm kiếm</x:v>
      </x:c>
      <x:c r="F746" s="32" t="str">
        <x:v>Đã cập nhật</x:v>
      </x:c>
      <x:c r="G746" s="32" t="str">
        <x:v>Có</x:v>
      </x:c>
      <x:c r="H746" s="32" t="str">
        <x:v>Codex</x:v>
      </x:c>
      <x:c r="I746" s="33" t="n">
        <x:v>46302</x:v>
      </x:c>
      <x:c r="J746" s="32" t="str">
        <x:v>API v0.1.8 / MAP-02; local và mirror/ZIP hiện hành đã đối chiếu. Drive cùng ID: Docs/FR đọc lại; raw text có MAP-02; OpenAPI và 2 ZIP tải lại khớp byte. Codex 07/10/2026.</x:v>
      </x:c>
      <x:c r="K746" s="32" t="str"/>
      <x:c r="L746" s="32" t="str">
        <x:v>Hoàn tất</x:v>
      </x:c>
    </x:row>
    <x:row r="747" ht="145" customHeight="1">
      <x:c r="A747" s="32" t="str">
        <x:v>CHG-MAP-02</x:v>
      </x:c>
      <x:c r="B747" s="32" t="str">
        <x:v>MAP-02</x:v>
      </x:c>
      <x:c r="C747" s="32" t="str">
        <x:v>F04; F05</x:v>
      </x:c>
      <x:c r="D747" s="32" t="str">
        <x:v>DOC-044</x:v>
      </x:c>
      <x:c r="E747" s="32" t="str">
        <x:v>Ghim địa điểm công khai trong kết quả tìm kiếm</x:v>
      </x:c>
      <x:c r="F747" s="32" t="str">
        <x:v>Không áp dụng</x:v>
      </x:c>
      <x:c r="G747" s="32" t="str">
        <x:v>Có</x:v>
      </x:c>
      <x:c r="H747" s="32" t="str">
        <x:v>Codex</x:v>
      </x:c>
      <x:c r="I747" s="33" t="n">
        <x:v>46302</x:v>
      </x:c>
      <x:c r="J747" s="32" t="str">
        <x:v>Đối chiếu Anh huong và cross-search với MAP-02; xem lý do không áp dụng.</x:v>
      </x:c>
      <x:c r="K747" s="32" t="str">
        <x:v>Không đổi mục tiêu BRD, DB/ERD, quyền/trạng thái lưu, realtime/tài chính, ranking và backlog còn lại. Wireframe/prototype cũ giữ lịch sử; UX/API hiện hành đã bổ sung MAP-02. Không mở PROMO-02 hoặc OTP.</x:v>
      </x:c>
      <x:c r="L747" s="32" t="str">
        <x:v>Không áp dụng có lý do</x:v>
      </x:c>
    </x:row>
    <x:row r="748" ht="145" customHeight="1">
      <x:c r="A748" s="32" t="str">
        <x:v>CHG-MAP-02</x:v>
      </x:c>
      <x:c r="B748" s="32" t="str">
        <x:v>MAP-02</x:v>
      </x:c>
      <x:c r="C748" s="32" t="str">
        <x:v>F04; F05</x:v>
      </x:c>
      <x:c r="D748" s="32" t="str">
        <x:v>DOC-045</x:v>
      </x:c>
      <x:c r="E748" s="32" t="str">
        <x:v>Ghim địa điểm công khai trong kết quả tìm kiếm</x:v>
      </x:c>
      <x:c r="F748" s="32" t="str">
        <x:v>Đã cập nhật</x:v>
      </x:c>
      <x:c r="G748" s="32" t="str">
        <x:v>Có</x:v>
      </x:c>
      <x:c r="H748" s="32" t="str">
        <x:v>Codex</x:v>
      </x:c>
      <x:c r="I748" s="33" t="n">
        <x:v>46302</x:v>
      </x:c>
      <x:c r="J748" s="32" t="str">
        <x:v>API v0.1.8 / MAP-02; local và mirror/ZIP hiện hành đã đối chiếu. Drive cùng ID: Docs/FR đọc lại; raw text có MAP-02; OpenAPI và 2 ZIP tải lại khớp byte. Codex 07/10/2026.</x:v>
      </x:c>
      <x:c r="K748" s="32" t="str"/>
      <x:c r="L748" s="32" t="str">
        <x:v>Hoàn tất</x:v>
      </x:c>
    </x:row>
    <x:row r="749" ht="145" customHeight="1">
      <x:c r="A749" s="32" t="str">
        <x:v>CHG-MAP-02</x:v>
      </x:c>
      <x:c r="B749" s="32" t="str">
        <x:v>MAP-02</x:v>
      </x:c>
      <x:c r="C749" s="32" t="str">
        <x:v>F04; F05</x:v>
      </x:c>
      <x:c r="D749" s="32" t="str">
        <x:v>DOC-046</x:v>
      </x:c>
      <x:c r="E749" s="32" t="str">
        <x:v>Ghim địa điểm công khai trong kết quả tìm kiếm</x:v>
      </x:c>
      <x:c r="F749" s="32" t="str">
        <x:v>Đã cập nhật</x:v>
      </x:c>
      <x:c r="G749" s="32" t="str">
        <x:v>Có</x:v>
      </x:c>
      <x:c r="H749" s="32" t="str">
        <x:v>Codex</x:v>
      </x:c>
      <x:c r="I749" s="33" t="n">
        <x:v>46302</x:v>
      </x:c>
      <x:c r="J749" s="32" t="str">
        <x:v>API v0.1.8 / MAP-02; local và mirror/ZIP hiện hành đã đối chiếu. Drive cùng ID: Docs/FR đọc lại; raw text có MAP-02; OpenAPI và 2 ZIP tải lại khớp byte. Codex 07/10/2026.</x:v>
      </x:c>
      <x:c r="K749" s="32" t="str"/>
      <x:c r="L749" s="32" t="str">
        <x:v>Hoàn tất</x:v>
      </x:c>
    </x:row>
    <x:row r="750" ht="145" customHeight="1">
      <x:c r="A750" s="32" t="str">
        <x:v>CHG-MAP-02</x:v>
      </x:c>
      <x:c r="B750" s="32" t="str">
        <x:v>MAP-02</x:v>
      </x:c>
      <x:c r="C750" s="32" t="str">
        <x:v>F04; F05</x:v>
      </x:c>
      <x:c r="D750" s="32" t="str">
        <x:v>DOC-047</x:v>
      </x:c>
      <x:c r="E750" s="32" t="str">
        <x:v>Ghim địa điểm công khai trong kết quả tìm kiếm</x:v>
      </x:c>
      <x:c r="F750" s="32" t="str">
        <x:v>Đã cập nhật</x:v>
      </x:c>
      <x:c r="G750" s="32" t="str">
        <x:v>Có</x:v>
      </x:c>
      <x:c r="H750" s="32" t="str">
        <x:v>Codex</x:v>
      </x:c>
      <x:c r="I750" s="33" t="n">
        <x:v>46302</x:v>
      </x:c>
      <x:c r="J750" s="32" t="str">
        <x:v>API v0.1.8 / MAP-02; local và mirror/ZIP hiện hành đã đối chiếu. Drive cùng ID: Docs/FR đọc lại; raw text có MAP-02; OpenAPI và 2 ZIP tải lại khớp byte. Codex 07/10/2026.</x:v>
      </x:c>
      <x:c r="K750" s="32" t="str"/>
      <x:c r="L750" s="32" t="str">
        <x:v>Hoàn tất</x:v>
      </x:c>
    </x:row>
    <x:row r="751" ht="145" customHeight="1">
      <x:c r="A751" s="32" t="str">
        <x:v>CHG-MAP-02</x:v>
      </x:c>
      <x:c r="B751" s="32" t="str">
        <x:v>MAP-02</x:v>
      </x:c>
      <x:c r="C751" s="32" t="str">
        <x:v>F04; F05</x:v>
      </x:c>
      <x:c r="D751" s="32" t="str">
        <x:v>DOC-048</x:v>
      </x:c>
      <x:c r="E751" s="32" t="str">
        <x:v>Ghim địa điểm công khai trong kết quả tìm kiếm</x:v>
      </x:c>
      <x:c r="F751" s="32" t="str">
        <x:v>Không áp dụng</x:v>
      </x:c>
      <x:c r="G751" s="32" t="str">
        <x:v>Có</x:v>
      </x:c>
      <x:c r="H751" s="32" t="str">
        <x:v>Codex</x:v>
      </x:c>
      <x:c r="I751" s="33" t="n">
        <x:v>46302</x:v>
      </x:c>
      <x:c r="J751" s="32" t="str">
        <x:v>Đối chiếu Anh huong và cross-search với MAP-02; xem lý do không áp dụng.</x:v>
      </x:c>
      <x:c r="K751" s="32" t="str">
        <x:v>Không đổi mục tiêu BRD, DB/ERD, quyền/trạng thái lưu, realtime/tài chính, ranking và backlog còn lại. Wireframe/prototype cũ giữ lịch sử; UX/API hiện hành đã bổ sung MAP-02. Không mở PROMO-02 hoặc OTP.</x:v>
      </x:c>
      <x:c r="L751" s="32" t="str">
        <x:v>Không áp dụng có lý do</x:v>
      </x:c>
    </x:row>
    <x:row r="752" ht="145" customHeight="1">
      <x:c r="A752" s="32" t="str">
        <x:v>CHG-MAP-02</x:v>
      </x:c>
      <x:c r="B752" s="32" t="str">
        <x:v>MAP-02</x:v>
      </x:c>
      <x:c r="C752" s="32" t="str">
        <x:v>F04; F05</x:v>
      </x:c>
      <x:c r="D752" s="32" t="str">
        <x:v>DOC-049</x:v>
      </x:c>
      <x:c r="E752" s="32" t="str">
        <x:v>Ghim địa điểm công khai trong kết quả tìm kiếm</x:v>
      </x:c>
      <x:c r="F752" s="32" t="str">
        <x:v>Không áp dụng</x:v>
      </x:c>
      <x:c r="G752" s="32" t="str">
        <x:v>Có</x:v>
      </x:c>
      <x:c r="H752" s="32" t="str">
        <x:v>Codex</x:v>
      </x:c>
      <x:c r="I752" s="33" t="n">
        <x:v>46302</x:v>
      </x:c>
      <x:c r="J752" s="32" t="str">
        <x:v>Đối chiếu Anh huong và cross-search với MAP-02; xem lý do không áp dụng.</x:v>
      </x:c>
      <x:c r="K752" s="32" t="str">
        <x:v>Không đổi mục tiêu BRD, DB/ERD, quyền/trạng thái lưu, realtime/tài chính, ranking và backlog còn lại. Wireframe/prototype cũ giữ lịch sử; UX/API hiện hành đã bổ sung MAP-02. Không mở PROMO-02 hoặc OTP.</x:v>
      </x:c>
      <x:c r="L752" s="32" t="str">
        <x:v>Không áp dụng có lý do</x:v>
      </x:c>
    </x:row>
    <x:row r="753" ht="145" customHeight="1">
      <x:c r="A753" s="32" t="str">
        <x:v>CHG-MAP-02</x:v>
      </x:c>
      <x:c r="B753" s="32" t="str">
        <x:v>MAP-02</x:v>
      </x:c>
      <x:c r="C753" s="32" t="str">
        <x:v>F04; F05</x:v>
      </x:c>
      <x:c r="D753" s="32" t="str">
        <x:v>DOC-050</x:v>
      </x:c>
      <x:c r="E753" s="32" t="str">
        <x:v>Ghim địa điểm công khai trong kết quả tìm kiếm</x:v>
      </x:c>
      <x:c r="F753" s="32" t="str">
        <x:v>Không áp dụng</x:v>
      </x:c>
      <x:c r="G753" s="32" t="str">
        <x:v>Có</x:v>
      </x:c>
      <x:c r="H753" s="32" t="str">
        <x:v>Codex</x:v>
      </x:c>
      <x:c r="I753" s="33" t="n">
        <x:v>46302</x:v>
      </x:c>
      <x:c r="J753" s="32" t="str">
        <x:v>Đối chiếu Anh huong và cross-search với MAP-02; xem lý do không áp dụng.</x:v>
      </x:c>
      <x:c r="K753" s="32" t="str">
        <x:v>Không đổi mục tiêu BRD, DB/ERD, quyền/trạng thái lưu, realtime/tài chính, ranking và backlog còn lại. Wireframe/prototype cũ giữ lịch sử; UX/API hiện hành đã bổ sung MAP-02. Không mở PROMO-02 hoặc OTP.</x:v>
      </x:c>
      <x:c r="L753" s="32" t="str">
        <x:v>Không áp dụng có lý do</x:v>
      </x:c>
    </x:row>
    <x:row r="754" ht="145" customHeight="1">
      <x:c r="A754" s="32" t="str">
        <x:v>CHG-MAP-02</x:v>
      </x:c>
      <x:c r="B754" s="32" t="str">
        <x:v>MAP-02</x:v>
      </x:c>
      <x:c r="C754" s="32" t="str">
        <x:v>F04; F05</x:v>
      </x:c>
      <x:c r="D754" s="32" t="str">
        <x:v>DOC-051</x:v>
      </x:c>
      <x:c r="E754" s="32" t="str">
        <x:v>Ghim địa điểm công khai trong kết quả tìm kiếm</x:v>
      </x:c>
      <x:c r="F754" s="32" t="str">
        <x:v>Không áp dụng</x:v>
      </x:c>
      <x:c r="G754" s="32" t="str">
        <x:v>Có</x:v>
      </x:c>
      <x:c r="H754" s="32" t="str">
        <x:v>Codex</x:v>
      </x:c>
      <x:c r="I754" s="33" t="n">
        <x:v>46302</x:v>
      </x:c>
      <x:c r="J754" s="32" t="str">
        <x:v>Đối chiếu Anh huong và cross-search với MAP-02; xem lý do không áp dụng.</x:v>
      </x:c>
      <x:c r="K754" s="32" t="str">
        <x:v>Không đổi mục tiêu BRD, DB/ERD, quyền/trạng thái lưu, realtime/tài chính, ranking và backlog còn lại. Wireframe/prototype cũ giữ lịch sử; UX/API hiện hành đã bổ sung MAP-02. Không mở PROMO-02 hoặc OTP.</x:v>
      </x:c>
      <x:c r="L754" s="32" t="str">
        <x:v>Không áp dụng có lý do</x:v>
      </x:c>
    </x:row>
    <x:row r="755" ht="145" customHeight="1">
      <x:c r="A755" s="32" t="str">
        <x:v>CHG-MAP-02</x:v>
      </x:c>
      <x:c r="B755" s="32" t="str">
        <x:v>MAP-02</x:v>
      </x:c>
      <x:c r="C755" s="32" t="str">
        <x:v>F04; F05</x:v>
      </x:c>
      <x:c r="D755" s="32" t="str">
        <x:v>DOC-052</x:v>
      </x:c>
      <x:c r="E755" s="32" t="str">
        <x:v>Ghim địa điểm công khai trong kết quả tìm kiếm</x:v>
      </x:c>
      <x:c r="F755" s="32" t="str">
        <x:v>Không áp dụng</x:v>
      </x:c>
      <x:c r="G755" s="32" t="str">
        <x:v>Có</x:v>
      </x:c>
      <x:c r="H755" s="32" t="str">
        <x:v>Codex</x:v>
      </x:c>
      <x:c r="I755" s="33" t="n">
        <x:v>46302</x:v>
      </x:c>
      <x:c r="J755" s="32" t="str">
        <x:v>Đối chiếu Anh huong và cross-search với MAP-02; xem lý do không áp dụng.</x:v>
      </x:c>
      <x:c r="K755" s="32" t="str">
        <x:v>Không đổi mục tiêu BRD, DB/ERD, quyền/trạng thái lưu, realtime/tài chính, ranking và backlog còn lại. Wireframe/prototype cũ giữ lịch sử; UX/API hiện hành đã bổ sung MAP-02. Không mở PROMO-02 hoặc OTP.</x:v>
      </x:c>
      <x:c r="L755" s="32" t="str">
        <x:v>Không áp dụng có lý do</x:v>
      </x:c>
    </x:row>
    <x:row r="756" ht="145" customHeight="1">
      <x:c r="A756" s="32" t="str">
        <x:v>CHG-MAP-02</x:v>
      </x:c>
      <x:c r="B756" s="32" t="str">
        <x:v>MAP-02</x:v>
      </x:c>
      <x:c r="C756" s="32" t="str">
        <x:v>F04; F05</x:v>
      </x:c>
      <x:c r="D756" s="32" t="str">
        <x:v>DOC-053</x:v>
      </x:c>
      <x:c r="E756" s="32" t="str">
        <x:v>Ghim địa điểm công khai trong kết quả tìm kiếm</x:v>
      </x:c>
      <x:c r="F756" s="32" t="str">
        <x:v>Không áp dụng</x:v>
      </x:c>
      <x:c r="G756" s="32" t="str">
        <x:v>Có</x:v>
      </x:c>
      <x:c r="H756" s="32" t="str">
        <x:v>Codex</x:v>
      </x:c>
      <x:c r="I756" s="33" t="n">
        <x:v>46302</x:v>
      </x:c>
      <x:c r="J756" s="32" t="str">
        <x:v>Đối chiếu Anh huong và cross-search với MAP-02; xem lý do không áp dụng.</x:v>
      </x:c>
      <x:c r="K756" s="32" t="str">
        <x:v>Không đổi mục tiêu BRD, DB/ERD, quyền/trạng thái lưu, realtime/tài chính, ranking và backlog còn lại. Wireframe/prototype cũ giữ lịch sử; UX/API hiện hành đã bổ sung MAP-02. Không mở PROMO-02 hoặc OTP.</x:v>
      </x:c>
      <x:c r="L756" s="32" t="str">
        <x:v>Không áp dụng có lý do</x:v>
      </x:c>
    </x:row>
    <x:row r="757" ht="145" customHeight="1">
      <x:c r="A757" s="32" t="str">
        <x:v>CHG-MAP-02</x:v>
      </x:c>
      <x:c r="B757" s="32" t="str">
        <x:v>MAP-02</x:v>
      </x:c>
      <x:c r="C757" s="32" t="str">
        <x:v>F04; F05</x:v>
      </x:c>
      <x:c r="D757" s="32" t="str">
        <x:v>DOC-055</x:v>
      </x:c>
      <x:c r="E757" s="32" t="str">
        <x:v>Ghim địa điểm công khai trong kết quả tìm kiếm</x:v>
      </x:c>
      <x:c r="F757" s="32" t="str">
        <x:v>Không áp dụng</x:v>
      </x:c>
      <x:c r="G757" s="32" t="str">
        <x:v>Có</x:v>
      </x:c>
      <x:c r="H757" s="32" t="str">
        <x:v>Codex</x:v>
      </x:c>
      <x:c r="I757" s="33" t="n">
        <x:v>46302</x:v>
      </x:c>
      <x:c r="J757" s="32" t="str">
        <x:v>Đối chiếu Anh huong và cross-search với MAP-02; xem lý do không áp dụng.</x:v>
      </x:c>
      <x:c r="K757" s="32" t="str">
        <x:v>Không đổi mục tiêu BRD, DB/ERD, quyền/trạng thái lưu, realtime/tài chính, ranking và backlog còn lại. Wireframe/prototype cũ giữ lịch sử; UX/API hiện hành đã bổ sung MAP-02. Không mở PROMO-02 hoặc OTP.</x:v>
      </x:c>
      <x:c r="L757" s="32" t="str">
        <x:v>Không áp dụng có lý do</x:v>
      </x:c>
    </x:row>
    <x:row r="758" ht="145" customHeight="1">
      <x:c r="A758" s="32" t="str">
        <x:v>CHG-MAP-02</x:v>
      </x:c>
      <x:c r="B758" s="32" t="str">
        <x:v>MAP-02</x:v>
      </x:c>
      <x:c r="C758" s="32" t="str">
        <x:v>F04; F05</x:v>
      </x:c>
      <x:c r="D758" s="32" t="str">
        <x:v>DOC-057</x:v>
      </x:c>
      <x:c r="E758" s="32" t="str">
        <x:v>Ghim địa điểm công khai trong kết quả tìm kiếm</x:v>
      </x:c>
      <x:c r="F758" s="32" t="str">
        <x:v>Không áp dụng</x:v>
      </x:c>
      <x:c r="G758" s="32" t="str">
        <x:v>Có</x:v>
      </x:c>
      <x:c r="H758" s="32" t="str">
        <x:v>Codex</x:v>
      </x:c>
      <x:c r="I758" s="33" t="n">
        <x:v>46302</x:v>
      </x:c>
      <x:c r="J758" s="32" t="str">
        <x:v>Đối chiếu Anh huong và cross-search với MAP-02; xem lý do không áp dụng.</x:v>
      </x:c>
      <x:c r="K758" s="32" t="str">
        <x:v>Không đổi mục tiêu BRD, DB/ERD, quyền/trạng thái lưu, realtime/tài chính, ranking và backlog còn lại. Wireframe/prototype cũ giữ lịch sử; UX/API hiện hành đã bổ sung MAP-02. Không mở PROMO-02 hoặc OTP.</x:v>
      </x:c>
      <x:c r="L758" s="32" t="str">
        <x:v>Không áp dụng có lý do</x:v>
      </x:c>
    </x:row>
    <x:row r="759" ht="145" customHeight="1">
      <x:c r="A759" s="32" t="str">
        <x:v>CHG-MAP-02</x:v>
      </x:c>
      <x:c r="B759" s="32" t="str">
        <x:v>MAP-02</x:v>
      </x:c>
      <x:c r="C759" s="32" t="str">
        <x:v>F04; F05</x:v>
      </x:c>
      <x:c r="D759" s="32" t="str">
        <x:v>DOC-058</x:v>
      </x:c>
      <x:c r="E759" s="32" t="str">
        <x:v>Ghim địa điểm công khai trong kết quả tìm kiếm</x:v>
      </x:c>
      <x:c r="F759" s="32" t="str">
        <x:v>Không áp dụng</x:v>
      </x:c>
      <x:c r="G759" s="32" t="str">
        <x:v>Có</x:v>
      </x:c>
      <x:c r="H759" s="32" t="str">
        <x:v>Codex</x:v>
      </x:c>
      <x:c r="I759" s="33" t="n">
        <x:v>46302</x:v>
      </x:c>
      <x:c r="J759" s="32" t="str">
        <x:v>Đối chiếu Anh huong và cross-search với MAP-02; xem lý do không áp dụng.</x:v>
      </x:c>
      <x:c r="K759" s="32" t="str">
        <x:v>Không đổi mục tiêu BRD, DB/ERD, quyền/trạng thái lưu, realtime/tài chính, ranking và backlog còn lại. Wireframe/prototype cũ giữ lịch sử; UX/API hiện hành đã bổ sung MAP-02. Không mở PROMO-02 hoặc OTP.</x:v>
      </x:c>
      <x:c r="L759" s="32" t="str">
        <x:v>Không áp dụng có lý do</x:v>
      </x:c>
    </x:row>
    <x:row r="760" ht="145" customHeight="1">
      <x:c r="A760" s="32" t="str">
        <x:v>CHG-MAP-02</x:v>
      </x:c>
      <x:c r="B760" s="32" t="str">
        <x:v>MAP-02</x:v>
      </x:c>
      <x:c r="C760" s="32" t="str">
        <x:v>F04; F05</x:v>
      </x:c>
      <x:c r="D760" s="32" t="str">
        <x:v>DOC-062</x:v>
      </x:c>
      <x:c r="E760" s="32" t="str">
        <x:v>Ghim địa điểm công khai trong kết quả tìm kiếm</x:v>
      </x:c>
      <x:c r="F760" s="32" t="str">
        <x:v>Không áp dụng</x:v>
      </x:c>
      <x:c r="G760" s="32" t="str">
        <x:v>Có</x:v>
      </x:c>
      <x:c r="H760" s="32" t="str">
        <x:v>Codex</x:v>
      </x:c>
      <x:c r="I760" s="33" t="n">
        <x:v>46302</x:v>
      </x:c>
      <x:c r="J760" s="32" t="str">
        <x:v>Đối chiếu Anh huong và cross-search với MAP-02; xem lý do không áp dụng.</x:v>
      </x:c>
      <x:c r="K760" s="32" t="str">
        <x:v>Không đổi mục tiêu BRD, DB/ERD, quyền/trạng thái lưu, realtime/tài chính, ranking và backlog còn lại. Wireframe/prototype cũ giữ lịch sử; UX/API hiện hành đã bổ sung MAP-02. Không mở PROMO-02 hoặc OTP.</x:v>
      </x:c>
      <x:c r="L760" s="32" t="str">
        <x:v>Không áp dụng có lý do</x:v>
      </x:c>
    </x:row>
    <x:row r="761" ht="145" customHeight="1">
      <x:c r="A761" s="32" t="str">
        <x:v>CHG-MAP-02</x:v>
      </x:c>
      <x:c r="B761" s="32" t="str">
        <x:v>MAP-02</x:v>
      </x:c>
      <x:c r="C761" s="32" t="str">
        <x:v>F04; F05</x:v>
      </x:c>
      <x:c r="D761" s="32" t="str">
        <x:v>DOC-063</x:v>
      </x:c>
      <x:c r="E761" s="32" t="str">
        <x:v>Ghim địa điểm công khai trong kết quả tìm kiếm</x:v>
      </x:c>
      <x:c r="F761" s="32" t="str">
        <x:v>Không áp dụng</x:v>
      </x:c>
      <x:c r="G761" s="32" t="str">
        <x:v>Có</x:v>
      </x:c>
      <x:c r="H761" s="32" t="str">
        <x:v>Codex</x:v>
      </x:c>
      <x:c r="I761" s="33" t="n">
        <x:v>46302</x:v>
      </x:c>
      <x:c r="J761" s="32" t="str">
        <x:v>Đối chiếu Anh huong và cross-search với MAP-02; xem lý do không áp dụng.</x:v>
      </x:c>
      <x:c r="K761" s="32" t="str">
        <x:v>Không đổi mục tiêu BRD, DB/ERD, quyền/trạng thái lưu, realtime/tài chính, ranking và backlog còn lại. Wireframe/prototype cũ giữ lịch sử; UX/API hiện hành đã bổ sung MAP-02. Không mở PROMO-02 hoặc OTP.</x:v>
      </x:c>
      <x:c r="L761" s="32" t="str">
        <x:v>Không áp dụng có lý do</x:v>
      </x:c>
    </x:row>
    <x:row r="762" ht="145" customHeight="1">
      <x:c r="A762" s="32" t="str">
        <x:v>CHG-MAP-02</x:v>
      </x:c>
      <x:c r="B762" s="32" t="str">
        <x:v>MAP-02</x:v>
      </x:c>
      <x:c r="C762" s="32" t="str">
        <x:v>F04; F05</x:v>
      </x:c>
      <x:c r="D762" s="32" t="str">
        <x:v>DOC-082</x:v>
      </x:c>
      <x:c r="E762" s="32" t="str">
        <x:v>Ghim địa điểm công khai trong kết quả tìm kiếm</x:v>
      </x:c>
      <x:c r="F762" s="32" t="str">
        <x:v>Đã cập nhật</x:v>
      </x:c>
      <x:c r="G762" s="32" t="str">
        <x:v>Có</x:v>
      </x:c>
      <x:c r="H762" s="32" t="str">
        <x:v>Codex</x:v>
      </x:c>
      <x:c r="I762" s="33" t="n">
        <x:v>46302</x:v>
      </x:c>
      <x:c r="J762" s="32" t="str">
        <x:v>Repo: MAP-02, B03-02 + ảnh DEMO; không xuất ZIP/Drive theo DELIVERY-01.</x:v>
      </x:c>
      <x:c r="K762" s="32" t="str"/>
      <x:c r="L762" s="32" t="str">
        <x:v>Hoàn tất</x:v>
      </x:c>
    </x:row>
    <x:row r="763" ht="145" customHeight="1">
      <x:c r="A763" s="32" t="str">
        <x:v>CHG-MAP-02</x:v>
      </x:c>
      <x:c r="B763" s="32" t="str">
        <x:v>MAP-02</x:v>
      </x:c>
      <x:c r="C763" s="32" t="str">
        <x:v>F04; F05</x:v>
      </x:c>
      <x:c r="D763" s="32" t="str">
        <x:v>DOC-083</x:v>
      </x:c>
      <x:c r="E763" s="32" t="str">
        <x:v>Ghim địa điểm công khai trong kết quả tìm kiếm</x:v>
      </x:c>
      <x:c r="F763" s="32" t="str">
        <x:v>Đã cập nhật</x:v>
      </x:c>
      <x:c r="G763" s="32" t="str">
        <x:v>Có</x:v>
      </x:c>
      <x:c r="H763" s="32" t="str">
        <x:v>Codex</x:v>
      </x:c>
      <x:c r="I763" s="33" t="n">
        <x:v>46302</x:v>
      </x:c>
      <x:c r="J763" s="32" t="str">
        <x:v>Repo: MAP-02, B03-02 + ảnh DEMO; không xuất ZIP/Drive theo DELIVERY-01.</x:v>
      </x:c>
      <x:c r="K763" s="32" t="str"/>
      <x:c r="L763" s="32" t="str">
        <x:v>Hoàn tất</x:v>
      </x:c>
    </x:row>
    <x:row r="764" ht="145" customHeight="1">
      <x:c r="A764" s="32" t="str">
        <x:v>CHG-MAP-02</x:v>
      </x:c>
      <x:c r="B764" s="32" t="str">
        <x:v>MAP-02</x:v>
      </x:c>
      <x:c r="C764" s="32" t="str">
        <x:v>F04; F05</x:v>
      </x:c>
      <x:c r="D764" s="32" t="str">
        <x:v>DOC-085</x:v>
      </x:c>
      <x:c r="E764" s="32" t="str">
        <x:v>Ghim địa điểm công khai trong kết quả tìm kiếm</x:v>
      </x:c>
      <x:c r="F764" s="32" t="str">
        <x:v>Đã cập nhật</x:v>
      </x:c>
      <x:c r="G764" s="32" t="str">
        <x:v>Có</x:v>
      </x:c>
      <x:c r="H764" s="32" t="str">
        <x:v>Codex</x:v>
      </x:c>
      <x:c r="I764" s="33" t="n">
        <x:v>46302</x:v>
      </x:c>
      <x:c r="J764" s="32" t="str">
        <x:v>Repo: MAP-02, B03-02 + ảnh DEMO; không xuất ZIP/Drive theo DELIVERY-01.</x:v>
      </x:c>
      <x:c r="K764" s="32" t="str"/>
      <x:c r="L764" s="32" t="str">
        <x:v>Hoàn tất</x:v>
      </x:c>
    </x:row>
    <x:row r="765" ht="145" customHeight="1">
      <x:c r="A765" s="32" t="str">
        <x:v>CHG-MAP-02</x:v>
      </x:c>
      <x:c r="B765" s="32" t="str">
        <x:v>MAP-02</x:v>
      </x:c>
      <x:c r="C765" s="32" t="str">
        <x:v>F04; F05</x:v>
      </x:c>
      <x:c r="D765" s="32" t="str">
        <x:v>PLAN-001</x:v>
      </x:c>
      <x:c r="E765" s="32" t="str">
        <x:v>Ghim địa điểm công khai trong kết quả tìm kiếm</x:v>
      </x:c>
      <x:c r="F765" s="32" t="str">
        <x:v>Đã cập nhật</x:v>
      </x:c>
      <x:c r="G765" s="32" t="str">
        <x:v>Có</x:v>
      </x:c>
      <x:c r="H765" s="32" t="str">
        <x:v>Codex</x:v>
      </x:c>
      <x:c r="I765" s="33" t="n">
        <x:v>46302</x:v>
      </x:c>
      <x:c r="J765" s="32" t="str">
        <x:v>API v0.1.8 / MAP-02; local và mirror/ZIP hiện hành đã đối chiếu. Drive cùng ID: Docs/FR đọc lại; raw text có MAP-02; OpenAPI và 2 ZIP tải lại khớp byte. Codex 07/10/2026.</x:v>
      </x:c>
      <x:c r="K765" s="32" t="str"/>
      <x:c r="L765" s="32" t="str">
        <x:v>Hoàn tất</x:v>
      </x:c>
    </x:row>
    <x:row r="766" ht="145" customHeight="1">
      <x:c r="A766" s="32" t="str">
        <x:v>CHG-MAP-02</x:v>
      </x:c>
      <x:c r="B766" s="32" t="str">
        <x:v>MAP-02</x:v>
      </x:c>
      <x:c r="C766" s="32" t="str">
        <x:v>F04; F05</x:v>
      </x:c>
      <x:c r="D766" s="32" t="str">
        <x:v>PLAN-002</x:v>
      </x:c>
      <x:c r="E766" s="32" t="str">
        <x:v>Ghim địa điểm công khai trong kết quả tìm kiếm</x:v>
      </x:c>
      <x:c r="F766" s="32" t="str">
        <x:v>Đã cập nhật</x:v>
      </x:c>
      <x:c r="G766" s="32" t="str">
        <x:v>Có</x:v>
      </x:c>
      <x:c r="H766" s="32" t="str">
        <x:v>Codex</x:v>
      </x:c>
      <x:c r="I766" s="33" t="n">
        <x:v>46302</x:v>
      </x:c>
      <x:c r="J766" s="32" t="str">
        <x:v>API v0.1.8 / MAP-02; local và mirror/ZIP hiện hành đã đối chiếu. Drive cùng ID: Docs/FR đọc lại; raw text có MAP-02; OpenAPI và 2 ZIP tải lại khớp byte. Codex 07/10/2026.</x:v>
      </x:c>
      <x:c r="K766" s="32" t="str"/>
      <x:c r="L766" s="32" t="str">
        <x:v>Hoàn tất</x:v>
      </x:c>
    </x:row>
    <x:row r="767" ht="145" customHeight="1">
      <x:c r="A767" s="32" t="str">
        <x:v>CHG-MAP-02</x:v>
      </x:c>
      <x:c r="B767" s="32" t="str">
        <x:v>MAP-02</x:v>
      </x:c>
      <x:c r="C767" s="32" t="str">
        <x:v>F04; F05</x:v>
      </x:c>
      <x:c r="D767" s="32" t="str">
        <x:v>PLAN-003</x:v>
      </x:c>
      <x:c r="E767" s="32" t="str">
        <x:v>Ghim địa điểm công khai trong kết quả tìm kiếm</x:v>
      </x:c>
      <x:c r="F767" s="32" t="str">
        <x:v>Đã cập nhật</x:v>
      </x:c>
      <x:c r="G767" s="32" t="str">
        <x:v>Có</x:v>
      </x:c>
      <x:c r="H767" s="32" t="str">
        <x:v>Codex</x:v>
      </x:c>
      <x:c r="I767" s="33" t="n">
        <x:v>46302</x:v>
      </x:c>
      <x:c r="J767" s="32" t="str">
        <x:v>API v0.1.8 / MAP-02; local và mirror/ZIP hiện hành đã đối chiếu. Drive cùng ID: Docs/FR đọc lại; raw text có MAP-02; OpenAPI và 2 ZIP tải lại khớp byte. Codex 07/10/2026.</x:v>
      </x:c>
      <x:c r="K767" s="32" t="str"/>
      <x:c r="L767" s="32" t="str">
        <x:v>Hoàn tất</x:v>
      </x:c>
    </x:row>
    <x:row r="768" ht="145" customHeight="1">
      <x:c r="A768" s="32" t="str">
        <x:v>CHG-MAP-02</x:v>
      </x:c>
      <x:c r="B768" s="32" t="str">
        <x:v>MAP-02</x:v>
      </x:c>
      <x:c r="C768" s="32" t="str">
        <x:v>F04; F05</x:v>
      </x:c>
      <x:c r="D768" s="32" t="str">
        <x:v>PLAN-006</x:v>
      </x:c>
      <x:c r="E768" s="32" t="str">
        <x:v>Ghim địa điểm công khai trong kết quả tìm kiếm</x:v>
      </x:c>
      <x:c r="F768" s="32" t="str">
        <x:v>Không áp dụng</x:v>
      </x:c>
      <x:c r="G768" s="32" t="str">
        <x:v>Có</x:v>
      </x:c>
      <x:c r="H768" s="32" t="str">
        <x:v>Codex</x:v>
      </x:c>
      <x:c r="I768" s="33" t="n">
        <x:v>46302</x:v>
      </x:c>
      <x:c r="J768" s="32" t="str">
        <x:v>Đối chiếu Anh huong và cross-search với MAP-02; xem lý do không áp dụng.</x:v>
      </x:c>
      <x:c r="K768" s="32" t="str">
        <x:v>Không đổi mục tiêu BRD, DB/ERD, quyền/trạng thái lưu, realtime/tài chính, ranking và backlog còn lại. Wireframe/prototype cũ giữ lịch sử; UX/API hiện hành đã bổ sung MAP-02. Không mở PROMO-02 hoặc OTP.</x:v>
      </x:c>
      <x:c r="L768" s="32" t="str">
        <x:v>Không áp dụng có lý do</x:v>
      </x:c>
    </x:row>
    <x:row r="769" ht="145" customHeight="1">
      <x:c r="A769" s="32" t="str">
        <x:v>CHG-MAP-02</x:v>
      </x:c>
      <x:c r="B769" s="32" t="str">
        <x:v>MAP-02</x:v>
      </x:c>
      <x:c r="C769" s="32" t="str">
        <x:v>F04; F05</x:v>
      </x:c>
      <x:c r="D769" s="32" t="str">
        <x:v>PLAN-008</x:v>
      </x:c>
      <x:c r="E769" s="32" t="str">
        <x:v>Ghim địa điểm công khai trong kết quả tìm kiếm</x:v>
      </x:c>
      <x:c r="F769" s="32" t="str">
        <x:v>Không áp dụng</x:v>
      </x:c>
      <x:c r="G769" s="32" t="str">
        <x:v>Có</x:v>
      </x:c>
      <x:c r="H769" s="32" t="str">
        <x:v>Codex</x:v>
      </x:c>
      <x:c r="I769" s="33" t="n">
        <x:v>46302</x:v>
      </x:c>
      <x:c r="J769" s="32" t="str">
        <x:v>Đối chiếu Anh huong và cross-search với MAP-02; xem lý do không áp dụng.</x:v>
      </x:c>
      <x:c r="K769" s="32" t="str">
        <x:v>Không đổi mục tiêu BRD, DB/ERD, quyền/trạng thái lưu, realtime/tài chính, ranking và backlog còn lại. Wireframe/prototype cũ giữ lịch sử; UX/API hiện hành đã bổ sung MAP-02. Không mở PROMO-02 hoặc OTP.</x:v>
      </x:c>
      <x:c r="L769" s="32" t="str">
        <x:v>Không áp dụng có lý do</x:v>
      </x:c>
    </x:row>
    <x:row r="770" ht="145" customHeight="1">
      <x:c r="A770" s="32" t="str">
        <x:v>CHG-P0-2</x:v>
      </x:c>
      <x:c r="B770" s="32" t="str">
        <x:v>MAP-03; P0-2</x:v>
      </x:c>
      <x:c r="C770" s="32" t="str">
        <x:v>F01; F03; F04; F05; F06; F07; F08</x:v>
      </x:c>
      <x:c r="D770" s="32" t="str">
        <x:v>DOC-002</x:v>
      </x:c>
      <x:c r="E770" s="32" t="str">
        <x:v>Bỏ nhập tọa độ; Job chi tiết/ETA, public_locations/service_modes và HTTP chat</x:v>
      </x:c>
      <x:c r="F770" s="32" t="str">
        <x:v>Đã cập nhật</x:v>
      </x:c>
      <x:c r="G770" s="32" t="str">
        <x:v>Có</x:v>
      </x:c>
      <x:c r="H770" s="32" t="str">
        <x:v>Codex</x:v>
      </x:c>
      <x:c r="I770" s="33" t="n">
        <x:v>46302</x:v>
      </x:c>
      <x:c r="J770" s="32" t="str">
        <x:v>API v0.1.9; nguồn/mirror/HTML/ZIP hiện hành cập nhật. Drive cùng ID; Docs/FR đọc lại, raw upload và metadata xác nhận. Chi tiết kiểm byte trong .local/p0-2.</x:v>
      </x:c>
      <x:c r="K770" s="32" t="str"/>
      <x:c r="L770" s="32" t="str">
        <x:v>Hoàn tất</x:v>
      </x:c>
    </x:row>
    <x:row r="771" ht="145" customHeight="1">
      <x:c r="A771" s="32" t="str">
        <x:v>CHG-P0-2</x:v>
      </x:c>
      <x:c r="B771" s="32" t="str">
        <x:v>MAP-03; P0-2</x:v>
      </x:c>
      <x:c r="C771" s="32" t="str">
        <x:v>F01; F03; F04; F05; F06; F07; F08</x:v>
      </x:c>
      <x:c r="D771" s="32" t="str">
        <x:v>DOC-003</x:v>
      </x:c>
      <x:c r="E771" s="32" t="str">
        <x:v>Bỏ nhập tọa độ; Job chi tiết/ETA, public_locations/service_modes và HTTP chat</x:v>
      </x:c>
      <x:c r="F771" s="32" t="str">
        <x:v>Không áp dụng</x:v>
      </x:c>
      <x:c r="G771" s="32" t="str">
        <x:v>Có</x:v>
      </x:c>
      <x:c r="H771" s="32" t="str">
        <x:v>Codex</x:v>
      </x:c>
      <x:c r="I771" s="33" t="n">
        <x:v>46302</x:v>
      </x:c>
      <x:c r="J771" s="32" t="str">
        <x:v>Đối chiếu Anh huong và tìm chéo; giữ nguyên phần không đổi.</x:v>
      </x:c>
      <x:c r="K771" s="32" t="str">
        <x:v>Không đổi mục tiêu BRD, quyền/trạng thái chuẩn, tiền/point/hóa đơn, realtime đầy đủ hoặc các chức năng Pending. Báo cáo không là phê duyệt production.</x:v>
      </x:c>
      <x:c r="L771" s="32" t="str">
        <x:v>Không áp dụng có lý do</x:v>
      </x:c>
    </x:row>
    <x:row r="772" ht="145" customHeight="1">
      <x:c r="A772" s="32" t="str">
        <x:v>CHG-P0-2</x:v>
      </x:c>
      <x:c r="B772" s="32" t="str">
        <x:v>MAP-03; P0-2</x:v>
      </x:c>
      <x:c r="C772" s="32" t="str">
        <x:v>F01; F03; F04; F05; F06; F07; F08</x:v>
      </x:c>
      <x:c r="D772" s="32" t="str">
        <x:v>DOC-004</x:v>
      </x:c>
      <x:c r="E772" s="32" t="str">
        <x:v>Bỏ nhập tọa độ; Job chi tiết/ETA, public_locations/service_modes và HTTP chat</x:v>
      </x:c>
      <x:c r="F772" s="32" t="str">
        <x:v>Đã cập nhật</x:v>
      </x:c>
      <x:c r="G772" s="32" t="str">
        <x:v>Có</x:v>
      </x:c>
      <x:c r="H772" s="32" t="str">
        <x:v>Codex</x:v>
      </x:c>
      <x:c r="I772" s="33" t="n">
        <x:v>46302</x:v>
      </x:c>
      <x:c r="J772" s="32" t="str">
        <x:v>API v0.1.9; nguồn/mirror/HTML/ZIP hiện hành cập nhật. Drive cùng ID; Docs/FR đọc lại, raw upload và metadata xác nhận. Chi tiết kiểm byte trong .local/p0-2.</x:v>
      </x:c>
      <x:c r="K772" s="32" t="str"/>
      <x:c r="L772" s="32" t="str">
        <x:v>Hoàn tất</x:v>
      </x:c>
    </x:row>
    <x:row r="773" ht="145" customHeight="1">
      <x:c r="A773" s="32" t="str">
        <x:v>CHG-P0-2</x:v>
      </x:c>
      <x:c r="B773" s="32" t="str">
        <x:v>MAP-03; P0-2</x:v>
      </x:c>
      <x:c r="C773" s="32" t="str">
        <x:v>F01; F03; F04; F05; F06; F07; F08</x:v>
      </x:c>
      <x:c r="D773" s="32" t="str">
        <x:v>DOC-005</x:v>
      </x:c>
      <x:c r="E773" s="32" t="str">
        <x:v>Bỏ nhập tọa độ; Job chi tiết/ETA, public_locations/service_modes và HTTP chat</x:v>
      </x:c>
      <x:c r="F773" s="32" t="str">
        <x:v>Đã cập nhật</x:v>
      </x:c>
      <x:c r="G773" s="32" t="str">
        <x:v>Có</x:v>
      </x:c>
      <x:c r="H773" s="32" t="str">
        <x:v>Codex</x:v>
      </x:c>
      <x:c r="I773" s="33" t="n">
        <x:v>46302</x:v>
      </x:c>
      <x:c r="J773" s="32" t="str">
        <x:v>API v0.1.9; nguồn/mirror/HTML/ZIP hiện hành cập nhật. Drive cùng ID; Docs/FR đọc lại, raw upload và metadata xác nhận. Chi tiết kiểm byte trong .local/p0-2.</x:v>
      </x:c>
      <x:c r="K773" s="32" t="str"/>
      <x:c r="L773" s="32" t="str">
        <x:v>Hoàn tất</x:v>
      </x:c>
    </x:row>
    <x:row r="774" ht="145" customHeight="1">
      <x:c r="A774" s="32" t="str">
        <x:v>CHG-P0-2</x:v>
      </x:c>
      <x:c r="B774" s="32" t="str">
        <x:v>MAP-03; P0-2</x:v>
      </x:c>
      <x:c r="C774" s="32" t="str">
        <x:v>F01; F03; F04; F05; F06; F07; F08</x:v>
      </x:c>
      <x:c r="D774" s="32" t="str">
        <x:v>DOC-006</x:v>
      </x:c>
      <x:c r="E774" s="32" t="str">
        <x:v>Bỏ nhập tọa độ; Job chi tiết/ETA, public_locations/service_modes và HTTP chat</x:v>
      </x:c>
      <x:c r="F774" s="32" t="str">
        <x:v>Đã cập nhật</x:v>
      </x:c>
      <x:c r="G774" s="32" t="str">
        <x:v>Có</x:v>
      </x:c>
      <x:c r="H774" s="32" t="str">
        <x:v>Codex</x:v>
      </x:c>
      <x:c r="I774" s="33" t="n">
        <x:v>46302</x:v>
      </x:c>
      <x:c r="J774" s="32" t="str">
        <x:v>API v0.1.9; nguồn/mirror/HTML/ZIP hiện hành cập nhật. Drive cùng ID; Docs/FR đọc lại, raw upload và metadata xác nhận. Chi tiết kiểm byte trong .local/p0-2.</x:v>
      </x:c>
      <x:c r="K774" s="32" t="str"/>
      <x:c r="L774" s="32" t="str">
        <x:v>Hoàn tất</x:v>
      </x:c>
    </x:row>
    <x:row r="775" ht="145" customHeight="1">
      <x:c r="A775" s="32" t="str">
        <x:v>CHG-P0-2</x:v>
      </x:c>
      <x:c r="B775" s="32" t="str">
        <x:v>MAP-03; P0-2</x:v>
      </x:c>
      <x:c r="C775" s="32" t="str">
        <x:v>F01; F03; F04; F05; F06; F07; F08</x:v>
      </x:c>
      <x:c r="D775" s="32" t="str">
        <x:v>DOC-007</x:v>
      </x:c>
      <x:c r="E775" s="32" t="str">
        <x:v>Bỏ nhập tọa độ; Job chi tiết/ETA, public_locations/service_modes và HTTP chat</x:v>
      </x:c>
      <x:c r="F775" s="32" t="str">
        <x:v>Đã cập nhật</x:v>
      </x:c>
      <x:c r="G775" s="32" t="str">
        <x:v>Có</x:v>
      </x:c>
      <x:c r="H775" s="32" t="str">
        <x:v>Codex</x:v>
      </x:c>
      <x:c r="I775" s="33" t="n">
        <x:v>46302</x:v>
      </x:c>
      <x:c r="J775" s="32" t="str">
        <x:v>API v0.1.9; nguồn/mirror/HTML/ZIP hiện hành cập nhật. Drive cùng ID; Docs/FR đọc lại, raw upload và metadata xác nhận. Chi tiết kiểm byte trong .local/p0-2.</x:v>
      </x:c>
      <x:c r="K775" s="32" t="str"/>
      <x:c r="L775" s="32" t="str">
        <x:v>Hoàn tất</x:v>
      </x:c>
    </x:row>
    <x:row r="776" ht="145" customHeight="1">
      <x:c r="A776" s="32" t="str">
        <x:v>CHG-P0-2</x:v>
      </x:c>
      <x:c r="B776" s="32" t="str">
        <x:v>MAP-03; P0-2</x:v>
      </x:c>
      <x:c r="C776" s="32" t="str">
        <x:v>F01; F03; F04; F05; F06; F07; F08</x:v>
      </x:c>
      <x:c r="D776" s="32" t="str">
        <x:v>DOC-008</x:v>
      </x:c>
      <x:c r="E776" s="32" t="str">
        <x:v>Bỏ nhập tọa độ; Job chi tiết/ETA, public_locations/service_modes và HTTP chat</x:v>
      </x:c>
      <x:c r="F776" s="32" t="str">
        <x:v>Không áp dụng</x:v>
      </x:c>
      <x:c r="G776" s="32" t="str">
        <x:v>Có</x:v>
      </x:c>
      <x:c r="H776" s="32" t="str">
        <x:v>Codex</x:v>
      </x:c>
      <x:c r="I776" s="33" t="n">
        <x:v>46302</x:v>
      </x:c>
      <x:c r="J776" s="32" t="str">
        <x:v>Đối chiếu Anh huong và tìm chéo; giữ nguyên phần không đổi.</x:v>
      </x:c>
      <x:c r="K776" s="32" t="str">
        <x:v>Wireframe baseline giữ lịch sử; UX hiện hành DOC-006/007 và ảnh app B03-03/04 thay phần giao diện này.</x:v>
      </x:c>
      <x:c r="L776" s="32" t="str">
        <x:v>Không áp dụng có lý do</x:v>
      </x:c>
    </x:row>
    <x:row r="777" ht="145" customHeight="1">
      <x:c r="A777" s="32" t="str">
        <x:v>CHG-P0-2</x:v>
      </x:c>
      <x:c r="B777" s="32" t="str">
        <x:v>MAP-03; P0-2</x:v>
      </x:c>
      <x:c r="C777" s="32" t="str">
        <x:v>F01; F03; F04; F05; F06; F07; F08</x:v>
      </x:c>
      <x:c r="D777" s="32" t="str">
        <x:v>DOC-012</x:v>
      </x:c>
      <x:c r="E777" s="32" t="str">
        <x:v>Bỏ nhập tọa độ; Job chi tiết/ETA, public_locations/service_modes và HTTP chat</x:v>
      </x:c>
      <x:c r="F777" s="32" t="str">
        <x:v>Đã cập nhật</x:v>
      </x:c>
      <x:c r="G777" s="32" t="str">
        <x:v>Có</x:v>
      </x:c>
      <x:c r="H777" s="32" t="str">
        <x:v>Codex</x:v>
      </x:c>
      <x:c r="I777" s="33" t="n">
        <x:v>46302</x:v>
      </x:c>
      <x:c r="J777" s="32" t="str">
        <x:v>API v0.1.9; nguồn/mirror/HTML/ZIP hiện hành cập nhật. Drive cùng ID; Docs/FR đọc lại, raw upload và metadata xác nhận. Chi tiết kiểm byte trong .local/p0-2.</x:v>
      </x:c>
      <x:c r="K777" s="32" t="str"/>
      <x:c r="L777" s="32" t="str">
        <x:v>Hoàn tất</x:v>
      </x:c>
    </x:row>
    <x:row r="778" ht="145" customHeight="1">
      <x:c r="A778" s="32" t="str">
        <x:v>CHG-P0-2</x:v>
      </x:c>
      <x:c r="B778" s="32" t="str">
        <x:v>MAP-03; P0-2</x:v>
      </x:c>
      <x:c r="C778" s="32" t="str">
        <x:v>F01; F03; F04; F05; F06; F07; F08</x:v>
      </x:c>
      <x:c r="D778" s="32" t="str">
        <x:v>DOC-013</x:v>
      </x:c>
      <x:c r="E778" s="32" t="str">
        <x:v>Bỏ nhập tọa độ; Job chi tiết/ETA, public_locations/service_modes và HTTP chat</x:v>
      </x:c>
      <x:c r="F778" s="32" t="str">
        <x:v>Đã cập nhật</x:v>
      </x:c>
      <x:c r="G778" s="32" t="str">
        <x:v>Có</x:v>
      </x:c>
      <x:c r="H778" s="32" t="str">
        <x:v>Codex</x:v>
      </x:c>
      <x:c r="I778" s="33" t="n">
        <x:v>46302</x:v>
      </x:c>
      <x:c r="J778" s="32" t="str">
        <x:v>API v0.1.9; nguồn/mirror/HTML/ZIP hiện hành cập nhật. Drive cùng ID; Docs/FR đọc lại, raw upload và metadata xác nhận. Chi tiết kiểm byte trong .local/p0-2.</x:v>
      </x:c>
      <x:c r="K778" s="32" t="str"/>
      <x:c r="L778" s="32" t="str">
        <x:v>Hoàn tất</x:v>
      </x:c>
    </x:row>
    <x:row r="779" ht="145" customHeight="1">
      <x:c r="A779" s="32" t="str">
        <x:v>CHG-P0-2</x:v>
      </x:c>
      <x:c r="B779" s="32" t="str">
        <x:v>MAP-03; P0-2</x:v>
      </x:c>
      <x:c r="C779" s="32" t="str">
        <x:v>F01; F03; F04; F05; F06; F07; F08</x:v>
      </x:c>
      <x:c r="D779" s="32" t="str">
        <x:v>DOC-014</x:v>
      </x:c>
      <x:c r="E779" s="32" t="str">
        <x:v>Bỏ nhập tọa độ; Job chi tiết/ETA, public_locations/service_modes và HTTP chat</x:v>
      </x:c>
      <x:c r="F779" s="32" t="str">
        <x:v>Đã cập nhật</x:v>
      </x:c>
      <x:c r="G779" s="32" t="str">
        <x:v>Có</x:v>
      </x:c>
      <x:c r="H779" s="32" t="str">
        <x:v>Codex</x:v>
      </x:c>
      <x:c r="I779" s="33" t="n">
        <x:v>46302</x:v>
      </x:c>
      <x:c r="J779" s="32" t="str">
        <x:v>API v0.1.9; nguồn/mirror/HTML/ZIP hiện hành cập nhật. Drive cùng ID; Docs/FR đọc lại, raw upload và metadata xác nhận. Chi tiết kiểm byte trong .local/p0-2.</x:v>
      </x:c>
      <x:c r="K779" s="32" t="str"/>
      <x:c r="L779" s="32" t="str">
        <x:v>Hoàn tất</x:v>
      </x:c>
    </x:row>
    <x:row r="780" ht="145" customHeight="1">
      <x:c r="A780" s="32" t="str">
        <x:v>CHG-P0-2</x:v>
      </x:c>
      <x:c r="B780" s="32" t="str">
        <x:v>MAP-03; P0-2</x:v>
      </x:c>
      <x:c r="C780" s="32" t="str">
        <x:v>F01; F03; F04; F05; F06; F07; F08</x:v>
      </x:c>
      <x:c r="D780" s="32" t="str">
        <x:v>DOC-015</x:v>
      </x:c>
      <x:c r="E780" s="32" t="str">
        <x:v>Bỏ nhập tọa độ; Job chi tiết/ETA, public_locations/service_modes và HTTP chat</x:v>
      </x:c>
      <x:c r="F780" s="32" t="str">
        <x:v>Đã cập nhật</x:v>
      </x:c>
      <x:c r="G780" s="32" t="str">
        <x:v>Có</x:v>
      </x:c>
      <x:c r="H780" s="32" t="str">
        <x:v>Codex</x:v>
      </x:c>
      <x:c r="I780" s="33" t="n">
        <x:v>46302</x:v>
      </x:c>
      <x:c r="J780" s="32" t="str">
        <x:v>API v0.1.9; nguồn/mirror/HTML/ZIP hiện hành cập nhật. Drive cùng ID; Docs/FR đọc lại, raw upload và metadata xác nhận. Chi tiết kiểm byte trong .local/p0-2.</x:v>
      </x:c>
      <x:c r="K780" s="32" t="str"/>
      <x:c r="L780" s="32" t="str">
        <x:v>Hoàn tất</x:v>
      </x:c>
    </x:row>
    <x:row r="781" ht="145" customHeight="1">
      <x:c r="A781" s="32" t="str">
        <x:v>CHG-P0-2</x:v>
      </x:c>
      <x:c r="B781" s="32" t="str">
        <x:v>MAP-03; P0-2</x:v>
      </x:c>
      <x:c r="C781" s="32" t="str">
        <x:v>F01; F03; F04; F05; F06; F07; F08</x:v>
      </x:c>
      <x:c r="D781" s="32" t="str">
        <x:v>DOC-016</x:v>
      </x:c>
      <x:c r="E781" s="32" t="str">
        <x:v>Bỏ nhập tọa độ; Job chi tiết/ETA, public_locations/service_modes và HTTP chat</x:v>
      </x:c>
      <x:c r="F781" s="32" t="str">
        <x:v>Đã cập nhật</x:v>
      </x:c>
      <x:c r="G781" s="32" t="str">
        <x:v>Có</x:v>
      </x:c>
      <x:c r="H781" s="32" t="str">
        <x:v>Codex</x:v>
      </x:c>
      <x:c r="I781" s="33" t="n">
        <x:v>46302</x:v>
      </x:c>
      <x:c r="J781" s="32" t="str">
        <x:v>API v0.1.9; nguồn/mirror/HTML/ZIP hiện hành cập nhật. Drive cùng ID; Docs/FR đọc lại, raw upload và metadata xác nhận. Chi tiết kiểm byte trong .local/p0-2.</x:v>
      </x:c>
      <x:c r="K781" s="32" t="str"/>
      <x:c r="L781" s="32" t="str">
        <x:v>Hoàn tất</x:v>
      </x:c>
    </x:row>
    <x:row r="782" ht="145" customHeight="1">
      <x:c r="A782" s="32" t="str">
        <x:v>CHG-P0-2</x:v>
      </x:c>
      <x:c r="B782" s="32" t="str">
        <x:v>MAP-03; P0-2</x:v>
      </x:c>
      <x:c r="C782" s="32" t="str">
        <x:v>F01; F03; F04; F05; F06; F07; F08</x:v>
      </x:c>
      <x:c r="D782" s="32" t="str">
        <x:v>DOC-017</x:v>
      </x:c>
      <x:c r="E782" s="32" t="str">
        <x:v>Bỏ nhập tọa độ; Job chi tiết/ETA, public_locations/service_modes và HTTP chat</x:v>
      </x:c>
      <x:c r="F782" s="32" t="str">
        <x:v>Không áp dụng</x:v>
      </x:c>
      <x:c r="G782" s="32" t="str">
        <x:v>Có</x:v>
      </x:c>
      <x:c r="H782" s="32" t="str">
        <x:v>Codex</x:v>
      </x:c>
      <x:c r="I782" s="33" t="n">
        <x:v>46302</x:v>
      </x:c>
      <x:c r="J782" s="32" t="str">
        <x:v>Đối chiếu Anh huong và tìm chéo; giữ nguyên phần không đổi.</x:v>
      </x:c>
      <x:c r="K782" s="32" t="str">
        <x:v>Bản tổng hợp v0.1 giữ lịch sử; nguồn architecture.json, HTML DOC-016 và ZIP DOC-018 hiện hành đã cập nhật.</x:v>
      </x:c>
      <x:c r="L782" s="32" t="str">
        <x:v>Không áp dụng có lý do</x:v>
      </x:c>
    </x:row>
    <x:row r="783" ht="145" customHeight="1">
      <x:c r="A783" s="32" t="str">
        <x:v>CHG-P0-2</x:v>
      </x:c>
      <x:c r="B783" s="32" t="str">
        <x:v>MAP-03; P0-2</x:v>
      </x:c>
      <x:c r="C783" s="32" t="str">
        <x:v>F01; F03; F04; F05; F06; F07; F08</x:v>
      </x:c>
      <x:c r="D783" s="32" t="str">
        <x:v>DOC-018</x:v>
      </x:c>
      <x:c r="E783" s="32" t="str">
        <x:v>Bỏ nhập tọa độ; Job chi tiết/ETA, public_locations/service_modes và HTTP chat</x:v>
      </x:c>
      <x:c r="F783" s="32" t="str">
        <x:v>Đã cập nhật</x:v>
      </x:c>
      <x:c r="G783" s="32" t="str">
        <x:v>Có</x:v>
      </x:c>
      <x:c r="H783" s="32" t="str">
        <x:v>Codex</x:v>
      </x:c>
      <x:c r="I783" s="33" t="n">
        <x:v>46302</x:v>
      </x:c>
      <x:c r="J783" s="32" t="str">
        <x:v>API v0.1.9; nguồn/mirror/HTML/ZIP hiện hành cập nhật. Drive cùng ID; Docs/FR đọc lại, raw upload và metadata xác nhận. Chi tiết kiểm byte trong .local/p0-2.</x:v>
      </x:c>
      <x:c r="K783" s="32" t="str"/>
      <x:c r="L783" s="32" t="str">
        <x:v>Hoàn tất</x:v>
      </x:c>
    </x:row>
    <x:row r="784" ht="145" customHeight="1">
      <x:c r="A784" s="32" t="str">
        <x:v>CHG-P0-2</x:v>
      </x:c>
      <x:c r="B784" s="32" t="str">
        <x:v>MAP-03; P0-2</x:v>
      </x:c>
      <x:c r="C784" s="32" t="str">
        <x:v>F01; F03; F04; F05; F06; F07; F08</x:v>
      </x:c>
      <x:c r="D784" s="32" t="str">
        <x:v>DOC-025</x:v>
      </x:c>
      <x:c r="E784" s="32" t="str">
        <x:v>Bỏ nhập tọa độ; Job chi tiết/ETA, public_locations/service_modes và HTTP chat</x:v>
      </x:c>
      <x:c r="F784" s="32" t="str">
        <x:v>Không áp dụng</x:v>
      </x:c>
      <x:c r="G784" s="32" t="str">
        <x:v>Có</x:v>
      </x:c>
      <x:c r="H784" s="32" t="str">
        <x:v>Codex</x:v>
      </x:c>
      <x:c r="I784" s="33" t="n">
        <x:v>46302</x:v>
      </x:c>
      <x:c r="J784" s="32" t="str">
        <x:v>Đối chiếu Anh huong và tìm chéo; giữ nguyên phần không đổi.</x:v>
      </x:c>
      <x:c r="K784" s="32" t="str">
        <x:v>Không đổi mục tiêu BRD, quyền/trạng thái chuẩn, tiền/point/hóa đơn, realtime đầy đủ hoặc các chức năng Pending. Báo cáo không là phê duyệt production.</x:v>
      </x:c>
      <x:c r="L784" s="32" t="str">
        <x:v>Không áp dụng có lý do</x:v>
      </x:c>
    </x:row>
    <x:row r="785" ht="145" customHeight="1">
      <x:c r="A785" s="32" t="str">
        <x:v>CHG-P0-2</x:v>
      </x:c>
      <x:c r="B785" s="32" t="str">
        <x:v>MAP-03; P0-2</x:v>
      </x:c>
      <x:c r="C785" s="32" t="str">
        <x:v>F01; F03; F04; F05; F06; F07; F08</x:v>
      </x:c>
      <x:c r="D785" s="32" t="str">
        <x:v>DOC-026</x:v>
      </x:c>
      <x:c r="E785" s="32" t="str">
        <x:v>Bỏ nhập tọa độ; Job chi tiết/ETA, public_locations/service_modes và HTTP chat</x:v>
      </x:c>
      <x:c r="F785" s="32" t="str">
        <x:v>Không áp dụng</x:v>
      </x:c>
      <x:c r="G785" s="32" t="str">
        <x:v>Có</x:v>
      </x:c>
      <x:c r="H785" s="32" t="str">
        <x:v>Codex</x:v>
      </x:c>
      <x:c r="I785" s="33" t="n">
        <x:v>46302</x:v>
      </x:c>
      <x:c r="J785" s="32" t="str">
        <x:v>Đối chiếu Anh huong và tìm chéo; giữ nguyên phần không đổi.</x:v>
      </x:c>
      <x:c r="K785" s="32" t="str">
        <x:v>Không đổi mục tiêu BRD, quyền/trạng thái chuẩn, tiền/point/hóa đơn, realtime đầy đủ hoặc các chức năng Pending. Báo cáo không là phê duyệt production.</x:v>
      </x:c>
      <x:c r="L785" s="32" t="str">
        <x:v>Không áp dụng có lý do</x:v>
      </x:c>
    </x:row>
    <x:row r="786" ht="145" customHeight="1">
      <x:c r="A786" s="32" t="str">
        <x:v>CHG-P0-2</x:v>
      </x:c>
      <x:c r="B786" s="32" t="str">
        <x:v>MAP-03; P0-2</x:v>
      </x:c>
      <x:c r="C786" s="32" t="str">
        <x:v>F01; F03; F04; F05; F06; F07; F08</x:v>
      </x:c>
      <x:c r="D786" s="32" t="str">
        <x:v>DOC-027</x:v>
      </x:c>
      <x:c r="E786" s="32" t="str">
        <x:v>Bỏ nhập tọa độ; Job chi tiết/ETA, public_locations/service_modes và HTTP chat</x:v>
      </x:c>
      <x:c r="F786" s="32" t="str">
        <x:v>Không áp dụng</x:v>
      </x:c>
      <x:c r="G786" s="32" t="str">
        <x:v>Có</x:v>
      </x:c>
      <x:c r="H786" s="32" t="str">
        <x:v>Codex</x:v>
      </x:c>
      <x:c r="I786" s="33" t="n">
        <x:v>46302</x:v>
      </x:c>
      <x:c r="J786" s="32" t="str">
        <x:v>Đối chiếu Anh huong và tìm chéo; giữ nguyên phần không đổi.</x:v>
      </x:c>
      <x:c r="K786" s="32" t="str">
        <x:v>Không đổi mục tiêu BRD, quyền/trạng thái chuẩn, tiền/point/hóa đơn, realtime đầy đủ hoặc các chức năng Pending. Báo cáo không là phê duyệt production.</x:v>
      </x:c>
      <x:c r="L786" s="32" t="str">
        <x:v>Không áp dụng có lý do</x:v>
      </x:c>
    </x:row>
    <x:row r="787" ht="145" customHeight="1">
      <x:c r="A787" s="32" t="str">
        <x:v>CHG-P0-2</x:v>
      </x:c>
      <x:c r="B787" s="32" t="str">
        <x:v>MAP-03; P0-2</x:v>
      </x:c>
      <x:c r="C787" s="32" t="str">
        <x:v>F01; F03; F04; F05; F06; F07; F08</x:v>
      </x:c>
      <x:c r="D787" s="32" t="str">
        <x:v>DOC-028</x:v>
      </x:c>
      <x:c r="E787" s="32" t="str">
        <x:v>Bỏ nhập tọa độ; Job chi tiết/ETA, public_locations/service_modes và HTTP chat</x:v>
      </x:c>
      <x:c r="F787" s="32" t="str">
        <x:v>Không áp dụng</x:v>
      </x:c>
      <x:c r="G787" s="32" t="str">
        <x:v>Có</x:v>
      </x:c>
      <x:c r="H787" s="32" t="str">
        <x:v>Codex</x:v>
      </x:c>
      <x:c r="I787" s="33" t="n">
        <x:v>46302</x:v>
      </x:c>
      <x:c r="J787" s="32" t="str">
        <x:v>Đối chiếu Anh huong và tìm chéo; giữ nguyên phần không đổi.</x:v>
      </x:c>
      <x:c r="K787" s="32" t="str">
        <x:v>Không đổi mục tiêu BRD, quyền/trạng thái chuẩn, tiền/point/hóa đơn, realtime đầy đủ hoặc các chức năng Pending. Báo cáo không là phê duyệt production.</x:v>
      </x:c>
      <x:c r="L787" s="32" t="str">
        <x:v>Không áp dụng có lý do</x:v>
      </x:c>
    </x:row>
    <x:row r="788" ht="145" customHeight="1">
      <x:c r="A788" s="32" t="str">
        <x:v>CHG-P0-2</x:v>
      </x:c>
      <x:c r="B788" s="32" t="str">
        <x:v>MAP-03; P0-2</x:v>
      </x:c>
      <x:c r="C788" s="32" t="str">
        <x:v>F01; F03; F04; F05; F06; F07; F08</x:v>
      </x:c>
      <x:c r="D788" s="32" t="str">
        <x:v>DOC-029</x:v>
      </x:c>
      <x:c r="E788" s="32" t="str">
        <x:v>Bỏ nhập tọa độ; Job chi tiết/ETA, public_locations/service_modes và HTTP chat</x:v>
      </x:c>
      <x:c r="F788" s="32" t="str">
        <x:v>Đã cập nhật</x:v>
      </x:c>
      <x:c r="G788" s="32" t="str">
        <x:v>Có</x:v>
      </x:c>
      <x:c r="H788" s="32" t="str">
        <x:v>Codex</x:v>
      </x:c>
      <x:c r="I788" s="33" t="n">
        <x:v>46302</x:v>
      </x:c>
      <x:c r="J788" s="32" t="str">
        <x:v>API v0.1.9; nguồn/mirror/HTML/ZIP hiện hành cập nhật. Drive cùng ID; Docs/FR đọc lại, raw upload và metadata xác nhận. Chi tiết kiểm byte trong .local/p0-2.</x:v>
      </x:c>
      <x:c r="K788" s="32" t="str"/>
      <x:c r="L788" s="32" t="str">
        <x:v>Hoàn tất</x:v>
      </x:c>
    </x:row>
    <x:row r="789" ht="145" customHeight="1">
      <x:c r="A789" s="32" t="str">
        <x:v>CHG-P0-2</x:v>
      </x:c>
      <x:c r="B789" s="32" t="str">
        <x:v>MAP-03; P0-2</x:v>
      </x:c>
      <x:c r="C789" s="32" t="str">
        <x:v>F01; F03; F04; F05; F06; F07; F08</x:v>
      </x:c>
      <x:c r="D789" s="32" t="str">
        <x:v>DOC-030</x:v>
      </x:c>
      <x:c r="E789" s="32" t="str">
        <x:v>Bỏ nhập tọa độ; Job chi tiết/ETA, public_locations/service_modes và HTTP chat</x:v>
      </x:c>
      <x:c r="F789" s="32" t="str">
        <x:v>Đã cập nhật</x:v>
      </x:c>
      <x:c r="G789" s="32" t="str">
        <x:v>Có</x:v>
      </x:c>
      <x:c r="H789" s="32" t="str">
        <x:v>Codex</x:v>
      </x:c>
      <x:c r="I789" s="33" t="n">
        <x:v>46302</x:v>
      </x:c>
      <x:c r="J789" s="32" t="str">
        <x:v>API v0.1.9; nguồn/mirror/HTML/ZIP hiện hành cập nhật. Drive cùng ID; Docs/FR đọc lại, raw upload và metadata xác nhận. Chi tiết kiểm byte trong .local/p0-2.</x:v>
      </x:c>
      <x:c r="K789" s="32" t="str"/>
      <x:c r="L789" s="32" t="str">
        <x:v>Hoàn tất</x:v>
      </x:c>
    </x:row>
    <x:row r="790" ht="145" customHeight="1">
      <x:c r="A790" s="32" t="str">
        <x:v>CHG-P0-2</x:v>
      </x:c>
      <x:c r="B790" s="32" t="str">
        <x:v>MAP-03; P0-2</x:v>
      </x:c>
      <x:c r="C790" s="32" t="str">
        <x:v>F01; F03; F04; F05; F06; F07; F08</x:v>
      </x:c>
      <x:c r="D790" s="32" t="str">
        <x:v>DOC-031</x:v>
      </x:c>
      <x:c r="E790" s="32" t="str">
        <x:v>Bỏ nhập tọa độ; Job chi tiết/ETA, public_locations/service_modes và HTTP chat</x:v>
      </x:c>
      <x:c r="F790" s="32" t="str">
        <x:v>Đã cập nhật</x:v>
      </x:c>
      <x:c r="G790" s="32" t="str">
        <x:v>Có</x:v>
      </x:c>
      <x:c r="H790" s="32" t="str">
        <x:v>Codex</x:v>
      </x:c>
      <x:c r="I790" s="33" t="n">
        <x:v>46302</x:v>
      </x:c>
      <x:c r="J790" s="32" t="str">
        <x:v>API v0.1.9; nguồn/mirror/HTML/ZIP hiện hành cập nhật. Drive cùng ID; Docs/FR đọc lại, raw upload và metadata xác nhận. Chi tiết kiểm byte trong .local/p0-2.</x:v>
      </x:c>
      <x:c r="K790" s="32" t="str"/>
      <x:c r="L790" s="32" t="str">
        <x:v>Hoàn tất</x:v>
      </x:c>
    </x:row>
    <x:row r="791" ht="145" customHeight="1">
      <x:c r="A791" s="32" t="str">
        <x:v>CHG-P0-2</x:v>
      </x:c>
      <x:c r="B791" s="32" t="str">
        <x:v>MAP-03; P0-2</x:v>
      </x:c>
      <x:c r="C791" s="32" t="str">
        <x:v>F01; F03; F04; F05; F06; F07; F08</x:v>
      </x:c>
      <x:c r="D791" s="32" t="str">
        <x:v>DOC-033</x:v>
      </x:c>
      <x:c r="E791" s="32" t="str">
        <x:v>Bỏ nhập tọa độ; Job chi tiết/ETA, public_locations/service_modes và HTTP chat</x:v>
      </x:c>
      <x:c r="F791" s="32" t="str">
        <x:v>Đã cập nhật</x:v>
      </x:c>
      <x:c r="G791" s="32" t="str">
        <x:v>Có</x:v>
      </x:c>
      <x:c r="H791" s="32" t="str">
        <x:v>Codex</x:v>
      </x:c>
      <x:c r="I791" s="33" t="n">
        <x:v>46302</x:v>
      </x:c>
      <x:c r="J791" s="32" t="str">
        <x:v>API v0.1.9; nguồn/mirror/HTML/ZIP hiện hành cập nhật. Drive cùng ID; Docs/FR đọc lại, raw upload và metadata xác nhận. Chi tiết kiểm byte trong .local/p0-2.</x:v>
      </x:c>
      <x:c r="K791" s="32" t="str"/>
      <x:c r="L791" s="32" t="str">
        <x:v>Hoàn tất</x:v>
      </x:c>
    </x:row>
    <x:row r="792" ht="145" customHeight="1">
      <x:c r="A792" s="32" t="str">
        <x:v>CHG-P0-2</x:v>
      </x:c>
      <x:c r="B792" s="32" t="str">
        <x:v>MAP-03; P0-2</x:v>
      </x:c>
      <x:c r="C792" s="32" t="str">
        <x:v>F01; F03; F04; F05; F06; F07; F08</x:v>
      </x:c>
      <x:c r="D792" s="32" t="str">
        <x:v>DOC-034</x:v>
      </x:c>
      <x:c r="E792" s="32" t="str">
        <x:v>Bỏ nhập tọa độ; Job chi tiết/ETA, public_locations/service_modes và HTTP chat</x:v>
      </x:c>
      <x:c r="F792" s="32" t="str">
        <x:v>Đã cập nhật</x:v>
      </x:c>
      <x:c r="G792" s="32" t="str">
        <x:v>Có</x:v>
      </x:c>
      <x:c r="H792" s="32" t="str">
        <x:v>Codex</x:v>
      </x:c>
      <x:c r="I792" s="33" t="n">
        <x:v>46302</x:v>
      </x:c>
      <x:c r="J792" s="32" t="str">
        <x:v>API v0.1.9; nguồn/mirror/HTML/ZIP hiện hành cập nhật. Drive cùng ID; Docs/FR đọc lại, raw upload và metadata xác nhận. Chi tiết kiểm byte trong .local/p0-2.</x:v>
      </x:c>
      <x:c r="K792" s="32" t="str"/>
      <x:c r="L792" s="32" t="str">
        <x:v>Hoàn tất</x:v>
      </x:c>
    </x:row>
    <x:row r="793" ht="145" customHeight="1">
      <x:c r="A793" s="32" t="str">
        <x:v>CHG-P0-2</x:v>
      </x:c>
      <x:c r="B793" s="32" t="str">
        <x:v>MAP-03; P0-2</x:v>
      </x:c>
      <x:c r="C793" s="32" t="str">
        <x:v>F01; F03; F04; F05; F06; F07; F08</x:v>
      </x:c>
      <x:c r="D793" s="32" t="str">
        <x:v>DOC-037</x:v>
      </x:c>
      <x:c r="E793" s="32" t="str">
        <x:v>Bỏ nhập tọa độ; Job chi tiết/ETA, public_locations/service_modes và HTTP chat</x:v>
      </x:c>
      <x:c r="F793" s="32" t="str">
        <x:v>Đã cập nhật</x:v>
      </x:c>
      <x:c r="G793" s="32" t="str">
        <x:v>Có</x:v>
      </x:c>
      <x:c r="H793" s="32" t="str">
        <x:v>Codex</x:v>
      </x:c>
      <x:c r="I793" s="33" t="n">
        <x:v>46302</x:v>
      </x:c>
      <x:c r="J793" s="32" t="str">
        <x:v>API v0.1.9; nguồn/mirror/HTML/ZIP hiện hành cập nhật. Drive cùng ID; Docs/FR đọc lại, raw upload và metadata xác nhận. Chi tiết kiểm byte trong .local/p0-2.</x:v>
      </x:c>
      <x:c r="K793" s="32" t="str"/>
      <x:c r="L793" s="32" t="str">
        <x:v>Hoàn tất</x:v>
      </x:c>
    </x:row>
    <x:row r="794" ht="145" customHeight="1">
      <x:c r="A794" s="32" t="str">
        <x:v>CHG-P0-2</x:v>
      </x:c>
      <x:c r="B794" s="32" t="str">
        <x:v>MAP-03; P0-2</x:v>
      </x:c>
      <x:c r="C794" s="32" t="str">
        <x:v>F01; F03; F04; F05; F06; F07; F08</x:v>
      </x:c>
      <x:c r="D794" s="32" t="str">
        <x:v>DOC-038</x:v>
      </x:c>
      <x:c r="E794" s="32" t="str">
        <x:v>Bỏ nhập tọa độ; Job chi tiết/ETA, public_locations/service_modes và HTTP chat</x:v>
      </x:c>
      <x:c r="F794" s="32" t="str">
        <x:v>Đã cập nhật</x:v>
      </x:c>
      <x:c r="G794" s="32" t="str">
        <x:v>Có</x:v>
      </x:c>
      <x:c r="H794" s="32" t="str">
        <x:v>Codex</x:v>
      </x:c>
      <x:c r="I794" s="33" t="n">
        <x:v>46302</x:v>
      </x:c>
      <x:c r="J794" s="32" t="str">
        <x:v>API v0.1.9; nguồn/mirror/HTML/ZIP hiện hành cập nhật. Drive cùng ID; Docs/FR đọc lại, raw upload và metadata xác nhận. Chi tiết kiểm byte trong .local/p0-2.</x:v>
      </x:c>
      <x:c r="K794" s="32" t="str"/>
      <x:c r="L794" s="32" t="str">
        <x:v>Hoàn tất</x:v>
      </x:c>
    </x:row>
    <x:row r="795" ht="145" customHeight="1">
      <x:c r="A795" s="32" t="str">
        <x:v>CHG-P0-2</x:v>
      </x:c>
      <x:c r="B795" s="32" t="str">
        <x:v>MAP-03; P0-2</x:v>
      </x:c>
      <x:c r="C795" s="32" t="str">
        <x:v>F01; F03; F04; F05; F06; F07; F08</x:v>
      </x:c>
      <x:c r="D795" s="32" t="str">
        <x:v>DOC-039</x:v>
      </x:c>
      <x:c r="E795" s="32" t="str">
        <x:v>Bỏ nhập tọa độ; Job chi tiết/ETA, public_locations/service_modes và HTTP chat</x:v>
      </x:c>
      <x:c r="F795" s="32" t="str">
        <x:v>Đã cập nhật</x:v>
      </x:c>
      <x:c r="G795" s="32" t="str">
        <x:v>Có</x:v>
      </x:c>
      <x:c r="H795" s="32" t="str">
        <x:v>Codex</x:v>
      </x:c>
      <x:c r="I795" s="33" t="n">
        <x:v>46302</x:v>
      </x:c>
      <x:c r="J795" s="32" t="str">
        <x:v>API v0.1.9; nguồn/mirror/HTML/ZIP hiện hành cập nhật. Drive cùng ID; Docs/FR đọc lại, raw upload và metadata xác nhận. Chi tiết kiểm byte trong .local/p0-2.</x:v>
      </x:c>
      <x:c r="K795" s="32" t="str"/>
      <x:c r="L795" s="32" t="str">
        <x:v>Hoàn tất</x:v>
      </x:c>
    </x:row>
    <x:row r="796" ht="145" customHeight="1">
      <x:c r="A796" s="32" t="str">
        <x:v>CHG-P0-2</x:v>
      </x:c>
      <x:c r="B796" s="32" t="str">
        <x:v>MAP-03; P0-2</x:v>
      </x:c>
      <x:c r="C796" s="32" t="str">
        <x:v>F01; F03; F04; F05; F06; F07; F08</x:v>
      </x:c>
      <x:c r="D796" s="32" t="str">
        <x:v>DOC-040</x:v>
      </x:c>
      <x:c r="E796" s="32" t="str">
        <x:v>Bỏ nhập tọa độ; Job chi tiết/ETA, public_locations/service_modes và HTTP chat</x:v>
      </x:c>
      <x:c r="F796" s="32" t="str">
        <x:v>Đã cập nhật</x:v>
      </x:c>
      <x:c r="G796" s="32" t="str">
        <x:v>Có</x:v>
      </x:c>
      <x:c r="H796" s="32" t="str">
        <x:v>Codex</x:v>
      </x:c>
      <x:c r="I796" s="33" t="n">
        <x:v>46302</x:v>
      </x:c>
      <x:c r="J796" s="32" t="str">
        <x:v>API v0.1.9; nguồn/mirror/HTML/ZIP hiện hành cập nhật. Drive cùng ID; Docs/FR đọc lại, raw upload và metadata xác nhận. Chi tiết kiểm byte trong .local/p0-2.</x:v>
      </x:c>
      <x:c r="K796" s="32" t="str"/>
      <x:c r="L796" s="32" t="str">
        <x:v>Hoàn tất</x:v>
      </x:c>
    </x:row>
    <x:row r="797" ht="145" customHeight="1">
      <x:c r="A797" s="32" t="str">
        <x:v>CHG-P0-2</x:v>
      </x:c>
      <x:c r="B797" s="32" t="str">
        <x:v>MAP-03; P0-2</x:v>
      </x:c>
      <x:c r="C797" s="32" t="str">
        <x:v>F01; F03; F04; F05; F06; F07; F08</x:v>
      </x:c>
      <x:c r="D797" s="32" t="str">
        <x:v>DOC-041</x:v>
      </x:c>
      <x:c r="E797" s="32" t="str">
        <x:v>Bỏ nhập tọa độ; Job chi tiết/ETA, public_locations/service_modes và HTTP chat</x:v>
      </x:c>
      <x:c r="F797" s="32" t="str">
        <x:v>Đã cập nhật</x:v>
      </x:c>
      <x:c r="G797" s="32" t="str">
        <x:v>Có</x:v>
      </x:c>
      <x:c r="H797" s="32" t="str">
        <x:v>Codex</x:v>
      </x:c>
      <x:c r="I797" s="33" t="n">
        <x:v>46302</x:v>
      </x:c>
      <x:c r="J797" s="32" t="str">
        <x:v>API v0.1.9; nguồn/mirror/HTML/ZIP hiện hành cập nhật. Drive cùng ID; Docs/FR đọc lại, raw upload và metadata xác nhận. Chi tiết kiểm byte trong .local/p0-2.</x:v>
      </x:c>
      <x:c r="K797" s="32" t="str"/>
      <x:c r="L797" s="32" t="str">
        <x:v>Hoàn tất</x:v>
      </x:c>
    </x:row>
    <x:row r="798" ht="145" customHeight="1">
      <x:c r="A798" s="32" t="str">
        <x:v>CHG-P0-2</x:v>
      </x:c>
      <x:c r="B798" s="32" t="str">
        <x:v>MAP-03; P0-2</x:v>
      </x:c>
      <x:c r="C798" s="32" t="str">
        <x:v>F01; F03; F04; F05; F06; F07; F08</x:v>
      </x:c>
      <x:c r="D798" s="32" t="str">
        <x:v>DOC-042</x:v>
      </x:c>
      <x:c r="E798" s="32" t="str">
        <x:v>Bỏ nhập tọa độ; Job chi tiết/ETA, public_locations/service_modes và HTTP chat</x:v>
      </x:c>
      <x:c r="F798" s="32" t="str">
        <x:v>Đã cập nhật</x:v>
      </x:c>
      <x:c r="G798" s="32" t="str">
        <x:v>Có</x:v>
      </x:c>
      <x:c r="H798" s="32" t="str">
        <x:v>Codex</x:v>
      </x:c>
      <x:c r="I798" s="33" t="n">
        <x:v>46302</x:v>
      </x:c>
      <x:c r="J798" s="32" t="str">
        <x:v>API v0.1.9; nguồn/mirror/HTML/ZIP hiện hành cập nhật. Drive cùng ID; Docs/FR đọc lại, raw upload và metadata xác nhận. Chi tiết kiểm byte trong .local/p0-2.</x:v>
      </x:c>
      <x:c r="K798" s="32" t="str"/>
      <x:c r="L798" s="32" t="str">
        <x:v>Hoàn tất</x:v>
      </x:c>
    </x:row>
    <x:row r="799" ht="145" customHeight="1">
      <x:c r="A799" s="32" t="str">
        <x:v>CHG-P0-2</x:v>
      </x:c>
      <x:c r="B799" s="32" t="str">
        <x:v>MAP-03; P0-2</x:v>
      </x:c>
      <x:c r="C799" s="32" t="str">
        <x:v>F01; F03; F04; F05; F06; F07; F08</x:v>
      </x:c>
      <x:c r="D799" s="32" t="str">
        <x:v>DOC-043</x:v>
      </x:c>
      <x:c r="E799" s="32" t="str">
        <x:v>Bỏ nhập tọa độ; Job chi tiết/ETA, public_locations/service_modes và HTTP chat</x:v>
      </x:c>
      <x:c r="F799" s="32" t="str">
        <x:v>Đã cập nhật</x:v>
      </x:c>
      <x:c r="G799" s="32" t="str">
        <x:v>Có</x:v>
      </x:c>
      <x:c r="H799" s="32" t="str">
        <x:v>Codex</x:v>
      </x:c>
      <x:c r="I799" s="33" t="n">
        <x:v>46302</x:v>
      </x:c>
      <x:c r="J799" s="32" t="str">
        <x:v>API v0.1.9; nguồn/mirror/HTML/ZIP hiện hành cập nhật. Drive cùng ID; Docs/FR đọc lại, raw upload và metadata xác nhận. Chi tiết kiểm byte trong .local/p0-2.</x:v>
      </x:c>
      <x:c r="K799" s="32" t="str"/>
      <x:c r="L799" s="32" t="str">
        <x:v>Hoàn tất</x:v>
      </x:c>
    </x:row>
    <x:row r="800" ht="145" customHeight="1">
      <x:c r="A800" s="32" t="str">
        <x:v>CHG-P0-2</x:v>
      </x:c>
      <x:c r="B800" s="32" t="str">
        <x:v>MAP-03; P0-2</x:v>
      </x:c>
      <x:c r="C800" s="32" t="str">
        <x:v>F01; F03; F04; F05; F06; F07; F08</x:v>
      </x:c>
      <x:c r="D800" s="32" t="str">
        <x:v>DOC-044</x:v>
      </x:c>
      <x:c r="E800" s="32" t="str">
        <x:v>Bỏ nhập tọa độ; Job chi tiết/ETA, public_locations/service_modes và HTTP chat</x:v>
      </x:c>
      <x:c r="F800" s="32" t="str">
        <x:v>Không áp dụng</x:v>
      </x:c>
      <x:c r="G800" s="32" t="str">
        <x:v>Có</x:v>
      </x:c>
      <x:c r="H800" s="32" t="str">
        <x:v>Codex</x:v>
      </x:c>
      <x:c r="I800" s="33" t="n">
        <x:v>46302</x:v>
      </x:c>
      <x:c r="J800" s="32" t="str">
        <x:v>Đối chiếu Anh huong và tìm chéo; giữ nguyên phần không đổi.</x:v>
      </x:c>
      <x:c r="K800" s="32" t="str">
        <x:v>Không đổi mục tiêu BRD, quyền/trạng thái chuẩn, tiền/point/hóa đơn, realtime đầy đủ hoặc các chức năng Pending. Báo cáo không là phê duyệt production.</x:v>
      </x:c>
      <x:c r="L800" s="32" t="str">
        <x:v>Không áp dụng có lý do</x:v>
      </x:c>
    </x:row>
    <x:row r="801" ht="145" customHeight="1">
      <x:c r="A801" s="32" t="str">
        <x:v>CHG-P0-2</x:v>
      </x:c>
      <x:c r="B801" s="32" t="str">
        <x:v>MAP-03; P0-2</x:v>
      </x:c>
      <x:c r="C801" s="32" t="str">
        <x:v>F01; F03; F04; F05; F06; F07; F08</x:v>
      </x:c>
      <x:c r="D801" s="32" t="str">
        <x:v>DOC-045</x:v>
      </x:c>
      <x:c r="E801" s="32" t="str">
        <x:v>Bỏ nhập tọa độ; Job chi tiết/ETA, public_locations/service_modes và HTTP chat</x:v>
      </x:c>
      <x:c r="F801" s="32" t="str">
        <x:v>Đã cập nhật</x:v>
      </x:c>
      <x:c r="G801" s="32" t="str">
        <x:v>Có</x:v>
      </x:c>
      <x:c r="H801" s="32" t="str">
        <x:v>Codex</x:v>
      </x:c>
      <x:c r="I801" s="33" t="n">
        <x:v>46302</x:v>
      </x:c>
      <x:c r="J801" s="32" t="str">
        <x:v>API v0.1.9; nguồn/mirror/HTML/ZIP hiện hành cập nhật. Drive cùng ID; Docs/FR đọc lại, raw upload và metadata xác nhận. Chi tiết kiểm byte trong .local/p0-2.</x:v>
      </x:c>
      <x:c r="K801" s="32" t="str"/>
      <x:c r="L801" s="32" t="str">
        <x:v>Hoàn tất</x:v>
      </x:c>
    </x:row>
    <x:row r="802" ht="145" customHeight="1">
      <x:c r="A802" s="32" t="str">
        <x:v>CHG-P0-2</x:v>
      </x:c>
      <x:c r="B802" s="32" t="str">
        <x:v>MAP-03; P0-2</x:v>
      </x:c>
      <x:c r="C802" s="32" t="str">
        <x:v>F01; F03; F04; F05; F06; F07; F08</x:v>
      </x:c>
      <x:c r="D802" s="32" t="str">
        <x:v>DOC-046</x:v>
      </x:c>
      <x:c r="E802" s="32" t="str">
        <x:v>Bỏ nhập tọa độ; Job chi tiết/ETA, public_locations/service_modes và HTTP chat</x:v>
      </x:c>
      <x:c r="F802" s="32" t="str">
        <x:v>Đã cập nhật</x:v>
      </x:c>
      <x:c r="G802" s="32" t="str">
        <x:v>Có</x:v>
      </x:c>
      <x:c r="H802" s="32" t="str">
        <x:v>Codex</x:v>
      </x:c>
      <x:c r="I802" s="33" t="n">
        <x:v>46302</x:v>
      </x:c>
      <x:c r="J802" s="32" t="str">
        <x:v>API v0.1.9; nguồn/mirror/HTML/ZIP hiện hành cập nhật. Drive cùng ID; Docs/FR đọc lại, raw upload và metadata xác nhận. Chi tiết kiểm byte trong .local/p0-2.</x:v>
      </x:c>
      <x:c r="K802" s="32" t="str"/>
      <x:c r="L802" s="32" t="str">
        <x:v>Hoàn tất</x:v>
      </x:c>
    </x:row>
    <x:row r="803" ht="145" customHeight="1">
      <x:c r="A803" s="32" t="str">
        <x:v>CHG-P0-2</x:v>
      </x:c>
      <x:c r="B803" s="32" t="str">
        <x:v>MAP-03; P0-2</x:v>
      </x:c>
      <x:c r="C803" s="32" t="str">
        <x:v>F01; F03; F04; F05; F06; F07; F08</x:v>
      </x:c>
      <x:c r="D803" s="32" t="str">
        <x:v>DOC-047</x:v>
      </x:c>
      <x:c r="E803" s="32" t="str">
        <x:v>Bỏ nhập tọa độ; Job chi tiết/ETA, public_locations/service_modes và HTTP chat</x:v>
      </x:c>
      <x:c r="F803" s="32" t="str">
        <x:v>Đã cập nhật</x:v>
      </x:c>
      <x:c r="G803" s="32" t="str">
        <x:v>Có</x:v>
      </x:c>
      <x:c r="H803" s="32" t="str">
        <x:v>Codex</x:v>
      </x:c>
      <x:c r="I803" s="33" t="n">
        <x:v>46302</x:v>
      </x:c>
      <x:c r="J803" s="32" t="str">
        <x:v>API v0.1.9; nguồn/mirror/HTML/ZIP hiện hành cập nhật. Drive cùng ID; Docs/FR đọc lại, raw upload và metadata xác nhận. Chi tiết kiểm byte trong .local/p0-2.</x:v>
      </x:c>
      <x:c r="K803" s="32" t="str"/>
      <x:c r="L803" s="32" t="str">
        <x:v>Hoàn tất</x:v>
      </x:c>
    </x:row>
    <x:row r="804" ht="145" customHeight="1">
      <x:c r="A804" s="32" t="str">
        <x:v>CHG-P0-2</x:v>
      </x:c>
      <x:c r="B804" s="32" t="str">
        <x:v>MAP-03; P0-2</x:v>
      </x:c>
      <x:c r="C804" s="32" t="str">
        <x:v>F01; F03; F04; F05; F06; F07; F08</x:v>
      </x:c>
      <x:c r="D804" s="32" t="str">
        <x:v>DOC-048</x:v>
      </x:c>
      <x:c r="E804" s="32" t="str">
        <x:v>Bỏ nhập tọa độ; Job chi tiết/ETA, public_locations/service_modes và HTTP chat</x:v>
      </x:c>
      <x:c r="F804" s="32" t="str">
        <x:v>Không áp dụng</x:v>
      </x:c>
      <x:c r="G804" s="32" t="str">
        <x:v>Có</x:v>
      </x:c>
      <x:c r="H804" s="32" t="str">
        <x:v>Codex</x:v>
      </x:c>
      <x:c r="I804" s="33" t="n">
        <x:v>46302</x:v>
      </x:c>
      <x:c r="J804" s="32" t="str">
        <x:v>Đối chiếu Anh huong và tìm chéo; giữ nguyên phần không đổi.</x:v>
      </x:c>
      <x:c r="K804" s="32" t="str">
        <x:v>Không đổi mục tiêu BRD, quyền/trạng thái chuẩn, tiền/point/hóa đơn, realtime đầy đủ hoặc các chức năng Pending. Báo cáo không là phê duyệt production.</x:v>
      </x:c>
      <x:c r="L804" s="32" t="str">
        <x:v>Không áp dụng có lý do</x:v>
      </x:c>
    </x:row>
    <x:row r="805" ht="145" customHeight="1">
      <x:c r="A805" s="32" t="str">
        <x:v>CHG-P0-2</x:v>
      </x:c>
      <x:c r="B805" s="32" t="str">
        <x:v>MAP-03; P0-2</x:v>
      </x:c>
      <x:c r="C805" s="32" t="str">
        <x:v>F01; F03; F04; F05; F06; F07; F08</x:v>
      </x:c>
      <x:c r="D805" s="32" t="str">
        <x:v>DOC-049</x:v>
      </x:c>
      <x:c r="E805" s="32" t="str">
        <x:v>Bỏ nhập tọa độ; Job chi tiết/ETA, public_locations/service_modes và HTTP chat</x:v>
      </x:c>
      <x:c r="F805" s="32" t="str">
        <x:v>Không áp dụng</x:v>
      </x:c>
      <x:c r="G805" s="32" t="str">
        <x:v>Có</x:v>
      </x:c>
      <x:c r="H805" s="32" t="str">
        <x:v>Codex</x:v>
      </x:c>
      <x:c r="I805" s="33" t="n">
        <x:v>46302</x:v>
      </x:c>
      <x:c r="J805" s="32" t="str">
        <x:v>Đối chiếu Anh huong và tìm chéo; giữ nguyên phần không đổi.</x:v>
      </x:c>
      <x:c r="K805" s="32" t="str">
        <x:v>Không đổi mục tiêu BRD, quyền/trạng thái chuẩn, tiền/point/hóa đơn, realtime đầy đủ hoặc các chức năng Pending. Báo cáo không là phê duyệt production.</x:v>
      </x:c>
      <x:c r="L805" s="32" t="str">
        <x:v>Không áp dụng có lý do</x:v>
      </x:c>
    </x:row>
    <x:row r="806" ht="145" customHeight="1">
      <x:c r="A806" s="32" t="str">
        <x:v>CHG-P0-2</x:v>
      </x:c>
      <x:c r="B806" s="32" t="str">
        <x:v>MAP-03; P0-2</x:v>
      </x:c>
      <x:c r="C806" s="32" t="str">
        <x:v>F01; F03; F04; F05; F06; F07; F08</x:v>
      </x:c>
      <x:c r="D806" s="32" t="str">
        <x:v>DOC-050</x:v>
      </x:c>
      <x:c r="E806" s="32" t="str">
        <x:v>Bỏ nhập tọa độ; Job chi tiết/ETA, public_locations/service_modes và HTTP chat</x:v>
      </x:c>
      <x:c r="F806" s="32" t="str">
        <x:v>Không áp dụng</x:v>
      </x:c>
      <x:c r="G806" s="32" t="str">
        <x:v>Có</x:v>
      </x:c>
      <x:c r="H806" s="32" t="str">
        <x:v>Codex</x:v>
      </x:c>
      <x:c r="I806" s="33" t="n">
        <x:v>46302</x:v>
      </x:c>
      <x:c r="J806" s="32" t="str">
        <x:v>Đối chiếu Anh huong và tìm chéo; giữ nguyên phần không đổi.</x:v>
      </x:c>
      <x:c r="K806" s="32" t="str">
        <x:v>Không đổi mục tiêu BRD, quyền/trạng thái chuẩn, tiền/point/hóa đơn, realtime đầy đủ hoặc các chức năng Pending. Báo cáo không là phê duyệt production.</x:v>
      </x:c>
      <x:c r="L806" s="32" t="str">
        <x:v>Không áp dụng có lý do</x:v>
      </x:c>
    </x:row>
    <x:row r="807" ht="145" customHeight="1">
      <x:c r="A807" s="32" t="str">
        <x:v>CHG-P0-2</x:v>
      </x:c>
      <x:c r="B807" s="32" t="str">
        <x:v>MAP-03; P0-2</x:v>
      </x:c>
      <x:c r="C807" s="32" t="str">
        <x:v>F01; F03; F04; F05; F06; F07; F08</x:v>
      </x:c>
      <x:c r="D807" s="32" t="str">
        <x:v>DOC-051</x:v>
      </x:c>
      <x:c r="E807" s="32" t="str">
        <x:v>Bỏ nhập tọa độ; Job chi tiết/ETA, public_locations/service_modes và HTTP chat</x:v>
      </x:c>
      <x:c r="F807" s="32" t="str">
        <x:v>Không áp dụng</x:v>
      </x:c>
      <x:c r="G807" s="32" t="str">
        <x:v>Có</x:v>
      </x:c>
      <x:c r="H807" s="32" t="str">
        <x:v>Codex</x:v>
      </x:c>
      <x:c r="I807" s="33" t="n">
        <x:v>46302</x:v>
      </x:c>
      <x:c r="J807" s="32" t="str">
        <x:v>Đối chiếu Anh huong và tìm chéo; giữ nguyên phần không đổi.</x:v>
      </x:c>
      <x:c r="K807" s="32" t="str">
        <x:v>Không đổi mục tiêu BRD, quyền/trạng thái chuẩn, tiền/point/hóa đơn, realtime đầy đủ hoặc các chức năng Pending. Báo cáo không là phê duyệt production.</x:v>
      </x:c>
      <x:c r="L807" s="32" t="str">
        <x:v>Không áp dụng có lý do</x:v>
      </x:c>
    </x:row>
    <x:row r="808" ht="145" customHeight="1">
      <x:c r="A808" s="32" t="str">
        <x:v>CHG-P0-2</x:v>
      </x:c>
      <x:c r="B808" s="32" t="str">
        <x:v>MAP-03; P0-2</x:v>
      </x:c>
      <x:c r="C808" s="32" t="str">
        <x:v>F01; F03; F04; F05; F06; F07; F08</x:v>
      </x:c>
      <x:c r="D808" s="32" t="str">
        <x:v>DOC-052</x:v>
      </x:c>
      <x:c r="E808" s="32" t="str">
        <x:v>Bỏ nhập tọa độ; Job chi tiết/ETA, public_locations/service_modes và HTTP chat</x:v>
      </x:c>
      <x:c r="F808" s="32" t="str">
        <x:v>Không áp dụng</x:v>
      </x:c>
      <x:c r="G808" s="32" t="str">
        <x:v>Có</x:v>
      </x:c>
      <x:c r="H808" s="32" t="str">
        <x:v>Codex</x:v>
      </x:c>
      <x:c r="I808" s="33" t="n">
        <x:v>46302</x:v>
      </x:c>
      <x:c r="J808" s="32" t="str">
        <x:v>Đối chiếu Anh huong và tìm chéo; giữ nguyên phần không đổi.</x:v>
      </x:c>
      <x:c r="K808" s="32" t="str">
        <x:v>Không đổi mục tiêu BRD, quyền/trạng thái chuẩn, tiền/point/hóa đơn, realtime đầy đủ hoặc các chức năng Pending. Báo cáo không là phê duyệt production.</x:v>
      </x:c>
      <x:c r="L808" s="32" t="str">
        <x:v>Không áp dụng có lý do</x:v>
      </x:c>
    </x:row>
    <x:row r="809" ht="145" customHeight="1">
      <x:c r="A809" s="32" t="str">
        <x:v>CHG-P0-2</x:v>
      </x:c>
      <x:c r="B809" s="32" t="str">
        <x:v>MAP-03; P0-2</x:v>
      </x:c>
      <x:c r="C809" s="32" t="str">
        <x:v>F01; F03; F04; F05; F06; F07; F08</x:v>
      </x:c>
      <x:c r="D809" s="32" t="str">
        <x:v>DOC-053</x:v>
      </x:c>
      <x:c r="E809" s="32" t="str">
        <x:v>Bỏ nhập tọa độ; Job chi tiết/ETA, public_locations/service_modes và HTTP chat</x:v>
      </x:c>
      <x:c r="F809" s="32" t="str">
        <x:v>Không áp dụng</x:v>
      </x:c>
      <x:c r="G809" s="32" t="str">
        <x:v>Có</x:v>
      </x:c>
      <x:c r="H809" s="32" t="str">
        <x:v>Codex</x:v>
      </x:c>
      <x:c r="I809" s="33" t="n">
        <x:v>46302</x:v>
      </x:c>
      <x:c r="J809" s="32" t="str">
        <x:v>Đối chiếu Anh huong và tìm chéo; giữ nguyên phần không đổi.</x:v>
      </x:c>
      <x:c r="K809" s="32" t="str">
        <x:v>Không đổi mục tiêu BRD, quyền/trạng thái chuẩn, tiền/point/hóa đơn, realtime đầy đủ hoặc các chức năng Pending. Báo cáo không là phê duyệt production.</x:v>
      </x:c>
      <x:c r="L809" s="32" t="str">
        <x:v>Không áp dụng có lý do</x:v>
      </x:c>
    </x:row>
    <x:row r="810" ht="145" customHeight="1">
      <x:c r="A810" s="32" t="str">
        <x:v>CHG-P0-2</x:v>
      </x:c>
      <x:c r="B810" s="32" t="str">
        <x:v>MAP-03; P0-2</x:v>
      </x:c>
      <x:c r="C810" s="32" t="str">
        <x:v>F01; F03; F04; F05; F06; F07; F08</x:v>
      </x:c>
      <x:c r="D810" s="32" t="str">
        <x:v>DOC-055</x:v>
      </x:c>
      <x:c r="E810" s="32" t="str">
        <x:v>Bỏ nhập tọa độ; Job chi tiết/ETA, public_locations/service_modes và HTTP chat</x:v>
      </x:c>
      <x:c r="F810" s="32" t="str">
        <x:v>Không áp dụng</x:v>
      </x:c>
      <x:c r="G810" s="32" t="str">
        <x:v>Có</x:v>
      </x:c>
      <x:c r="H810" s="32" t="str">
        <x:v>Codex</x:v>
      </x:c>
      <x:c r="I810" s="33" t="n">
        <x:v>46302</x:v>
      </x:c>
      <x:c r="J810" s="32" t="str">
        <x:v>Đối chiếu Anh huong và tìm chéo; giữ nguyên phần không đổi.</x:v>
      </x:c>
      <x:c r="K810" s="32" t="str">
        <x:v>Không đổi mục tiêu BRD, quyền/trạng thái chuẩn, tiền/point/hóa đơn, realtime đầy đủ hoặc các chức năng Pending. Báo cáo không là phê duyệt production.</x:v>
      </x:c>
      <x:c r="L810" s="32" t="str">
        <x:v>Không áp dụng có lý do</x:v>
      </x:c>
    </x:row>
    <x:row r="811" ht="145" customHeight="1">
      <x:c r="A811" s="32" t="str">
        <x:v>CHG-P0-2</x:v>
      </x:c>
      <x:c r="B811" s="32" t="str">
        <x:v>MAP-03; P0-2</x:v>
      </x:c>
      <x:c r="C811" s="32" t="str">
        <x:v>F01; F03; F04; F05; F06; F07; F08</x:v>
      </x:c>
      <x:c r="D811" s="32" t="str">
        <x:v>DOC-056</x:v>
      </x:c>
      <x:c r="E811" s="32" t="str">
        <x:v>Bỏ nhập tọa độ; Job chi tiết/ETA, public_locations/service_modes và HTTP chat</x:v>
      </x:c>
      <x:c r="F811" s="32" t="str">
        <x:v>Không áp dụng</x:v>
      </x:c>
      <x:c r="G811" s="32" t="str">
        <x:v>Có</x:v>
      </x:c>
      <x:c r="H811" s="32" t="str">
        <x:v>Codex</x:v>
      </x:c>
      <x:c r="I811" s="33" t="n">
        <x:v>46302</x:v>
      </x:c>
      <x:c r="J811" s="32" t="str">
        <x:v>Đối chiếu Anh huong và tìm chéo; giữ nguyên phần không đổi.</x:v>
      </x:c>
      <x:c r="K811" s="32" t="str">
        <x:v>Không đổi mục tiêu BRD, quyền/trạng thái chuẩn, tiền/point/hóa đơn, realtime đầy đủ hoặc các chức năng Pending. Báo cáo không là phê duyệt production.</x:v>
      </x:c>
      <x:c r="L811" s="32" t="str">
        <x:v>Không áp dụng có lý do</x:v>
      </x:c>
    </x:row>
    <x:row r="812" ht="145" customHeight="1">
      <x:c r="A812" s="32" t="str">
        <x:v>CHG-P0-2</x:v>
      </x:c>
      <x:c r="B812" s="32" t="str">
        <x:v>MAP-03; P0-2</x:v>
      </x:c>
      <x:c r="C812" s="32" t="str">
        <x:v>F01; F03; F04; F05; F06; F07; F08</x:v>
      </x:c>
      <x:c r="D812" s="32" t="str">
        <x:v>DOC-057</x:v>
      </x:c>
      <x:c r="E812" s="32" t="str">
        <x:v>Bỏ nhập tọa độ; Job chi tiết/ETA, public_locations/service_modes và HTTP chat</x:v>
      </x:c>
      <x:c r="F812" s="32" t="str">
        <x:v>Không áp dụng</x:v>
      </x:c>
      <x:c r="G812" s="32" t="str">
        <x:v>Có</x:v>
      </x:c>
      <x:c r="H812" s="32" t="str">
        <x:v>Codex</x:v>
      </x:c>
      <x:c r="I812" s="33" t="n">
        <x:v>46302</x:v>
      </x:c>
      <x:c r="J812" s="32" t="str">
        <x:v>Đối chiếu Anh huong và tìm chéo; giữ nguyên phần không đổi.</x:v>
      </x:c>
      <x:c r="K812" s="32" t="str">
        <x:v>Không đổi mục tiêu BRD, quyền/trạng thái chuẩn, tiền/point/hóa đơn, realtime đầy đủ hoặc các chức năng Pending. Báo cáo không là phê duyệt production.</x:v>
      </x:c>
      <x:c r="L812" s="32" t="str">
        <x:v>Không áp dụng có lý do</x:v>
      </x:c>
    </x:row>
    <x:row r="813" ht="145" customHeight="1">
      <x:c r="A813" s="32" t="str">
        <x:v>CHG-P0-2</x:v>
      </x:c>
      <x:c r="B813" s="32" t="str">
        <x:v>MAP-03; P0-2</x:v>
      </x:c>
      <x:c r="C813" s="32" t="str">
        <x:v>F01; F03; F04; F05; F06; F07; F08</x:v>
      </x:c>
      <x:c r="D813" s="32" t="str">
        <x:v>DOC-058</x:v>
      </x:c>
      <x:c r="E813" s="32" t="str">
        <x:v>Bỏ nhập tọa độ; Job chi tiết/ETA, public_locations/service_modes và HTTP chat</x:v>
      </x:c>
      <x:c r="F813" s="32" t="str">
        <x:v>Không áp dụng</x:v>
      </x:c>
      <x:c r="G813" s="32" t="str">
        <x:v>Có</x:v>
      </x:c>
      <x:c r="H813" s="32" t="str">
        <x:v>Codex</x:v>
      </x:c>
      <x:c r="I813" s="33" t="n">
        <x:v>46302</x:v>
      </x:c>
      <x:c r="J813" s="32" t="str">
        <x:v>Đối chiếu Anh huong và tìm chéo; giữ nguyên phần không đổi.</x:v>
      </x:c>
      <x:c r="K813" s="32" t="str">
        <x:v>Không đổi mục tiêu BRD, quyền/trạng thái chuẩn, tiền/point/hóa đơn, realtime đầy đủ hoặc các chức năng Pending. Báo cáo không là phê duyệt production.</x:v>
      </x:c>
      <x:c r="L813" s="32" t="str">
        <x:v>Không áp dụng có lý do</x:v>
      </x:c>
    </x:row>
    <x:row r="814" ht="145" customHeight="1">
      <x:c r="A814" s="32" t="str">
        <x:v>CHG-P0-2</x:v>
      </x:c>
      <x:c r="B814" s="32" t="str">
        <x:v>MAP-03; P0-2</x:v>
      </x:c>
      <x:c r="C814" s="32" t="str">
        <x:v>F01; F03; F04; F05; F06; F07; F08</x:v>
      </x:c>
      <x:c r="D814" s="32" t="str">
        <x:v>DOC-059</x:v>
      </x:c>
      <x:c r="E814" s="32" t="str">
        <x:v>Bỏ nhập tọa độ; Job chi tiết/ETA, public_locations/service_modes và HTTP chat</x:v>
      </x:c>
      <x:c r="F814" s="32" t="str">
        <x:v>Không áp dụng</x:v>
      </x:c>
      <x:c r="G814" s="32" t="str">
        <x:v>Có</x:v>
      </x:c>
      <x:c r="H814" s="32" t="str">
        <x:v>Codex</x:v>
      </x:c>
      <x:c r="I814" s="33" t="n">
        <x:v>46302</x:v>
      </x:c>
      <x:c r="J814" s="32" t="str">
        <x:v>Đối chiếu Anh huong và tìm chéo; giữ nguyên phần không đổi.</x:v>
      </x:c>
      <x:c r="K814" s="32" t="str">
        <x:v>Không đổi mục tiêu BRD, quyền/trạng thái chuẩn, tiền/point/hóa đơn, realtime đầy đủ hoặc các chức năng Pending. Báo cáo không là phê duyệt production.</x:v>
      </x:c>
      <x:c r="L814" s="32" t="str">
        <x:v>Không áp dụng có lý do</x:v>
      </x:c>
    </x:row>
    <x:row r="815" ht="145" customHeight="1">
      <x:c r="A815" s="32" t="str">
        <x:v>CHG-P0-2</x:v>
      </x:c>
      <x:c r="B815" s="32" t="str">
        <x:v>MAP-03; P0-2</x:v>
      </x:c>
      <x:c r="C815" s="32" t="str">
        <x:v>F01; F03; F04; F05; F06; F07; F08</x:v>
      </x:c>
      <x:c r="D815" s="32" t="str">
        <x:v>DOC-060</x:v>
      </x:c>
      <x:c r="E815" s="32" t="str">
        <x:v>Bỏ nhập tọa độ; Job chi tiết/ETA, public_locations/service_modes và HTTP chat</x:v>
      </x:c>
      <x:c r="F815" s="32" t="str">
        <x:v>Không áp dụng</x:v>
      </x:c>
      <x:c r="G815" s="32" t="str">
        <x:v>Có</x:v>
      </x:c>
      <x:c r="H815" s="32" t="str">
        <x:v>Codex</x:v>
      </x:c>
      <x:c r="I815" s="33" t="n">
        <x:v>46302</x:v>
      </x:c>
      <x:c r="J815" s="32" t="str">
        <x:v>Đối chiếu Anh huong và tìm chéo; giữ nguyên phần không đổi.</x:v>
      </x:c>
      <x:c r="K815" s="32" t="str">
        <x:v>Không đổi mục tiêu BRD, quyền/trạng thái chuẩn, tiền/point/hóa đơn, realtime đầy đủ hoặc các chức năng Pending. Báo cáo không là phê duyệt production.</x:v>
      </x:c>
      <x:c r="L815" s="32" t="str">
        <x:v>Không áp dụng có lý do</x:v>
      </x:c>
    </x:row>
    <x:row r="816" ht="145" customHeight="1">
      <x:c r="A816" s="32" t="str">
        <x:v>CHG-P0-2</x:v>
      </x:c>
      <x:c r="B816" s="32" t="str">
        <x:v>MAP-03; P0-2</x:v>
      </x:c>
      <x:c r="C816" s="32" t="str">
        <x:v>F01; F03; F04; F05; F06; F07; F08</x:v>
      </x:c>
      <x:c r="D816" s="32" t="str">
        <x:v>DOC-061</x:v>
      </x:c>
      <x:c r="E816" s="32" t="str">
        <x:v>Bỏ nhập tọa độ; Job chi tiết/ETA, public_locations/service_modes và HTTP chat</x:v>
      </x:c>
      <x:c r="F816" s="32" t="str">
        <x:v>Không áp dụng</x:v>
      </x:c>
      <x:c r="G816" s="32" t="str">
        <x:v>Có</x:v>
      </x:c>
      <x:c r="H816" s="32" t="str">
        <x:v>Codex</x:v>
      </x:c>
      <x:c r="I816" s="33" t="n">
        <x:v>46302</x:v>
      </x:c>
      <x:c r="J816" s="32" t="str">
        <x:v>Đối chiếu Anh huong và tìm chéo; giữ nguyên phần không đổi.</x:v>
      </x:c>
      <x:c r="K816" s="32" t="str">
        <x:v>Không đổi mục tiêu BRD, quyền/trạng thái chuẩn, tiền/point/hóa đơn, realtime đầy đủ hoặc các chức năng Pending. Báo cáo không là phê duyệt production.</x:v>
      </x:c>
      <x:c r="L816" s="32" t="str">
        <x:v>Không áp dụng có lý do</x:v>
      </x:c>
    </x:row>
    <x:row r="817" ht="145" customHeight="1">
      <x:c r="A817" s="32" t="str">
        <x:v>CHG-P0-2</x:v>
      </x:c>
      <x:c r="B817" s="32" t="str">
        <x:v>MAP-03; P0-2</x:v>
      </x:c>
      <x:c r="C817" s="32" t="str">
        <x:v>F01; F03; F04; F05; F06; F07; F08</x:v>
      </x:c>
      <x:c r="D817" s="32" t="str">
        <x:v>DOC-062</x:v>
      </x:c>
      <x:c r="E817" s="32" t="str">
        <x:v>Bỏ nhập tọa độ; Job chi tiết/ETA, public_locations/service_modes và HTTP chat</x:v>
      </x:c>
      <x:c r="F817" s="32" t="str">
        <x:v>Không áp dụng</x:v>
      </x:c>
      <x:c r="G817" s="32" t="str">
        <x:v>Có</x:v>
      </x:c>
      <x:c r="H817" s="32" t="str">
        <x:v>Codex</x:v>
      </x:c>
      <x:c r="I817" s="33" t="n">
        <x:v>46302</x:v>
      </x:c>
      <x:c r="J817" s="32" t="str">
        <x:v>Đối chiếu Anh huong và tìm chéo; giữ nguyên phần không đổi.</x:v>
      </x:c>
      <x:c r="K817" s="32" t="str">
        <x:v>Không đổi mục tiêu BRD, quyền/trạng thái chuẩn, tiền/point/hóa đơn, realtime đầy đủ hoặc các chức năng Pending. Báo cáo không là phê duyệt production.</x:v>
      </x:c>
      <x:c r="L817" s="32" t="str">
        <x:v>Không áp dụng có lý do</x:v>
      </x:c>
    </x:row>
    <x:row r="818" ht="145" customHeight="1">
      <x:c r="A818" s="32" t="str">
        <x:v>CHG-P0-2</x:v>
      </x:c>
      <x:c r="B818" s="32" t="str">
        <x:v>MAP-03; P0-2</x:v>
      </x:c>
      <x:c r="C818" s="32" t="str">
        <x:v>F01; F03; F04; F05; F06; F07; F08</x:v>
      </x:c>
      <x:c r="D818" s="32" t="str">
        <x:v>DOC-063</x:v>
      </x:c>
      <x:c r="E818" s="32" t="str">
        <x:v>Bỏ nhập tọa độ; Job chi tiết/ETA, public_locations/service_modes và HTTP chat</x:v>
      </x:c>
      <x:c r="F818" s="32" t="str">
        <x:v>Không áp dụng</x:v>
      </x:c>
      <x:c r="G818" s="32" t="str">
        <x:v>Có</x:v>
      </x:c>
      <x:c r="H818" s="32" t="str">
        <x:v>Codex</x:v>
      </x:c>
      <x:c r="I818" s="33" t="n">
        <x:v>46302</x:v>
      </x:c>
      <x:c r="J818" s="32" t="str">
        <x:v>Đối chiếu Anh huong và tìm chéo; giữ nguyên phần không đổi.</x:v>
      </x:c>
      <x:c r="K818" s="32" t="str">
        <x:v>Không đổi mục tiêu BRD, quyền/trạng thái chuẩn, tiền/point/hóa đơn, realtime đầy đủ hoặc các chức năng Pending. Báo cáo không là phê duyệt production.</x:v>
      </x:c>
      <x:c r="L818" s="32" t="str">
        <x:v>Không áp dụng có lý do</x:v>
      </x:c>
    </x:row>
    <x:row r="819" ht="145" customHeight="1">
      <x:c r="A819" s="32" t="str">
        <x:v>CHG-P0-2</x:v>
      </x:c>
      <x:c r="B819" s="32" t="str">
        <x:v>MAP-03; P0-2</x:v>
      </x:c>
      <x:c r="C819" s="32" t="str">
        <x:v>F01; F03; F04; F05; F06; F07; F08</x:v>
      </x:c>
      <x:c r="D819" s="32" t="str">
        <x:v>DOC-082</x:v>
      </x:c>
      <x:c r="E819" s="32" t="str">
        <x:v>Bỏ nhập tọa độ; Job chi tiết/ETA, public_locations/service_modes và HTTP chat</x:v>
      </x:c>
      <x:c r="F819" s="32" t="str">
        <x:v>Đã cập nhật</x:v>
      </x:c>
      <x:c r="G819" s="32" t="str">
        <x:v>Có</x:v>
      </x:c>
      <x:c r="H819" s="32" t="str">
        <x:v>Codex</x:v>
      </x:c>
      <x:c r="I819" s="33" t="n">
        <x:v>46302</x:v>
      </x:c>
      <x:c r="J819" s="32" t="str">
        <x:v>Repo B03-03/B03-04, checklist/mục lục; không upload báo cáo.</x:v>
      </x:c>
      <x:c r="K819" s="32" t="str"/>
      <x:c r="L819" s="32" t="str">
        <x:v>Hoàn tất</x:v>
      </x:c>
    </x:row>
    <x:row r="820" ht="145" customHeight="1">
      <x:c r="A820" s="32" t="str">
        <x:v>CHG-P0-2</x:v>
      </x:c>
      <x:c r="B820" s="32" t="str">
        <x:v>MAP-03; P0-2</x:v>
      </x:c>
      <x:c r="C820" s="32" t="str">
        <x:v>F01; F03; F04; F05; F06; F07; F08</x:v>
      </x:c>
      <x:c r="D820" s="32" t="str">
        <x:v>DOC-083</x:v>
      </x:c>
      <x:c r="E820" s="32" t="str">
        <x:v>Bỏ nhập tọa độ; Job chi tiết/ETA, public_locations/service_modes và HTTP chat</x:v>
      </x:c>
      <x:c r="F820" s="32" t="str">
        <x:v>Đã cập nhật</x:v>
      </x:c>
      <x:c r="G820" s="32" t="str">
        <x:v>Có</x:v>
      </x:c>
      <x:c r="H820" s="32" t="str">
        <x:v>Codex</x:v>
      </x:c>
      <x:c r="I820" s="33" t="n">
        <x:v>46302</x:v>
      </x:c>
      <x:c r="J820" s="32" t="str">
        <x:v>Repo B03-03/B03-04, checklist/mục lục; không upload báo cáo.</x:v>
      </x:c>
      <x:c r="K820" s="32" t="str"/>
      <x:c r="L820" s="32" t="str">
        <x:v>Hoàn tất</x:v>
      </x:c>
    </x:row>
    <x:row r="821" ht="145" customHeight="1">
      <x:c r="A821" s="32" t="str">
        <x:v>CHG-P0-2</x:v>
      </x:c>
      <x:c r="B821" s="32" t="str">
        <x:v>MAP-03; P0-2</x:v>
      </x:c>
      <x:c r="C821" s="32" t="str">
        <x:v>F01; F03; F04; F05; F06; F07; F08</x:v>
      </x:c>
      <x:c r="D821" s="32" t="str">
        <x:v>DOC-085</x:v>
      </x:c>
      <x:c r="E821" s="32" t="str">
        <x:v>Bỏ nhập tọa độ; Job chi tiết/ETA, public_locations/service_modes và HTTP chat</x:v>
      </x:c>
      <x:c r="F821" s="32" t="str">
        <x:v>Đã cập nhật</x:v>
      </x:c>
      <x:c r="G821" s="32" t="str">
        <x:v>Có</x:v>
      </x:c>
      <x:c r="H821" s="32" t="str">
        <x:v>Codex</x:v>
      </x:c>
      <x:c r="I821" s="33" t="n">
        <x:v>46302</x:v>
      </x:c>
      <x:c r="J821" s="32" t="str">
        <x:v>Repo B03-03/B03-04, checklist/mục lục; không upload báo cáo.</x:v>
      </x:c>
      <x:c r="K821" s="32" t="str"/>
      <x:c r="L821" s="32" t="str">
        <x:v>Hoàn tất</x:v>
      </x:c>
    </x:row>
    <x:row r="822" ht="145" customHeight="1">
      <x:c r="A822" s="32" t="str">
        <x:v>CHG-P0-2</x:v>
      </x:c>
      <x:c r="B822" s="32" t="str">
        <x:v>MAP-03; P0-2</x:v>
      </x:c>
      <x:c r="C822" s="32" t="str">
        <x:v>F01; F03; F04; F05; F06; F07; F08</x:v>
      </x:c>
      <x:c r="D822" s="32" t="str">
        <x:v>DOC-088</x:v>
      </x:c>
      <x:c r="E822" s="32" t="str">
        <x:v>Bỏ nhập tọa độ; Job chi tiết/ETA, public_locations/service_modes và HTTP chat</x:v>
      </x:c>
      <x:c r="F822" s="32" t="str">
        <x:v>Không áp dụng</x:v>
      </x:c>
      <x:c r="G822" s="32" t="str">
        <x:v>Có</x:v>
      </x:c>
      <x:c r="H822" s="32" t="str">
        <x:v>Codex</x:v>
      </x:c>
      <x:c r="I822" s="33" t="n">
        <x:v>46302</x:v>
      </x:c>
      <x:c r="J822" s="32" t="str">
        <x:v>Đối chiếu Anh huong và tìm chéo; giữ nguyên phần không đổi.</x:v>
      </x:c>
      <x:c r="K822" s="32" t="str">
        <x:v>Không đổi mục tiêu BRD, quyền/trạng thái chuẩn, tiền/point/hóa đơn, realtime đầy đủ hoặc các chức năng Pending. Báo cáo không là phê duyệt production.</x:v>
      </x:c>
      <x:c r="L822" s="32" t="str">
        <x:v>Không áp dụng có lý do</x:v>
      </x:c>
    </x:row>
    <x:row r="823" ht="145" customHeight="1">
      <x:c r="A823" s="32" t="str">
        <x:v>CHG-P0-2</x:v>
      </x:c>
      <x:c r="B823" s="32" t="str">
        <x:v>MAP-03; P0-2</x:v>
      </x:c>
      <x:c r="C823" s="32" t="str">
        <x:v>F01; F03; F04; F05; F06; F07; F08</x:v>
      </x:c>
      <x:c r="D823" s="32" t="str">
        <x:v>PLAN-001</x:v>
      </x:c>
      <x:c r="E823" s="32" t="str">
        <x:v>Bỏ nhập tọa độ; Job chi tiết/ETA, public_locations/service_modes và HTTP chat</x:v>
      </x:c>
      <x:c r="F823" s="32" t="str">
        <x:v>Đã cập nhật</x:v>
      </x:c>
      <x:c r="G823" s="32" t="str">
        <x:v>Có</x:v>
      </x:c>
      <x:c r="H823" s="32" t="str">
        <x:v>Codex</x:v>
      </x:c>
      <x:c r="I823" s="33" t="n">
        <x:v>46302</x:v>
      </x:c>
      <x:c r="J823" s="32" t="str">
        <x:v>API v0.1.9; nguồn/mirror/HTML/ZIP hiện hành cập nhật. Drive cùng ID; Docs/FR đọc lại, raw upload và metadata xác nhận. Chi tiết kiểm byte trong .local/p0-2.</x:v>
      </x:c>
      <x:c r="K823" s="32" t="str"/>
      <x:c r="L823" s="32" t="str">
        <x:v>Hoàn tất</x:v>
      </x:c>
    </x:row>
    <x:row r="824" ht="145" customHeight="1">
      <x:c r="A824" s="32" t="str">
        <x:v>CHG-P0-2</x:v>
      </x:c>
      <x:c r="B824" s="32" t="str">
        <x:v>MAP-03; P0-2</x:v>
      </x:c>
      <x:c r="C824" s="32" t="str">
        <x:v>F01; F03; F04; F05; F06; F07; F08</x:v>
      </x:c>
      <x:c r="D824" s="32" t="str">
        <x:v>PLAN-002</x:v>
      </x:c>
      <x:c r="E824" s="32" t="str">
        <x:v>Bỏ nhập tọa độ; Job chi tiết/ETA, public_locations/service_modes và HTTP chat</x:v>
      </x:c>
      <x:c r="F824" s="32" t="str">
        <x:v>Đã cập nhật</x:v>
      </x:c>
      <x:c r="G824" s="32" t="str">
        <x:v>Có</x:v>
      </x:c>
      <x:c r="H824" s="32" t="str">
        <x:v>Codex</x:v>
      </x:c>
      <x:c r="I824" s="33" t="n">
        <x:v>46302</x:v>
      </x:c>
      <x:c r="J824" s="32" t="str">
        <x:v>API v0.1.9; nguồn/mirror/HTML/ZIP hiện hành cập nhật. Drive cùng ID; Docs/FR đọc lại, raw upload và metadata xác nhận. Chi tiết kiểm byte trong .local/p0-2.</x:v>
      </x:c>
      <x:c r="K824" s="32" t="str"/>
      <x:c r="L824" s="32" t="str">
        <x:v>Hoàn tất</x:v>
      </x:c>
    </x:row>
    <x:row r="825" ht="145" customHeight="1">
      <x:c r="A825" s="32" t="str">
        <x:v>CHG-P0-2</x:v>
      </x:c>
      <x:c r="B825" s="32" t="str">
        <x:v>MAP-03; P0-2</x:v>
      </x:c>
      <x:c r="C825" s="32" t="str">
        <x:v>F01; F03; F04; F05; F06; F07; F08</x:v>
      </x:c>
      <x:c r="D825" s="32" t="str">
        <x:v>PLAN-003</x:v>
      </x:c>
      <x:c r="E825" s="32" t="str">
        <x:v>Bỏ nhập tọa độ; Job chi tiết/ETA, public_locations/service_modes và HTTP chat</x:v>
      </x:c>
      <x:c r="F825" s="32" t="str">
        <x:v>Đã cập nhật</x:v>
      </x:c>
      <x:c r="G825" s="32" t="str">
        <x:v>Có</x:v>
      </x:c>
      <x:c r="H825" s="32" t="str">
        <x:v>Codex</x:v>
      </x:c>
      <x:c r="I825" s="33" t="n">
        <x:v>46302</x:v>
      </x:c>
      <x:c r="J825" s="32" t="str">
        <x:v>API v0.1.9; nguồn/mirror/HTML/ZIP hiện hành cập nhật. Drive cùng ID; Docs/FR đọc lại, raw upload và metadata xác nhận. Chi tiết kiểm byte trong .local/p0-2.</x:v>
      </x:c>
      <x:c r="K825" s="32" t="str"/>
      <x:c r="L825" s="32" t="str">
        <x:v>Hoàn tất</x:v>
      </x:c>
    </x:row>
    <x:row r="826" ht="145" customHeight="1">
      <x:c r="A826" s="32" t="str">
        <x:v>CHG-P0-2</x:v>
      </x:c>
      <x:c r="B826" s="32" t="str">
        <x:v>MAP-03; P0-2</x:v>
      </x:c>
      <x:c r="C826" s="32" t="str">
        <x:v>F01; F03; F04; F05; F06; F07; F08</x:v>
      </x:c>
      <x:c r="D826" s="32" t="str">
        <x:v>PLAN-006</x:v>
      </x:c>
      <x:c r="E826" s="32" t="str">
        <x:v>Bỏ nhập tọa độ; Job chi tiết/ETA, public_locations/service_modes và HTTP chat</x:v>
      </x:c>
      <x:c r="F826" s="32" t="str">
        <x:v>Không áp dụng</x:v>
      </x:c>
      <x:c r="G826" s="32" t="str">
        <x:v>Có</x:v>
      </x:c>
      <x:c r="H826" s="32" t="str">
        <x:v>Codex</x:v>
      </x:c>
      <x:c r="I826" s="33" t="n">
        <x:v>46302</x:v>
      </x:c>
      <x:c r="J826" s="32" t="str">
        <x:v>Đối chiếu Anh huong và tìm chéo; giữ nguyên phần không đổi.</x:v>
      </x:c>
      <x:c r="K826" s="32" t="str">
        <x:v>Không đổi mục tiêu BRD, quyền/trạng thái chuẩn, tiền/point/hóa đơn, realtime đầy đủ hoặc các chức năng Pending. Báo cáo không là phê duyệt production.</x:v>
      </x:c>
      <x:c r="L826" s="32" t="str">
        <x:v>Không áp dụng có lý do</x:v>
      </x:c>
    </x:row>
    <x:row r="827" ht="145" customHeight="1">
      <x:c r="A827" s="32" t="str">
        <x:v>CHG-P0-2</x:v>
      </x:c>
      <x:c r="B827" s="32" t="str">
        <x:v>MAP-03; P0-2</x:v>
      </x:c>
      <x:c r="C827" s="32" t="str">
        <x:v>F01; F03; F04; F05; F06; F07; F08</x:v>
      </x:c>
      <x:c r="D827" s="32" t="str">
        <x:v>PLAN-008</x:v>
      </x:c>
      <x:c r="E827" s="32" t="str">
        <x:v>Bỏ nhập tọa độ; Job chi tiết/ETA, public_locations/service_modes và HTTP chat</x:v>
      </x:c>
      <x:c r="F827" s="32" t="str">
        <x:v>Không áp dụng</x:v>
      </x:c>
      <x:c r="G827" s="32" t="str">
        <x:v>Có</x:v>
      </x:c>
      <x:c r="H827" s="32" t="str">
        <x:v>Codex</x:v>
      </x:c>
      <x:c r="I827" s="33" t="n">
        <x:v>46302</x:v>
      </x:c>
      <x:c r="J827" s="32" t="str">
        <x:v>Đối chiếu Anh huong và tìm chéo; giữ nguyên phần không đổi.</x:v>
      </x:c>
      <x:c r="K827" s="32" t="str">
        <x:v>Không đổi mục tiêu BRD, quyền/trạng thái chuẩn, tiền/point/hóa đơn, realtime đầy đủ hoặc các chức năng Pending. Báo cáo không là phê duyệt production.</x:v>
      </x:c>
      <x:c r="L827" s="32" t="str">
        <x:v>Không áp dụng có lý do</x:v>
      </x:c>
    </x:row>
    <x:row r="828">
      <x:c r="I828" s="30" t="n"/>
    </x:row>
    <x:row r="829">
      <x:c r="I829" s="30" t="n"/>
    </x:row>
    <x:row r="830">
      <x:c r="I830" s="30" t="n"/>
    </x:row>
    <x:row r="831">
      <x:c r="I831" s="30" t="n"/>
    </x:row>
    <x:row r="832">
      <x:c r="I832" s="30" t="n"/>
    </x:row>
    <x:row r="833">
      <x:c r="I833" s="30" t="n"/>
    </x:row>
    <x:row r="834">
      <x:c r="I834" s="30" t="n"/>
    </x:row>
    <x:row r="835">
      <x:c r="I835" s="30" t="n"/>
    </x:row>
    <x:row r="836">
      <x:c r="I836" s="30" t="n"/>
    </x:row>
    <x:row r="837">
      <x:c r="I837" s="30" t="n"/>
    </x:row>
    <x:row r="838">
      <x:c r="I838" s="30" t="n"/>
    </x:row>
    <x:row r="839">
      <x:c r="I839" s="30" t="n"/>
    </x:row>
    <x:row r="840">
      <x:c r="I840" s="30" t="n"/>
    </x:row>
    <x:row r="841">
      <x:c r="I841" s="30" t="n"/>
    </x:row>
    <x:row r="842">
      <x:c r="I842" s="30" t="n"/>
    </x:row>
    <x:row r="843">
      <x:c r="I843" s="30" t="n"/>
    </x:row>
    <x:row r="844">
      <x:c r="I844" s="30" t="n"/>
    </x:row>
    <x:row r="845">
      <x:c r="I845" s="30" t="n"/>
    </x:row>
    <x:row r="846">
      <x:c r="I846" s="30" t="n"/>
    </x:row>
    <x:row r="847">
      <x:c r="I847" s="30" t="n"/>
    </x:row>
    <x:row r="848">
      <x:c r="I848" s="30" t="n"/>
    </x:row>
    <x:row r="849">
      <x:c r="I849" s="30" t="n"/>
    </x:row>
    <x:row r="850">
      <x:c r="I850" s="30" t="n"/>
    </x:row>
    <x:row r="851">
      <x:c r="I851" s="30" t="n"/>
    </x:row>
    <x:row r="852">
      <x:c r="I852" s="30" t="n"/>
    </x:row>
    <x:row r="853">
      <x:c r="I853" s="30" t="n"/>
    </x:row>
    <x:row r="854">
      <x:c r="I854" s="30" t="n"/>
    </x:row>
    <x:row r="855">
      <x:c r="I855" s="30" t="n"/>
    </x:row>
    <x:row r="856">
      <x:c r="I856" s="30" t="n"/>
    </x:row>
    <x:row r="857">
      <x:c r="I857" s="30" t="n"/>
    </x:row>
    <x:row r="858">
      <x:c r="I858" s="30" t="n"/>
    </x:row>
    <x:row r="859">
      <x:c r="I859" s="30" t="n"/>
    </x:row>
    <x:row r="860">
      <x:c r="I860" s="30" t="n"/>
    </x:row>
    <x:row r="861">
      <x:c r="I861" s="30" t="n"/>
    </x:row>
    <x:row r="862">
      <x:c r="I862" s="30" t="n"/>
    </x:row>
    <x:row r="863">
      <x:c r="I863" s="30" t="n"/>
    </x:row>
    <x:row r="864">
      <x:c r="I864" s="30" t="n"/>
    </x:row>
    <x:row r="865">
      <x:c r="I865" s="30" t="n"/>
    </x:row>
    <x:row r="866">
      <x:c r="I866" s="30" t="n"/>
    </x:row>
    <x:row r="867">
      <x:c r="I867" s="30" t="n"/>
    </x:row>
    <x:row r="868">
      <x:c r="I868" s="30" t="n"/>
    </x:row>
    <x:row r="869">
      <x:c r="I869" s="30" t="n"/>
    </x:row>
    <x:row r="870">
      <x:c r="I870" s="30" t="n"/>
    </x:row>
    <x:row r="871">
      <x:c r="I871" s="30" t="n"/>
    </x:row>
    <x:row r="872">
      <x:c r="I872" s="30" t="n"/>
    </x:row>
    <x:row r="873">
      <x:c r="I873" s="30" t="n"/>
    </x:row>
    <x:row r="874">
      <x:c r="I874" s="30" t="n"/>
    </x:row>
    <x:row r="875">
      <x:c r="I875" s="30" t="n"/>
    </x:row>
    <x:row r="876">
      <x:c r="I876" s="30" t="n"/>
    </x:row>
    <x:row r="877">
      <x:c r="I877" s="30" t="n"/>
    </x:row>
    <x:row r="878">
      <x:c r="I878" s="30" t="n"/>
    </x:row>
    <x:row r="879">
      <x:c r="I879" s="30" t="n"/>
    </x:row>
    <x:row r="880">
      <x:c r="I880" s="30" t="n"/>
    </x:row>
    <x:row r="881">
      <x:c r="I881" s="30" t="n"/>
    </x:row>
    <x:row r="882">
      <x:c r="I882" s="30" t="n"/>
    </x:row>
    <x:row r="883">
      <x:c r="I883" s="30" t="n"/>
    </x:row>
    <x:row r="884">
      <x:c r="I884" s="30" t="n"/>
    </x:row>
    <x:row r="885">
      <x:c r="I885" s="30" t="n"/>
    </x:row>
    <x:row r="886">
      <x:c r="I886" s="30" t="n"/>
    </x:row>
    <x:row r="887">
      <x:c r="I887" s="30" t="n"/>
    </x:row>
    <x:row r="888">
      <x:c r="I888" s="30" t="n"/>
    </x:row>
    <x:row r="889">
      <x:c r="I889" s="30" t="n"/>
    </x:row>
    <x:row r="890">
      <x:c r="I890" s="30" t="n"/>
    </x:row>
    <x:row r="891">
      <x:c r="I891" s="30" t="n"/>
    </x:row>
    <x:row r="892">
      <x:c r="I892" s="30" t="n"/>
    </x:row>
    <x:row r="893">
      <x:c r="I893" s="30" t="n"/>
    </x:row>
    <x:row r="894">
      <x:c r="I894" s="30" t="n"/>
    </x:row>
    <x:row r="895">
      <x:c r="I895" s="30" t="n"/>
    </x:row>
    <x:row r="896">
      <x:c r="I896" s="30" t="n"/>
    </x:row>
    <x:row r="897">
      <x:c r="I897" s="30" t="n"/>
    </x:row>
    <x:row r="898">
      <x:c r="I898" s="30" t="n"/>
    </x:row>
    <x:row r="899">
      <x:c r="I899" s="30" t="n"/>
    </x:row>
    <x:row r="900">
      <x:c r="I900" s="30" t="n"/>
    </x:row>
    <x:row r="901">
      <x:c r="I901" s="30" t="n"/>
    </x:row>
    <x:row r="902">
      <x:c r="I902" s="30" t="n"/>
    </x:row>
    <x:row r="903">
      <x:c r="I903" s="30" t="n"/>
    </x:row>
    <x:row r="904">
      <x:c r="I904" s="30" t="n"/>
    </x:row>
    <x:row r="905">
      <x:c r="I905" s="30" t="n"/>
    </x:row>
    <x:row r="906">
      <x:c r="I906" s="30" t="n"/>
    </x:row>
    <x:row r="907">
      <x:c r="I907" s="30" t="n"/>
    </x:row>
    <x:row r="908">
      <x:c r="I908" s="30" t="n"/>
    </x:row>
    <x:row r="909">
      <x:c r="I909" s="30" t="n"/>
    </x:row>
    <x:row r="910">
      <x:c r="I910" s="30" t="n"/>
    </x:row>
    <x:row r="911">
      <x:c r="I911" s="30" t="n"/>
    </x:row>
    <x:row r="912">
      <x:c r="I912" s="30" t="n"/>
    </x:row>
    <x:row r="913">
      <x:c r="I913" s="30" t="n"/>
    </x:row>
    <x:row r="914">
      <x:c r="I914" s="30" t="n"/>
    </x:row>
    <x:row r="915">
      <x:c r="I915" s="30" t="n"/>
    </x:row>
    <x:row r="916">
      <x:c r="I916" s="30" t="n"/>
    </x:row>
    <x:row r="917">
      <x:c r="I917" s="30" t="n"/>
    </x:row>
    <x:row r="918">
      <x:c r="I918" s="30" t="n"/>
    </x:row>
    <x:row r="919">
      <x:c r="I919" s="30" t="n"/>
    </x:row>
    <x:row r="920">
      <x:c r="I920" s="30" t="n"/>
    </x:row>
    <x:row r="921">
      <x:c r="I921" s="30" t="n"/>
    </x:row>
    <x:row r="922">
      <x:c r="I922" s="30" t="n"/>
    </x:row>
    <x:row r="923">
      <x:c r="I923" s="30" t="n"/>
    </x:row>
    <x:row r="924">
      <x:c r="I924" s="30" t="n"/>
    </x:row>
    <x:row r="925">
      <x:c r="I925" s="30" t="n"/>
    </x:row>
    <x:row r="926">
      <x:c r="I926" s="30" t="n"/>
    </x:row>
    <x:row r="927">
      <x:c r="I927" s="30" t="n"/>
    </x:row>
    <x:row r="928">
      <x:c r="I928" s="30" t="n"/>
    </x:row>
    <x:row r="929">
      <x:c r="I929" s="30" t="n"/>
    </x:row>
    <x:row r="930">
      <x:c r="I930" s="30" t="n"/>
    </x:row>
    <x:row r="931">
      <x:c r="I931" s="30" t="n"/>
    </x:row>
    <x:row r="932">
      <x:c r="I932" s="30" t="n"/>
    </x:row>
    <x:row r="933">
      <x:c r="I933" s="30" t="n"/>
    </x:row>
    <x:row r="934">
      <x:c r="I934" s="30" t="n"/>
    </x:row>
    <x:row r="935">
      <x:c r="I935" s="30" t="n"/>
    </x:row>
    <x:row r="936">
      <x:c r="I936" s="30" t="n"/>
    </x:row>
    <x:row r="937">
      <x:c r="I937" s="30" t="n"/>
    </x:row>
    <x:row r="938">
      <x:c r="I938" s="30" t="n"/>
    </x:row>
    <x:row r="939">
      <x:c r="I939" s="30" t="n"/>
    </x:row>
    <x:row r="940">
      <x:c r="I940" s="30" t="n"/>
    </x:row>
    <x:row r="941">
      <x:c r="I941" s="30" t="n"/>
    </x:row>
    <x:row r="942">
      <x:c r="I942" s="30" t="n"/>
    </x:row>
    <x:row r="943">
      <x:c r="I943" s="30" t="n"/>
    </x:row>
    <x:row r="944">
      <x:c r="I944" s="30" t="n"/>
    </x:row>
    <x:row r="945">
      <x:c r="I945" s="30" t="n"/>
    </x:row>
    <x:row r="946">
      <x:c r="I946" s="30" t="n"/>
    </x:row>
    <x:row r="947">
      <x:c r="I947" s="30" t="n"/>
    </x:row>
    <x:row r="948">
      <x:c r="I948" s="30" t="n"/>
    </x:row>
    <x:row r="949">
      <x:c r="I949" s="30" t="n"/>
    </x:row>
    <x:row r="950">
      <x:c r="I950" s="30" t="n"/>
    </x:row>
    <x:row r="951">
      <x:c r="I951" s="30" t="n"/>
    </x:row>
    <x:row r="952">
      <x:c r="I952" s="30" t="n"/>
    </x:row>
    <x:row r="953">
      <x:c r="I953" s="30" t="n"/>
    </x:row>
    <x:row r="954">
      <x:c r="I954" s="30" t="n"/>
    </x:row>
    <x:row r="955">
      <x:c r="I955" s="30" t="n"/>
    </x:row>
    <x:row r="956">
      <x:c r="I956" s="30" t="n"/>
    </x:row>
    <x:row r="957">
      <x:c r="I957" s="30" t="n"/>
    </x:row>
    <x:row r="958">
      <x:c r="I958" s="30" t="n"/>
    </x:row>
    <x:row r="959">
      <x:c r="I959" s="30" t="n"/>
    </x:row>
    <x:row r="960">
      <x:c r="I960" s="30" t="n"/>
    </x:row>
    <x:row r="961">
      <x:c r="I961" s="30" t="n"/>
    </x:row>
    <x:row r="962">
      <x:c r="I962" s="30" t="n"/>
    </x:row>
    <x:row r="963">
      <x:c r="I963" s="30" t="n"/>
    </x:row>
    <x:row r="964">
      <x:c r="I964" s="30" t="n"/>
    </x:row>
    <x:row r="965">
      <x:c r="I965" s="30" t="n"/>
    </x:row>
    <x:row r="966">
      <x:c r="I966" s="30" t="n"/>
    </x:row>
    <x:row r="967">
      <x:c r="I967" s="30" t="n"/>
    </x:row>
    <x:row r="968">
      <x:c r="I968" s="30" t="n"/>
    </x:row>
    <x:row r="969">
      <x:c r="I969" s="30" t="n"/>
    </x:row>
    <x:row r="970">
      <x:c r="I970" s="30" t="n"/>
    </x:row>
    <x:row r="971">
      <x:c r="I971" s="30" t="n"/>
    </x:row>
    <x:row r="972">
      <x:c r="I972" s="30" t="n"/>
    </x:row>
    <x:row r="973">
      <x:c r="I973" s="30" t="n"/>
    </x:row>
    <x:row r="974">
      <x:c r="I974" s="30" t="n"/>
    </x:row>
    <x:row r="975">
      <x:c r="I975" s="30" t="n"/>
    </x:row>
    <x:row r="976">
      <x:c r="I976" s="30" t="n"/>
    </x:row>
    <x:row r="977">
      <x:c r="I977" s="30" t="n"/>
    </x:row>
    <x:row r="978">
      <x:c r="I978" s="30" t="n"/>
    </x:row>
    <x:row r="979">
      <x:c r="I979" s="30" t="n"/>
    </x:row>
    <x:row r="980">
      <x:c r="I980" s="30" t="n"/>
    </x:row>
    <x:row r="981">
      <x:c r="I981" s="30" t="n"/>
    </x:row>
    <x:row r="982">
      <x:c r="I982" s="30" t="n"/>
    </x:row>
    <x:row r="983">
      <x:c r="I983" s="30" t="n"/>
    </x:row>
    <x:row r="984">
      <x:c r="I984" s="30" t="n"/>
    </x:row>
    <x:row r="985">
      <x:c r="I985" s="30" t="n"/>
    </x:row>
    <x:row r="986">
      <x:c r="I986" s="30" t="n"/>
    </x:row>
    <x:row r="987">
      <x:c r="I987" s="30" t="n"/>
    </x:row>
    <x:row r="988">
      <x:c r="I988" s="30" t="n"/>
    </x:row>
    <x:row r="989">
      <x:c r="I989" s="30" t="n"/>
    </x:row>
    <x:row r="990">
      <x:c r="I990" s="30" t="n"/>
    </x:row>
    <x:row r="991">
      <x:c r="I991" s="30" t="n"/>
    </x:row>
    <x:row r="992">
      <x:c r="I992" s="30" t="n"/>
    </x:row>
    <x:row r="993">
      <x:c r="I993" s="30" t="n"/>
    </x:row>
    <x:row r="994">
      <x:c r="I994" s="30" t="n"/>
    </x:row>
    <x:row r="995">
      <x:c r="I995" s="30" t="n"/>
    </x:row>
    <x:row r="996">
      <x:c r="I996" s="30" t="n"/>
    </x:row>
    <x:row r="997">
      <x:c r="I997" s="30" t="n"/>
    </x:row>
    <x:row r="998">
      <x:c r="I998" s="30" t="n"/>
    </x:row>
    <x:row r="999">
      <x:c r="I999" s="30" t="n"/>
    </x:row>
    <x:row r="1000">
      <x:c r="I1000" s="30" t="n"/>
    </x:row>
  </x:sheetData>
  <x:conditionalFormatting sqref="L6:L1000">
    <x:cfRule type="containsText" dxfId="0" priority="1" operator="containsText" text="Chưa hoàn tất"/>
  </x:conditionalFormatting>
  <x:dataValidations count="2">
    <x:dataValidation type="list" allowBlank="0" showDropDown="0" showInputMessage="0" showErrorMessage="0" sqref="F6:F1000">
      <x:formula1>"Chưa kiểm tra,Đang cập nhật,Đã cập nhật,Không áp dụng,Bị chặn"</x:formula1>
    </x:dataValidation>
    <x:dataValidation type="list" allowBlank="0" showDropDown="0" showInputMessage="0" showErrorMessage="0" sqref="G6:G1000">
      <x:formula1>"Có,Chưa"</x:formula1>
    </x:dataValidation>
  </x:dataValidations>
  <x:pageMargins left="0.7" right="0.7" top="0.75" bottom="0.75" header="0.3" footer="0.3"/>
  <x:tableParts count="1">
    <x:tablePart xmlns:r="http://schemas.openxmlformats.org/officeDocument/2006/relationships" r:id="R300e88f94a0b489b"/>
  </x:tableParts>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baseColWidth="8" defaultRowHeight="15"/>
  <x:cols>
    <x:col min="1" max="1" width="12" customWidth="1"/>
    <x:col min="2" max="2" width="25" customWidth="1"/>
    <x:col min="3" max="3" width="92" customWidth="1"/>
    <x:col min="4" max="4" width="72" customWidth="1"/>
  </x:cols>
  <x:sheetData>
    <x:row r="1">
      <x:c r="A1" s="1" t="n"/>
      <x:c r="B1" s="1" t="n"/>
      <x:c r="C1" s="1" t="n"/>
      <x:c r="D1" s="1" t="n"/>
    </x:row>
    <x:row r="2">
      <x:c r="A2" s="2" t="inlineStr">
        <x:is>
          <x:t xml:space="preserve">Quy trình đồng bộ bắt buộc</x:t>
        </x:is>
      </x:c>
      <x:c r="B2" s="1" t="n"/>
      <x:c r="C2" s="1" t="n"/>
      <x:c r="D2" s="1" t="n"/>
    </x:row>
    <x:row r="3">
      <x:c r="A3" s="3" t="inlineStr">
        <x:is>
          <x:t xml:space="preserve">Áp dụng từ yêu cầu của chủ dự án ngày 22/09/2026. Quy tắc đã lưu tại AGENTS.md.</x:t>
        </x:is>
      </x:c>
      <x:c r="B3" s="1" t="n"/>
      <x:c r="C3" s="1" t="n"/>
      <x:c r="D3" s="1" t="n"/>
    </x:row>
    <x:row r="4">
      <x:c r="A4" s="1" t="n"/>
      <x:c r="B4" s="1" t="n"/>
      <x:c r="C4" s="1" t="n"/>
      <x:c r="D4" s="1" t="n"/>
    </x:row>
    <x:row r="5" ht="34" customHeight="1">
      <x:c r="A5" s="6" t="inlineStr">
        <x:is>
          <x:t xml:space="preserve">Bước</x:t>
        </x:is>
      </x:c>
      <x:c r="B5" s="6" t="inlineStr">
        <x:is>
          <x:t xml:space="preserve">Thời điểm</x:t>
        </x:is>
      </x:c>
      <x:c r="C5" s="6" t="inlineStr">
        <x:is>
          <x:t xml:space="preserve">Việc cần thực hiện</x:t>
        </x:is>
      </x:c>
      <x:c r="D5" s="6" t="inlineStr">
        <x:is>
          <x:t xml:space="preserve">Điều kiện / kết quả</x:t>
        </x:is>
      </x:c>
    </x:row>
    <x:row r="6" ht="32" customHeight="1">
      <x:c r="A6" s="8" t="inlineStr">
        <x:is>
          <x:t xml:space="preserve">01</x:t>
        </x:is>
      </x:c>
      <x:c r="B6" s="8" t="inlineStr">
        <x:is>
          <x:t xml:space="preserve">Trước thay đổi</x:t>
        </x:is>
      </x:c>
      <x:c r="C6" s="8" t="inlineStr">
        <x:is>
          <x:t xml:space="preserve">Mở Excel mới nhất, không chạy builder cũ ghi đè chỉnh sửa của user.</x:t>
        </x:is>
      </x:c>
      <x:c r="D6" s="8" t="inlineStr">
        <x:is>
          <x:t xml:space="preserve">Danh muc: nhận diện bản chính và trạng thái</x:t>
        </x:is>
      </x:c>
    </x:row>
    <x:row r="7" ht="32" customHeight="1">
      <x:c r="A7" s="8" t="inlineStr">
        <x:is>
          <x:t xml:space="preserve">02</x:t>
        </x:is>
      </x:c>
      <x:c r="B7" s="8" t="inlineStr">
        <x:is>
          <x:t xml:space="preserve">Chốt yêu cầu</x:t>
        </x:is>
      </x:c>
      <x:c r="C7" s="8" t="inlineStr">
        <x:is>
          <x:t xml:space="preserve">Đọc quyết định mới nhất; gom câu hỏi; chỉ thay nghiệp vụ khi user đã thống nhất.</x:t>
        </x:is>
      </x:c>
      <x:c r="D7" s="8" t="inlineStr">
        <x:is>
          <x:t xml:space="preserve">Quyet dinh: ID, nguồn, trạng thái, ngày</x:t>
        </x:is>
      </x:c>
    </x:row>
    <x:row r="8" ht="32" customHeight="1">
      <x:c r="A8" s="8" t="inlineStr">
        <x:is>
          <x:t xml:space="preserve">03</x:t>
        </x:is>
      </x:c>
      <x:c r="B8" s="8" t="inlineStr">
        <x:is>
          <x:t xml:space="preserve">Xác định tác động</x:t>
        </x:is>
      </x:c>
      <x:c r="C8" s="8" t="inlineStr">
        <x:is>
          <x:t xml:space="preserve">Lọc Anh huong theo chức năng; tìm kiếm chéo để bổ sung quan hệ còn thiếu.</x:t>
        </x:is>
      </x:c>
      <x:c r="D8" s="8" t="inlineStr">
        <x:is>
          <x:t xml:space="preserve">Dong bo: một dòng cho mỗi tài liệu bị ảnh hưởng</x:t>
        </x:is>
      </x:c>
    </x:row>
    <x:row r="9" ht="32" customHeight="1">
      <x:c r="A9" s="8" t="inlineStr">
        <x:is>
          <x:t xml:space="preserve">04</x:t>
        </x:is>
      </x:c>
      <x:c r="B9" s="8" t="inlineStr">
        <x:is>
          <x:t xml:space="preserve">Sửa nguồn</x:t>
        </x:is>
      </x:c>
      <x:c r="C9" s="8" t="inlineStr">
        <x:is>
          <x:t xml:space="preserve">Sửa các tài liệu đang dùng; bản lịch sử giữ nguyên, đánh dấu đã cũ.</x:t>
        </x:is>
      </x:c>
      <x:c r="D9" s="8" t="inlineStr">
        <x:is>
          <x:t xml:space="preserve">Nội dung, version, tham chiếu quyết định</x:t>
        </x:is>
      </x:c>
    </x:row>
    <x:row r="10" ht="32" customHeight="1">
      <x:c r="A10" s="8" t="inlineStr">
        <x:is>
          <x:t xml:space="preserve">05</x:t>
        </x:is>
      </x:c>
      <x:c r="B10" s="8" t="inlineStr">
        <x:is>
          <x:t xml:space="preserve">Cập nhật bản xuất</x:t>
        </x:is>
      </x:c>
      <x:c r="C10" s="8" t="inlineStr">
        <x:is>
          <x:t xml:space="preserve">Đồng bộ HTML/Markdown/ZIP, localhost, Drive theo nguồn. Ưu tiên cùng Drive ID.</x:t>
        </x:is>
      </x:c>
      <x:c r="D10" s="8" t="inlineStr">
        <x:is>
          <x:t xml:space="preserve">Các bản liên quan có cùng nội dung đã chốt</x:t>
        </x:is>
      </x:c>
    </x:row>
    <x:row r="11" ht="32" customHeight="1">
      <x:c r="A11" s="8" t="inlineStr">
        <x:is>
          <x:t xml:space="preserve">06</x:t>
        </x:is>
      </x:c>
      <x:c r="B11" s="8" t="inlineStr">
        <x:is>
          <x:t xml:space="preserve">Kiểm tra chéo</x:t>
        </x:is>
      </x:c>
      <x:c r="C11" s="8" t="inlineStr">
        <x:is>
          <x:t xml:space="preserve">Đọc lại tài liệu đã lưu; so nghiệp vụ, công thức, quyền, trạng thái, link.</x:t>
        </x:is>
      </x:c>
      <x:c r="D11" s="8" t="inlineStr">
        <x:is>
          <x:t xml:space="preserve">Bằng chứng + người kiểm + ngày; không chỉ dựa thời gian sửa</x:t>
        </x:is>
      </x:c>
    </x:row>
    <x:row r="12" ht="78" customHeight="1">
      <x:c r="A12" s="8" t="inlineStr">
        <x:is>
          <x:t xml:space="preserve">07</x:t>
        </x:is>
      </x:c>
      <x:c r="B12" s="8" t="inlineStr">
        <x:is>
          <x:t xml:space="preserve">Kết thúc đợt</x:t>
        </x:is>
      </x:c>
      <x:c r="C12" s="8" t="inlineStr">
        <x:is>
          <x:t xml:space="preserve">Chỉ đánh dấu Mới nhất khi bản hiện hành khớp quyết định đã chốt và các bản xuất liên quan đã kiểm. Khi có thay đổi mới, chuyển về Cần rà soát/Cần đồng bộ.</x:t>
        </x:is>
      </x:c>
      <x:c r="D12" s="8" t="inlineStr">
        <x:is>
          <x:t xml:space="preserve">Mới nhất không phải Đã duyệt. Bản lịch sử giữ Lưu trữ; tài liệu chưa tạo giữ Chưa có. Theo dõi phần chưa chốt tại Quyet dinh.</x:t>
        </x:is>
      </x:c>
    </x:row>
    <x:row r="13" ht="32" customHeight="1">
      <x:c r="A13" s="8" t="inlineStr">
        <x:is>
          <x:t xml:space="preserve">08</x:t>
        </x:is>
      </x:c>
      <x:c r="B13" s="8" t="inlineStr">
        <x:is>
          <x:t xml:space="preserve">Thêm tài liệu</x:t>
        </x:is>
      </x:c>
      <x:c r="C13" s="8" t="inlineStr">
        <x:is>
          <x:t xml:space="preserve">Cấp DOC-ID ổn định; ghi vai trò nguồn/xuất/lịch sử và liên kết chức năng.</x:t>
        </x:is>
      </x:c>
      <x:c r="D13" s="8" t="inlineStr">
        <x:is>
          <x:t xml:space="preserve">Cập nhật Danh muc và Anh huong trước bàn giao</x:t>
        </x:is>
      </x:c>
    </x:row>
    <x:row r="14" ht="32" customHeight="1">
      <x:c r="A14" s="8" t="inlineStr">
        <x:is>
          <x:t xml:space="preserve">09</x:t>
        </x:is>
      </x:c>
      <x:c r="B14" s="8" t="inlineStr">
        <x:is>
          <x:t xml:space="preserve">Giải quyết mâu thuẫn</x:t>
        </x:is>
      </x:c>
      <x:c r="C14" s="8" t="inlineStr">
        <x:is>
          <x:t xml:space="preserve">Quyết định user mới nhất đã chốt &gt; đặc tả đã đồng bộ &gt; prototype.</x:t>
        </x:is>
      </x:c>
      <x:c r="D14" s="8" t="inlineStr">
        <x:is>
          <x:t xml:space="preserve">Đề xuất và pending không tự thành đã chốt</x:t>
        </x:is>
      </x:c>
    </x:row>
    <x:row r="15" ht="32" customHeight="1">
      <x:c r="A15" s="8" t="inlineStr">
        <x:is>
          <x:t xml:space="preserve">10</x:t>
        </x:is>
      </x:c>
      <x:c r="B15" s="8" t="inlineStr">
        <x:is>
          <x:t xml:space="preserve">Cách dùng Excel</x:t>
        </x:is>
      </x:c>
      <x:c r="C15" s="8" t="inlineStr">
        <x:is>
          <x:t xml:space="preserve">Đây là sổ liên kết; không nhúng bản sao toàn văn để tránh tạo thêm nguồn lệch.</x:t>
        </x:is>
      </x:c>
      <x:c r="D15" s="8" t="inlineStr">
        <x:is>
          <x:t xml:space="preserve">Không có macro hay tự cập nhật tài liệu ngoài</x:t>
        </x:is>
      </x:c>
    </x:row>
    <x:row r="16" ht="38" customHeight="1">
      <x:c r="A16" s="8" t="inlineStr">
        <x:is>
          <x:t xml:space="preserve">11</x:t>
        </x:is>
      </x:c>
      <x:c r="B16" s="8" t="inlineStr">
        <x:is>
          <x:t xml:space="preserve">Phạm vi kiểm kê</x:t>
        </x:is>
      </x:c>
      <x:c r="C16" s="8" t="inlineStr">
        <x:is>
          <x:t xml:space="preserve">18 file Drive trong thư mục dự án + tất cả file outputs hiện có; bản trùng local/served cùng một dòng.</x:t>
        </x:is>
      </x:c>
      <x:c r="D16" s="8" t="inlineStr">
        <x:is>
          <x:t xml:space="preserve">Không khẳng định tìm được tài liệu ngoài phạm vi này</x:t>
        </x:is>
      </x:c>
    </x:row>
    <x:row r="17" ht="38" customHeight="1">
      <x:c r="A17" s="8" t="inlineStr">
        <x:is>
          <x:t xml:space="preserve">12</x:t>
        </x:is>
      </x:c>
      <x:c r="B17" s="8" t="inlineStr">
        <x:is>
          <x:t xml:space="preserve">Bằng chứng hiện tại</x:t>
        </x:is>
      </x:c>
      <x:c r="C17" s="8" t="inlineStr">
        <x:is>
          <x:t xml:space="preserve">Metadata Drive đã đọc; nội dung native Docs/Sheets chưa audit toàn văn trong đợt lập sổ.</x:t>
        </x:is>
      </x:c>
      <x:c r="D17" s="8" t="inlineStr">
        <x:is>
          <x:t xml:space="preserve">Cần rà soát khác với Đã kiểm chứng</x:t>
        </x:is>
      </x:c>
    </x:row>
    <x:row r="18" ht="38" customHeight="1">
      <x:c r="A18" s="8" t="inlineStr">
        <x:is>
          <x:t xml:space="preserve">13</x:t>
        </x:is>
      </x:c>
      <x:c r="B18" s="8" t="inlineStr">
        <x:is>
          <x:t xml:space="preserve">Bổ sung hàng</x:t>
        </x:is>
      </x:c>
      <x:c r="C18" s="8" t="inlineStr">
        <x:is>
          <x:t xml:space="preserve">Thêm vào Excel Table; mở rộng công thức/validation và phạm vi kiểm đếm khi vượt dòng 1000.</x:t>
        </x:is>
      </x:c>
      <x:c r="D18" s="8" t="inlineStr">
        <x:is>
          <x:t xml:space="preserve">Giữ DOC-ID và quyết định ổn định qua sắp xếp</x:t>
        </x:is>
      </x:c>
    </x:row>
  </x:sheetData>
  <x:pageMargins left="0.7" right="0.7" top="0.75" bottom="0.75" header="0.3" footer="0.3"/>
  <x:tableParts count="1">
    <x:tablePart xmlns:r="http://schemas.openxmlformats.org/officeDocument/2006/relationships" r:id="R762830d1d4b84261"/>
  </x:tableParts>
</x:worksheet>
</file>